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57C0A396-7A1E-4F91-ACDB-46E8EEBE1AAB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" sheetId="1" r:id="rId1"/>
    <sheet name="porsi " sheetId="2" r:id="rId2"/>
  </sheets>
  <definedNames>
    <definedName name="_xlnm._FilterDatabase" localSheetId="1" hidden="1">'porsi '!$A$1:$BM$146</definedName>
    <definedName name="_xlnm._FilterDatabase" localSheetId="0" hidden="1">sales!$A$1:$H$1757</definedName>
    <definedName name="bbk">#REF!</definedName>
    <definedName name="dr">#REF!</definedName>
    <definedName name="Excel_BuiltIn_Print_Area_2">#REF!</definedName>
    <definedName name="jk">#REF!</definedName>
    <definedName name="pjjul">#REF!</definedName>
    <definedName name="sdsd">#REF!</definedName>
    <definedName name="yyy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83" i="1" l="1"/>
  <c r="C681" i="1"/>
  <c r="C691" i="1"/>
  <c r="H680" i="1"/>
  <c r="D680" i="1"/>
  <c r="D691" i="1" s="1"/>
  <c r="H679" i="1"/>
  <c r="H678" i="1"/>
  <c r="H677" i="1"/>
  <c r="H676" i="1"/>
  <c r="H675" i="1"/>
  <c r="H674" i="1"/>
  <c r="H673" i="1"/>
  <c r="H672" i="1"/>
  <c r="H671" i="1"/>
  <c r="E671" i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H670" i="1"/>
  <c r="F690" i="1" l="1"/>
  <c r="F691" i="1" s="1"/>
  <c r="D660" i="1" l="1"/>
  <c r="G647" i="1"/>
  <c r="G649" i="1"/>
  <c r="H649" i="1" s="1"/>
  <c r="H657" i="1"/>
  <c r="H656" i="1"/>
  <c r="H655" i="1"/>
  <c r="H654" i="1"/>
  <c r="H653" i="1"/>
  <c r="C668" i="1"/>
  <c r="H652" i="1"/>
  <c r="H651" i="1"/>
  <c r="H650" i="1"/>
  <c r="H648" i="1"/>
  <c r="E648" i="1"/>
  <c r="E649" i="1" s="1"/>
  <c r="E650" i="1" s="1"/>
  <c r="E651" i="1" s="1"/>
  <c r="E652" i="1" s="1"/>
  <c r="E653" i="1" s="1"/>
  <c r="E654" i="1" s="1"/>
  <c r="E655" i="1" s="1"/>
  <c r="E656" i="1" s="1"/>
  <c r="H647" i="1"/>
  <c r="C630" i="1"/>
  <c r="C607" i="1"/>
  <c r="C538" i="1"/>
  <c r="F667" i="1" l="1"/>
  <c r="D657" i="1"/>
  <c r="D668" i="1" s="1"/>
  <c r="G624" i="1"/>
  <c r="D637" i="1"/>
  <c r="C632" i="1"/>
  <c r="D634" i="1" s="1"/>
  <c r="H627" i="1"/>
  <c r="E625" i="1"/>
  <c r="E626" i="1" s="1"/>
  <c r="E627" i="1" s="1"/>
  <c r="E628" i="1" s="1"/>
  <c r="E629" i="1" s="1"/>
  <c r="E630" i="1" s="1"/>
  <c r="E631" i="1" s="1"/>
  <c r="H634" i="1"/>
  <c r="H633" i="1"/>
  <c r="H632" i="1"/>
  <c r="H631" i="1"/>
  <c r="H630" i="1"/>
  <c r="H629" i="1"/>
  <c r="H628" i="1"/>
  <c r="H626" i="1"/>
  <c r="H625" i="1"/>
  <c r="H624" i="1"/>
  <c r="C645" i="1" l="1"/>
  <c r="E657" i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F668" i="1" s="1"/>
  <c r="E632" i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D645" i="1"/>
  <c r="F644" i="1"/>
  <c r="C622" i="1"/>
  <c r="H611" i="1"/>
  <c r="D611" i="1"/>
  <c r="D622" i="1" s="1"/>
  <c r="H610" i="1"/>
  <c r="H609" i="1"/>
  <c r="H608" i="1"/>
  <c r="H607" i="1"/>
  <c r="H606" i="1"/>
  <c r="H605" i="1"/>
  <c r="H604" i="1"/>
  <c r="H603" i="1"/>
  <c r="H602" i="1"/>
  <c r="E602" i="1"/>
  <c r="E603" i="1" s="1"/>
  <c r="E604" i="1" s="1"/>
  <c r="E605" i="1" s="1"/>
  <c r="E606" i="1" s="1"/>
  <c r="E607" i="1" s="1"/>
  <c r="E608" i="1" s="1"/>
  <c r="E609" i="1" s="1"/>
  <c r="E610" i="1" s="1"/>
  <c r="H601" i="1"/>
  <c r="F645" i="1" l="1"/>
  <c r="F621" i="1"/>
  <c r="E611" i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F622" i="1" l="1"/>
  <c r="G580" i="1" l="1"/>
  <c r="G578" i="1"/>
  <c r="G586" i="1"/>
  <c r="D591" i="1"/>
  <c r="C599" i="1" l="1"/>
  <c r="H588" i="1"/>
  <c r="D588" i="1"/>
  <c r="D599" i="1" s="1"/>
  <c r="H587" i="1"/>
  <c r="H586" i="1"/>
  <c r="H585" i="1"/>
  <c r="H584" i="1"/>
  <c r="H583" i="1"/>
  <c r="H582" i="1"/>
  <c r="H581" i="1"/>
  <c r="H580" i="1"/>
  <c r="H579" i="1"/>
  <c r="E579" i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H578" i="1"/>
  <c r="F598" i="1" l="1"/>
  <c r="F599" i="1" s="1"/>
  <c r="G555" i="1"/>
  <c r="G557" i="1"/>
  <c r="H557" i="1" s="1"/>
  <c r="C576" i="1"/>
  <c r="H565" i="1"/>
  <c r="D565" i="1"/>
  <c r="D576" i="1" s="1"/>
  <c r="H564" i="1"/>
  <c r="H563" i="1"/>
  <c r="H562" i="1"/>
  <c r="H561" i="1"/>
  <c r="H560" i="1"/>
  <c r="H559" i="1"/>
  <c r="H558" i="1"/>
  <c r="H556" i="1"/>
  <c r="E556" i="1"/>
  <c r="E557" i="1" s="1"/>
  <c r="E558" i="1" s="1"/>
  <c r="E559" i="1" s="1"/>
  <c r="E560" i="1" s="1"/>
  <c r="E561" i="1" s="1"/>
  <c r="E562" i="1" s="1"/>
  <c r="E563" i="1" s="1"/>
  <c r="E564" i="1" s="1"/>
  <c r="H555" i="1"/>
  <c r="E565" i="1" l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F575" i="1"/>
  <c r="D545" i="1"/>
  <c r="G534" i="1"/>
  <c r="H534" i="1" s="1"/>
  <c r="G532" i="1"/>
  <c r="H532" i="1" s="1"/>
  <c r="C553" i="1"/>
  <c r="H542" i="1"/>
  <c r="D542" i="1"/>
  <c r="D553" i="1" s="1"/>
  <c r="H541" i="1"/>
  <c r="H540" i="1"/>
  <c r="H539" i="1"/>
  <c r="H538" i="1"/>
  <c r="H537" i="1"/>
  <c r="H536" i="1"/>
  <c r="H535" i="1"/>
  <c r="H533" i="1"/>
  <c r="E533" i="1"/>
  <c r="E534" i="1" s="1"/>
  <c r="E535" i="1" s="1"/>
  <c r="E536" i="1" s="1"/>
  <c r="E537" i="1" s="1"/>
  <c r="E538" i="1" s="1"/>
  <c r="E539" i="1" s="1"/>
  <c r="E540" i="1" s="1"/>
  <c r="E541" i="1" s="1"/>
  <c r="C492" i="1"/>
  <c r="C446" i="1"/>
  <c r="C400" i="1"/>
  <c r="F552" i="1" l="1"/>
  <c r="F576" i="1"/>
  <c r="E542" i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F553" i="1" l="1"/>
  <c r="G511" i="1" l="1"/>
  <c r="H511" i="1" s="1"/>
  <c r="G509" i="1"/>
  <c r="H509" i="1" s="1"/>
  <c r="H519" i="1"/>
  <c r="H518" i="1"/>
  <c r="H517" i="1"/>
  <c r="D519" i="1"/>
  <c r="D530" i="1" s="1"/>
  <c r="H516" i="1"/>
  <c r="H515" i="1"/>
  <c r="H514" i="1"/>
  <c r="H513" i="1"/>
  <c r="H512" i="1"/>
  <c r="H510" i="1"/>
  <c r="C530" i="1"/>
  <c r="F529" i="1" l="1"/>
  <c r="G529" i="1" s="1"/>
  <c r="E510" i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G486" i="1"/>
  <c r="H486" i="1" s="1"/>
  <c r="C487" i="1"/>
  <c r="E487" i="1" s="1"/>
  <c r="E488" i="1" s="1"/>
  <c r="E489" i="1" s="1"/>
  <c r="E490" i="1" s="1"/>
  <c r="E491" i="1" s="1"/>
  <c r="E492" i="1" s="1"/>
  <c r="E493" i="1" s="1"/>
  <c r="E494" i="1" s="1"/>
  <c r="E495" i="1" s="1"/>
  <c r="C494" i="1"/>
  <c r="D496" i="1"/>
  <c r="D507" i="1" s="1"/>
  <c r="H496" i="1"/>
  <c r="H495" i="1"/>
  <c r="H494" i="1"/>
  <c r="H493" i="1"/>
  <c r="H492" i="1"/>
  <c r="H491" i="1"/>
  <c r="H490" i="1"/>
  <c r="H489" i="1"/>
  <c r="H488" i="1"/>
  <c r="H487" i="1"/>
  <c r="C507" i="1" l="1"/>
  <c r="F530" i="1"/>
  <c r="E496" i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F506" i="1"/>
  <c r="F507" i="1" l="1"/>
  <c r="G470" i="1" l="1"/>
  <c r="H470" i="1" s="1"/>
  <c r="G468" i="1"/>
  <c r="G463" i="1"/>
  <c r="H463" i="1" s="1"/>
  <c r="G465" i="1"/>
  <c r="H465" i="1" s="1"/>
  <c r="D476" i="1"/>
  <c r="C484" i="1"/>
  <c r="H473" i="1"/>
  <c r="D473" i="1"/>
  <c r="D484" i="1" s="1"/>
  <c r="H472" i="1"/>
  <c r="H471" i="1"/>
  <c r="H469" i="1"/>
  <c r="H468" i="1"/>
  <c r="H467" i="1"/>
  <c r="H466" i="1"/>
  <c r="H464" i="1"/>
  <c r="E464" i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F483" i="1" l="1"/>
  <c r="F484" i="1" s="1"/>
  <c r="C461" i="1" l="1"/>
  <c r="H450" i="1"/>
  <c r="D450" i="1"/>
  <c r="D461" i="1" s="1"/>
  <c r="H449" i="1"/>
  <c r="H448" i="1"/>
  <c r="H447" i="1"/>
  <c r="H446" i="1"/>
  <c r="H445" i="1"/>
  <c r="H444" i="1"/>
  <c r="H443" i="1"/>
  <c r="H442" i="1"/>
  <c r="H441" i="1"/>
  <c r="E441" i="1"/>
  <c r="E442" i="1" s="1"/>
  <c r="E443" i="1" s="1"/>
  <c r="E444" i="1" s="1"/>
  <c r="E445" i="1" s="1"/>
  <c r="E446" i="1" s="1"/>
  <c r="E447" i="1" s="1"/>
  <c r="E448" i="1" s="1"/>
  <c r="E449" i="1" s="1"/>
  <c r="H440" i="1"/>
  <c r="F460" i="1" l="1"/>
  <c r="E450" i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F461" i="1" s="1"/>
  <c r="G425" i="1" l="1"/>
  <c r="H425" i="1" s="1"/>
  <c r="G424" i="1"/>
  <c r="G423" i="1"/>
  <c r="H423" i="1" s="1"/>
  <c r="G422" i="1"/>
  <c r="H422" i="1" s="1"/>
  <c r="D427" i="1"/>
  <c r="E418" i="1"/>
  <c r="E419" i="1" s="1"/>
  <c r="E420" i="1" s="1"/>
  <c r="E421" i="1" s="1"/>
  <c r="E422" i="1" s="1"/>
  <c r="E423" i="1" s="1"/>
  <c r="E424" i="1" s="1"/>
  <c r="E425" i="1" s="1"/>
  <c r="E426" i="1" s="1"/>
  <c r="E427" i="1" s="1"/>
  <c r="C438" i="1"/>
  <c r="H427" i="1"/>
  <c r="H426" i="1"/>
  <c r="H424" i="1"/>
  <c r="H421" i="1"/>
  <c r="H420" i="1"/>
  <c r="H419" i="1"/>
  <c r="H418" i="1"/>
  <c r="H417" i="1"/>
  <c r="E428" i="1" l="1"/>
  <c r="E429" i="1" s="1"/>
  <c r="E430" i="1" s="1"/>
  <c r="E431" i="1" s="1"/>
  <c r="E432" i="1" s="1"/>
  <c r="E433" i="1" s="1"/>
  <c r="E434" i="1" s="1"/>
  <c r="E435" i="1" s="1"/>
  <c r="E436" i="1" s="1"/>
  <c r="E437" i="1" s="1"/>
  <c r="D438" i="1"/>
  <c r="F437" i="1"/>
  <c r="F438" i="1" l="1"/>
  <c r="D404" i="1" l="1"/>
  <c r="C377" i="1" l="1"/>
  <c r="C354" i="1"/>
  <c r="C307" i="1"/>
  <c r="G373" i="1" l="1"/>
  <c r="G371" i="1"/>
  <c r="H371" i="1" s="1"/>
  <c r="H373" i="1"/>
  <c r="C415" i="1"/>
  <c r="H404" i="1"/>
  <c r="D415" i="1"/>
  <c r="H403" i="1"/>
  <c r="H402" i="1"/>
  <c r="H401" i="1"/>
  <c r="H400" i="1"/>
  <c r="H399" i="1"/>
  <c r="H398" i="1"/>
  <c r="H397" i="1"/>
  <c r="H396" i="1"/>
  <c r="H395" i="1"/>
  <c r="E395" i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H394" i="1"/>
  <c r="C392" i="1"/>
  <c r="H381" i="1"/>
  <c r="D381" i="1"/>
  <c r="D392" i="1" s="1"/>
  <c r="H380" i="1"/>
  <c r="H379" i="1"/>
  <c r="H378" i="1"/>
  <c r="H377" i="1"/>
  <c r="H376" i="1"/>
  <c r="H375" i="1"/>
  <c r="H374" i="1"/>
  <c r="H372" i="1"/>
  <c r="E372" i="1"/>
  <c r="E373" i="1" s="1"/>
  <c r="E374" i="1" s="1"/>
  <c r="E375" i="1" s="1"/>
  <c r="E376" i="1" s="1"/>
  <c r="E377" i="1" s="1"/>
  <c r="E378" i="1" s="1"/>
  <c r="E379" i="1" s="1"/>
  <c r="E380" i="1" s="1"/>
  <c r="F414" i="1" l="1"/>
  <c r="F415" i="1" s="1"/>
  <c r="F391" i="1"/>
  <c r="E381" i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F392" i="1" l="1"/>
  <c r="G348" i="1" l="1"/>
  <c r="C369" i="1" l="1"/>
  <c r="H358" i="1"/>
  <c r="D358" i="1"/>
  <c r="D369" i="1" s="1"/>
  <c r="H357" i="1"/>
  <c r="H356" i="1"/>
  <c r="H355" i="1"/>
  <c r="H354" i="1"/>
  <c r="H353" i="1"/>
  <c r="H352" i="1"/>
  <c r="H351" i="1"/>
  <c r="H350" i="1"/>
  <c r="H349" i="1"/>
  <c r="E349" i="1"/>
  <c r="E350" i="1" s="1"/>
  <c r="E351" i="1" s="1"/>
  <c r="E352" i="1" s="1"/>
  <c r="E353" i="1" s="1"/>
  <c r="E354" i="1" s="1"/>
  <c r="E355" i="1" s="1"/>
  <c r="E356" i="1" s="1"/>
  <c r="E357" i="1" s="1"/>
  <c r="H348" i="1"/>
  <c r="H335" i="1"/>
  <c r="H334" i="1"/>
  <c r="H333" i="1"/>
  <c r="H332" i="1"/>
  <c r="H331" i="1"/>
  <c r="C346" i="1"/>
  <c r="H330" i="1"/>
  <c r="H329" i="1"/>
  <c r="H328" i="1"/>
  <c r="H327" i="1"/>
  <c r="H326" i="1"/>
  <c r="E326" i="1"/>
  <c r="E327" i="1" s="1"/>
  <c r="E328" i="1" s="1"/>
  <c r="E329" i="1" s="1"/>
  <c r="E330" i="1" s="1"/>
  <c r="E331" i="1" s="1"/>
  <c r="E332" i="1" s="1"/>
  <c r="E333" i="1" s="1"/>
  <c r="E334" i="1" s="1"/>
  <c r="H325" i="1"/>
  <c r="E358" i="1" l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F368" i="1"/>
  <c r="F369" i="1" s="1"/>
  <c r="F345" i="1"/>
  <c r="D335" i="1"/>
  <c r="D346" i="1" s="1"/>
  <c r="E335" i="1" l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F346" i="1" s="1"/>
  <c r="D315" i="1" l="1"/>
  <c r="C313" i="1"/>
  <c r="C308" i="1"/>
  <c r="D312" i="1" s="1"/>
  <c r="C323" i="1"/>
  <c r="H312" i="1"/>
  <c r="H311" i="1"/>
  <c r="H310" i="1"/>
  <c r="H309" i="1"/>
  <c r="H308" i="1"/>
  <c r="H307" i="1"/>
  <c r="H306" i="1"/>
  <c r="H305" i="1"/>
  <c r="H304" i="1"/>
  <c r="H303" i="1"/>
  <c r="E303" i="1"/>
  <c r="E304" i="1" s="1"/>
  <c r="E305" i="1" s="1"/>
  <c r="E306" i="1" s="1"/>
  <c r="E307" i="1" s="1"/>
  <c r="E308" i="1" s="1"/>
  <c r="E309" i="1" s="1"/>
  <c r="E310" i="1" s="1"/>
  <c r="E311" i="1" s="1"/>
  <c r="H302" i="1"/>
  <c r="E312" i="1" l="1"/>
  <c r="E313" i="1" s="1"/>
  <c r="E314" i="1" s="1"/>
  <c r="E315" i="1" s="1"/>
  <c r="F322" i="1"/>
  <c r="E316" i="1"/>
  <c r="E317" i="1" s="1"/>
  <c r="E318" i="1" s="1"/>
  <c r="E319" i="1" s="1"/>
  <c r="E320" i="1" s="1"/>
  <c r="E321" i="1" s="1"/>
  <c r="E322" i="1" s="1"/>
  <c r="F323" i="1" s="1"/>
  <c r="D323" i="1"/>
  <c r="C262" i="1"/>
  <c r="C192" i="1"/>
  <c r="H289" i="1" l="1"/>
  <c r="D289" i="1"/>
  <c r="D300" i="1" s="1"/>
  <c r="H288" i="1"/>
  <c r="H287" i="1"/>
  <c r="H286" i="1"/>
  <c r="H285" i="1"/>
  <c r="C300" i="1"/>
  <c r="H284" i="1"/>
  <c r="H283" i="1"/>
  <c r="H282" i="1"/>
  <c r="H281" i="1"/>
  <c r="H280" i="1"/>
  <c r="E280" i="1"/>
  <c r="E281" i="1" s="1"/>
  <c r="E282" i="1" s="1"/>
  <c r="E283" i="1" s="1"/>
  <c r="E284" i="1" s="1"/>
  <c r="E285" i="1" s="1"/>
  <c r="E286" i="1" s="1"/>
  <c r="E287" i="1" s="1"/>
  <c r="E288" i="1" s="1"/>
  <c r="H279" i="1"/>
  <c r="F299" i="1" l="1"/>
  <c r="E289" i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F300" i="1" s="1"/>
  <c r="D269" i="1" l="1"/>
  <c r="C277" i="1"/>
  <c r="H266" i="1"/>
  <c r="D266" i="1"/>
  <c r="D277" i="1" s="1"/>
  <c r="H265" i="1"/>
  <c r="H264" i="1"/>
  <c r="H263" i="1"/>
  <c r="H262" i="1"/>
  <c r="H261" i="1"/>
  <c r="H260" i="1"/>
  <c r="H259" i="1"/>
  <c r="H258" i="1"/>
  <c r="H257" i="1"/>
  <c r="E257" i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H256" i="1"/>
  <c r="F276" i="1" l="1"/>
  <c r="F277" i="1"/>
  <c r="G233" i="1"/>
  <c r="H233" i="1" s="1"/>
  <c r="F253" i="1" s="1"/>
  <c r="C254" i="1"/>
  <c r="H243" i="1"/>
  <c r="D243" i="1"/>
  <c r="D254" i="1" s="1"/>
  <c r="H242" i="1"/>
  <c r="H241" i="1"/>
  <c r="H240" i="1"/>
  <c r="H239" i="1"/>
  <c r="H238" i="1"/>
  <c r="H237" i="1"/>
  <c r="H236" i="1"/>
  <c r="H235" i="1"/>
  <c r="H234" i="1"/>
  <c r="E234" i="1"/>
  <c r="E235" i="1" s="1"/>
  <c r="E236" i="1" s="1"/>
  <c r="E237" i="1" s="1"/>
  <c r="E238" i="1" s="1"/>
  <c r="E239" i="1" s="1"/>
  <c r="E240" i="1" s="1"/>
  <c r="E241" i="1" s="1"/>
  <c r="E242" i="1" s="1"/>
  <c r="E243" i="1" l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F254" i="1" s="1"/>
  <c r="G210" i="1"/>
  <c r="H210" i="1" s="1"/>
  <c r="F230" i="1" s="1"/>
  <c r="G212" i="1"/>
  <c r="H220" i="1"/>
  <c r="H219" i="1"/>
  <c r="H218" i="1"/>
  <c r="H217" i="1"/>
  <c r="H216" i="1"/>
  <c r="C231" i="1"/>
  <c r="H215" i="1"/>
  <c r="H214" i="1"/>
  <c r="H213" i="1"/>
  <c r="H212" i="1"/>
  <c r="H211" i="1"/>
  <c r="E211" i="1"/>
  <c r="E212" i="1" s="1"/>
  <c r="E213" i="1" s="1"/>
  <c r="E214" i="1" s="1"/>
  <c r="E215" i="1" s="1"/>
  <c r="E216" i="1" s="1"/>
  <c r="E217" i="1" s="1"/>
  <c r="E218" i="1" s="1"/>
  <c r="E219" i="1" s="1"/>
  <c r="D220" i="1" l="1"/>
  <c r="D231" i="1" s="1"/>
  <c r="C193" i="1"/>
  <c r="H197" i="1"/>
  <c r="D197" i="1"/>
  <c r="D208" i="1" s="1"/>
  <c r="H196" i="1"/>
  <c r="H195" i="1"/>
  <c r="H194" i="1"/>
  <c r="H193" i="1"/>
  <c r="H192" i="1"/>
  <c r="H191" i="1"/>
  <c r="H190" i="1"/>
  <c r="H189" i="1"/>
  <c r="H188" i="1"/>
  <c r="E188" i="1"/>
  <c r="E189" i="1" s="1"/>
  <c r="E190" i="1" s="1"/>
  <c r="E191" i="1" s="1"/>
  <c r="E192" i="1" s="1"/>
  <c r="E193" i="1" s="1"/>
  <c r="E194" i="1" s="1"/>
  <c r="E195" i="1" s="1"/>
  <c r="E196" i="1" s="1"/>
  <c r="C208" i="1"/>
  <c r="H187" i="1"/>
  <c r="E197" i="1" l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20" i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F231" i="1" s="1"/>
  <c r="F207" i="1"/>
  <c r="F208" i="1" s="1"/>
  <c r="C147" i="1"/>
  <c r="G164" i="1"/>
  <c r="G166" i="1"/>
  <c r="C165" i="1"/>
  <c r="H174" i="1"/>
  <c r="D174" i="1"/>
  <c r="D185" i="1" s="1"/>
  <c r="H173" i="1"/>
  <c r="H172" i="1"/>
  <c r="H171" i="1"/>
  <c r="H170" i="1"/>
  <c r="H169" i="1"/>
  <c r="H168" i="1"/>
  <c r="H167" i="1"/>
  <c r="H166" i="1"/>
  <c r="H165" i="1"/>
  <c r="C185" i="1"/>
  <c r="H164" i="1"/>
  <c r="D154" i="1"/>
  <c r="F184" i="1" l="1"/>
  <c r="E165" i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F185" i="1" l="1"/>
  <c r="G141" i="1" l="1"/>
  <c r="C142" i="1"/>
  <c r="H151" i="1"/>
  <c r="H150" i="1"/>
  <c r="H149" i="1"/>
  <c r="C162" i="1"/>
  <c r="H148" i="1"/>
  <c r="H147" i="1"/>
  <c r="H146" i="1"/>
  <c r="H145" i="1"/>
  <c r="H144" i="1"/>
  <c r="H143" i="1"/>
  <c r="H142" i="1"/>
  <c r="E142" i="1"/>
  <c r="E143" i="1" s="1"/>
  <c r="E144" i="1" s="1"/>
  <c r="E145" i="1" s="1"/>
  <c r="E146" i="1" s="1"/>
  <c r="E147" i="1" s="1"/>
  <c r="E148" i="1" s="1"/>
  <c r="H141" i="1"/>
  <c r="O67" i="2"/>
  <c r="K67" i="2"/>
  <c r="E67" i="2"/>
  <c r="G67" i="2"/>
  <c r="I67" i="2"/>
  <c r="M67" i="2"/>
  <c r="Q67" i="2"/>
  <c r="S67" i="2"/>
  <c r="U67" i="2"/>
  <c r="W67" i="2"/>
  <c r="Y67" i="2"/>
  <c r="AA67" i="2"/>
  <c r="AC67" i="2"/>
  <c r="AE67" i="2"/>
  <c r="AG67" i="2"/>
  <c r="AI67" i="2"/>
  <c r="AK67" i="2"/>
  <c r="AM67" i="2"/>
  <c r="AO67" i="2"/>
  <c r="AQ67" i="2"/>
  <c r="AS67" i="2"/>
  <c r="AU67" i="2"/>
  <c r="AW67" i="2"/>
  <c r="AY67" i="2"/>
  <c r="BA67" i="2"/>
  <c r="BC67" i="2"/>
  <c r="BE67" i="2"/>
  <c r="BG67" i="2"/>
  <c r="BI67" i="2"/>
  <c r="BK67" i="2"/>
  <c r="BM67" i="2"/>
  <c r="F161" i="1" l="1"/>
  <c r="D151" i="1"/>
  <c r="D162" i="1" s="1"/>
  <c r="E149" i="1" l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F162" i="1" s="1"/>
  <c r="C126" i="1" l="1"/>
  <c r="D126" i="1" s="1"/>
  <c r="H128" i="1"/>
  <c r="H127" i="1"/>
  <c r="H126" i="1"/>
  <c r="H125" i="1"/>
  <c r="H124" i="1"/>
  <c r="H123" i="1"/>
  <c r="H122" i="1"/>
  <c r="H121" i="1"/>
  <c r="H120" i="1"/>
  <c r="H119" i="1"/>
  <c r="E119" i="1"/>
  <c r="E120" i="1" s="1"/>
  <c r="E121" i="1" s="1"/>
  <c r="E122" i="1" s="1"/>
  <c r="E123" i="1" s="1"/>
  <c r="E124" i="1" s="1"/>
  <c r="E125" i="1" s="1"/>
  <c r="H118" i="1"/>
  <c r="F138" i="1" l="1"/>
  <c r="D128" i="1"/>
  <c r="D139" i="1" s="1"/>
  <c r="E126" i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F139" i="1" s="1"/>
  <c r="C139" i="1"/>
  <c r="G97" i="1" l="1"/>
  <c r="D108" i="1"/>
  <c r="C103" i="1"/>
  <c r="C116" i="1" l="1"/>
  <c r="H105" i="1"/>
  <c r="D105" i="1"/>
  <c r="D116" i="1" s="1"/>
  <c r="H104" i="1"/>
  <c r="H103" i="1"/>
  <c r="H102" i="1"/>
  <c r="H101" i="1"/>
  <c r="H100" i="1"/>
  <c r="H99" i="1"/>
  <c r="H98" i="1"/>
  <c r="H97" i="1"/>
  <c r="H96" i="1"/>
  <c r="E96" i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H95" i="1"/>
  <c r="F115" i="1" l="1"/>
  <c r="F116" i="1" s="1"/>
  <c r="C55" i="1" l="1"/>
  <c r="G74" i="1" l="1"/>
  <c r="H74" i="1" s="1"/>
  <c r="H82" i="1"/>
  <c r="D82" i="1"/>
  <c r="D93" i="1" s="1"/>
  <c r="H81" i="1"/>
  <c r="H80" i="1"/>
  <c r="H79" i="1"/>
  <c r="H78" i="1"/>
  <c r="C93" i="1"/>
  <c r="H77" i="1"/>
  <c r="H76" i="1"/>
  <c r="H75" i="1"/>
  <c r="H73" i="1"/>
  <c r="E73" i="1"/>
  <c r="E74" i="1" s="1"/>
  <c r="E75" i="1" s="1"/>
  <c r="E76" i="1" s="1"/>
  <c r="E77" i="1" s="1"/>
  <c r="E78" i="1" s="1"/>
  <c r="E79" i="1" s="1"/>
  <c r="E80" i="1" s="1"/>
  <c r="E81" i="1" s="1"/>
  <c r="H72" i="1"/>
  <c r="F92" i="1" l="1"/>
  <c r="E82" i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F93" i="1" l="1"/>
  <c r="G49" i="1" l="1"/>
  <c r="G51" i="1"/>
  <c r="C70" i="1"/>
  <c r="H59" i="1"/>
  <c r="D59" i="1"/>
  <c r="D70" i="1" s="1"/>
  <c r="H58" i="1"/>
  <c r="H57" i="1"/>
  <c r="H56" i="1"/>
  <c r="H55" i="1"/>
  <c r="H54" i="1"/>
  <c r="H53" i="1"/>
  <c r="H52" i="1"/>
  <c r="H51" i="1"/>
  <c r="H50" i="1"/>
  <c r="E50" i="1"/>
  <c r="E51" i="1" s="1"/>
  <c r="E52" i="1" s="1"/>
  <c r="E53" i="1" s="1"/>
  <c r="E54" i="1" s="1"/>
  <c r="E55" i="1" s="1"/>
  <c r="E56" i="1" s="1"/>
  <c r="E57" i="1" s="1"/>
  <c r="E58" i="1" s="1"/>
  <c r="H49" i="1"/>
  <c r="E59" i="1" l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F69" i="1"/>
  <c r="F70" i="1" l="1"/>
  <c r="D39" i="1" l="1"/>
  <c r="H36" i="1"/>
  <c r="H35" i="1"/>
  <c r="H34" i="1"/>
  <c r="D36" i="1"/>
  <c r="H33" i="1"/>
  <c r="H32" i="1"/>
  <c r="H31" i="1"/>
  <c r="H30" i="1"/>
  <c r="H29" i="1"/>
  <c r="H28" i="1"/>
  <c r="H27" i="1"/>
  <c r="E27" i="1"/>
  <c r="E28" i="1" s="1"/>
  <c r="E29" i="1" s="1"/>
  <c r="E30" i="1" s="1"/>
  <c r="E31" i="1" s="1"/>
  <c r="E32" i="1" s="1"/>
  <c r="E33" i="1" s="1"/>
  <c r="C47" i="1"/>
  <c r="H26" i="1"/>
  <c r="F46" i="1" l="1"/>
  <c r="D47" i="1"/>
  <c r="E34" i="1" l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F47" i="1" s="1"/>
  <c r="G5" i="1" l="1"/>
  <c r="G3" i="1"/>
  <c r="C4" i="1"/>
  <c r="C11" i="1"/>
  <c r="D11" i="1" s="1"/>
  <c r="Q17" i="2" l="1"/>
  <c r="Q18" i="2"/>
  <c r="Q19" i="2"/>
  <c r="BM24" i="2" l="1"/>
  <c r="BM3" i="2"/>
  <c r="B151" i="2" l="1"/>
  <c r="B150" i="2"/>
  <c r="K10" i="2" l="1"/>
  <c r="AW3" i="2" l="1"/>
  <c r="AW4" i="2"/>
  <c r="AW5" i="2"/>
  <c r="AA9" i="2" l="1"/>
  <c r="H13" i="1" l="1"/>
  <c r="H12" i="1"/>
  <c r="H11" i="1"/>
  <c r="H10" i="1"/>
  <c r="H9" i="1"/>
  <c r="H8" i="1"/>
  <c r="H7" i="1"/>
  <c r="D13" i="1"/>
  <c r="H6" i="1"/>
  <c r="H5" i="1"/>
  <c r="H4" i="1"/>
  <c r="E4" i="1"/>
  <c r="E5" i="1" s="1"/>
  <c r="E6" i="1" s="1"/>
  <c r="E7" i="1" s="1"/>
  <c r="E8" i="1" s="1"/>
  <c r="E9" i="1" s="1"/>
  <c r="E10" i="1" s="1"/>
  <c r="C24" i="1"/>
  <c r="H3" i="1"/>
  <c r="F23" i="1" l="1"/>
  <c r="D24" i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F24" i="1" l="1"/>
  <c r="AY9" i="2" l="1"/>
  <c r="AW9" i="2"/>
  <c r="AU9" i="2"/>
  <c r="AS9" i="2"/>
  <c r="AQ9" i="2"/>
  <c r="AO9" i="2"/>
  <c r="AM9" i="2"/>
  <c r="AK9" i="2"/>
  <c r="AI9" i="2"/>
  <c r="AG9" i="2"/>
  <c r="AE9" i="2"/>
  <c r="AC9" i="2"/>
  <c r="Y9" i="2"/>
  <c r="W9" i="2"/>
  <c r="U9" i="2"/>
  <c r="S9" i="2"/>
  <c r="Q9" i="2"/>
  <c r="O9" i="2"/>
  <c r="M9" i="2"/>
  <c r="K9" i="2"/>
  <c r="I9" i="2"/>
  <c r="G9" i="2"/>
  <c r="BA9" i="2"/>
  <c r="BC9" i="2"/>
  <c r="BE9" i="2"/>
  <c r="BG9" i="2"/>
  <c r="BI9" i="2"/>
  <c r="BK9" i="2"/>
  <c r="BM9" i="2"/>
  <c r="E9" i="2"/>
  <c r="AC6" i="2" l="1"/>
  <c r="AY3" i="2" l="1"/>
  <c r="AY4" i="2"/>
  <c r="AY5" i="2"/>
  <c r="AY6" i="2"/>
  <c r="AY7" i="2"/>
  <c r="AY8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BC7" i="2" l="1"/>
  <c r="O10" i="2" l="1"/>
  <c r="K7" i="2" l="1"/>
  <c r="I46" i="2" l="1"/>
  <c r="I5" i="2" l="1"/>
  <c r="I4" i="2"/>
  <c r="I6" i="2"/>
  <c r="AW69" i="2" l="1"/>
  <c r="S15" i="2" l="1"/>
  <c r="K69" i="2" l="1"/>
  <c r="W69" i="2" l="1"/>
  <c r="W70" i="2"/>
  <c r="W71" i="2"/>
  <c r="U69" i="2"/>
  <c r="U70" i="2"/>
  <c r="U71" i="2"/>
  <c r="S69" i="2"/>
  <c r="S70" i="2"/>
  <c r="G14" i="2" l="1"/>
  <c r="G3" i="2" l="1"/>
  <c r="I3" i="2"/>
  <c r="K3" i="2"/>
  <c r="M3" i="2"/>
  <c r="O3" i="2"/>
  <c r="Q3" i="2"/>
  <c r="S3" i="2"/>
  <c r="U3" i="2"/>
  <c r="W3" i="2"/>
  <c r="Y3" i="2"/>
  <c r="AA3" i="2"/>
  <c r="AC3" i="2"/>
  <c r="AE3" i="2"/>
  <c r="AG3" i="2"/>
  <c r="AI3" i="2"/>
  <c r="AK3" i="2"/>
  <c r="AM3" i="2"/>
  <c r="AO3" i="2"/>
  <c r="AQ3" i="2"/>
  <c r="AS3" i="2"/>
  <c r="AU3" i="2"/>
  <c r="BA3" i="2"/>
  <c r="BC3" i="2"/>
  <c r="BE3" i="2"/>
  <c r="BG3" i="2"/>
  <c r="BI3" i="2"/>
  <c r="BK3" i="2"/>
  <c r="G4" i="2"/>
  <c r="K4" i="2"/>
  <c r="M4" i="2"/>
  <c r="O4" i="2"/>
  <c r="Q4" i="2"/>
  <c r="S4" i="2"/>
  <c r="U4" i="2"/>
  <c r="W4" i="2"/>
  <c r="Y4" i="2"/>
  <c r="AA4" i="2"/>
  <c r="AC4" i="2"/>
  <c r="AE4" i="2"/>
  <c r="AG4" i="2"/>
  <c r="AI4" i="2"/>
  <c r="AK4" i="2"/>
  <c r="AM4" i="2"/>
  <c r="AO4" i="2"/>
  <c r="AQ4" i="2"/>
  <c r="AS4" i="2"/>
  <c r="AU4" i="2"/>
  <c r="BA4" i="2"/>
  <c r="BC4" i="2"/>
  <c r="BE4" i="2"/>
  <c r="BG4" i="2"/>
  <c r="BI4" i="2"/>
  <c r="BK4" i="2"/>
  <c r="BM4" i="2"/>
  <c r="G5" i="2"/>
  <c r="K5" i="2"/>
  <c r="M5" i="2"/>
  <c r="O5" i="2"/>
  <c r="Q5" i="2"/>
  <c r="S5" i="2"/>
  <c r="U5" i="2"/>
  <c r="W5" i="2"/>
  <c r="Y5" i="2"/>
  <c r="AA5" i="2"/>
  <c r="AC5" i="2"/>
  <c r="AE5" i="2"/>
  <c r="AG5" i="2"/>
  <c r="AI5" i="2"/>
  <c r="AK5" i="2"/>
  <c r="AM5" i="2"/>
  <c r="AO5" i="2"/>
  <c r="AQ5" i="2"/>
  <c r="AS5" i="2"/>
  <c r="AU5" i="2"/>
  <c r="BA5" i="2"/>
  <c r="BC5" i="2"/>
  <c r="BE5" i="2"/>
  <c r="BG5" i="2"/>
  <c r="BI5" i="2"/>
  <c r="BK5" i="2"/>
  <c r="BM5" i="2"/>
  <c r="G6" i="2"/>
  <c r="K6" i="2"/>
  <c r="M6" i="2"/>
  <c r="O6" i="2"/>
  <c r="Q6" i="2"/>
  <c r="S6" i="2"/>
  <c r="U6" i="2"/>
  <c r="W6" i="2"/>
  <c r="Y6" i="2"/>
  <c r="AA6" i="2"/>
  <c r="AE6" i="2"/>
  <c r="AG6" i="2"/>
  <c r="AI6" i="2"/>
  <c r="AK6" i="2"/>
  <c r="AM6" i="2"/>
  <c r="AO6" i="2"/>
  <c r="AQ6" i="2"/>
  <c r="AS6" i="2"/>
  <c r="AU6" i="2"/>
  <c r="AW6" i="2"/>
  <c r="BA6" i="2"/>
  <c r="BC6" i="2"/>
  <c r="BE6" i="2"/>
  <c r="BG6" i="2"/>
  <c r="BI6" i="2"/>
  <c r="BK6" i="2"/>
  <c r="BM6" i="2"/>
  <c r="G7" i="2"/>
  <c r="I7" i="2"/>
  <c r="M7" i="2"/>
  <c r="O7" i="2"/>
  <c r="Q7" i="2"/>
  <c r="S7" i="2"/>
  <c r="U7" i="2"/>
  <c r="W7" i="2"/>
  <c r="Y7" i="2"/>
  <c r="AA7" i="2"/>
  <c r="AC7" i="2"/>
  <c r="AE7" i="2"/>
  <c r="AG7" i="2"/>
  <c r="AI7" i="2"/>
  <c r="AK7" i="2"/>
  <c r="AM7" i="2"/>
  <c r="AO7" i="2"/>
  <c r="AQ7" i="2"/>
  <c r="AS7" i="2"/>
  <c r="AU7" i="2"/>
  <c r="AW7" i="2"/>
  <c r="BA7" i="2"/>
  <c r="BE7" i="2"/>
  <c r="BG7" i="2"/>
  <c r="BI7" i="2"/>
  <c r="BK7" i="2"/>
  <c r="BM7" i="2"/>
  <c r="G8" i="2"/>
  <c r="I8" i="2"/>
  <c r="K8" i="2"/>
  <c r="M8" i="2"/>
  <c r="O8" i="2"/>
  <c r="Q8" i="2"/>
  <c r="S8" i="2"/>
  <c r="U8" i="2"/>
  <c r="W8" i="2"/>
  <c r="Y8" i="2"/>
  <c r="AA8" i="2"/>
  <c r="AC8" i="2"/>
  <c r="AE8" i="2"/>
  <c r="AG8" i="2"/>
  <c r="AI8" i="2"/>
  <c r="AK8" i="2"/>
  <c r="AM8" i="2"/>
  <c r="AO8" i="2"/>
  <c r="AQ8" i="2"/>
  <c r="AS8" i="2"/>
  <c r="AU8" i="2"/>
  <c r="AW8" i="2"/>
  <c r="BA8" i="2"/>
  <c r="BC8" i="2"/>
  <c r="BE8" i="2"/>
  <c r="BG8" i="2"/>
  <c r="BI8" i="2"/>
  <c r="BK8" i="2"/>
  <c r="BM8" i="2"/>
  <c r="G10" i="2"/>
  <c r="I10" i="2"/>
  <c r="M10" i="2"/>
  <c r="Q10" i="2"/>
  <c r="S10" i="2"/>
  <c r="U10" i="2"/>
  <c r="W10" i="2"/>
  <c r="Y10" i="2"/>
  <c r="AA10" i="2"/>
  <c r="AC10" i="2"/>
  <c r="AE10" i="2"/>
  <c r="AG10" i="2"/>
  <c r="AI10" i="2"/>
  <c r="AK10" i="2"/>
  <c r="AM10" i="2"/>
  <c r="AO10" i="2"/>
  <c r="AQ10" i="2"/>
  <c r="AS10" i="2"/>
  <c r="AU10" i="2"/>
  <c r="AW10" i="2"/>
  <c r="BA10" i="2"/>
  <c r="BC10" i="2"/>
  <c r="BE10" i="2"/>
  <c r="BG10" i="2"/>
  <c r="BI10" i="2"/>
  <c r="BK10" i="2"/>
  <c r="BM10" i="2"/>
  <c r="G11" i="2"/>
  <c r="I11" i="2"/>
  <c r="K11" i="2"/>
  <c r="M11" i="2"/>
  <c r="O11" i="2"/>
  <c r="Q11" i="2"/>
  <c r="S11" i="2"/>
  <c r="U11" i="2"/>
  <c r="W11" i="2"/>
  <c r="Y11" i="2"/>
  <c r="AA11" i="2"/>
  <c r="AC11" i="2"/>
  <c r="AE11" i="2"/>
  <c r="AG11" i="2"/>
  <c r="AI11" i="2"/>
  <c r="AK11" i="2"/>
  <c r="AM11" i="2"/>
  <c r="AO11" i="2"/>
  <c r="AQ11" i="2"/>
  <c r="AS11" i="2"/>
  <c r="AU11" i="2"/>
  <c r="AW11" i="2"/>
  <c r="BA11" i="2"/>
  <c r="BC11" i="2"/>
  <c r="BE11" i="2"/>
  <c r="BG11" i="2"/>
  <c r="BI11" i="2"/>
  <c r="BK11" i="2"/>
  <c r="BM11" i="2"/>
  <c r="G12" i="2"/>
  <c r="I12" i="2"/>
  <c r="K12" i="2"/>
  <c r="M12" i="2"/>
  <c r="O12" i="2"/>
  <c r="Q12" i="2"/>
  <c r="S12" i="2"/>
  <c r="U12" i="2"/>
  <c r="W12" i="2"/>
  <c r="Y12" i="2"/>
  <c r="AA12" i="2"/>
  <c r="AC12" i="2"/>
  <c r="AE12" i="2"/>
  <c r="AG12" i="2"/>
  <c r="AI12" i="2"/>
  <c r="AK12" i="2"/>
  <c r="AM12" i="2"/>
  <c r="AO12" i="2"/>
  <c r="AQ12" i="2"/>
  <c r="AS12" i="2"/>
  <c r="AU12" i="2"/>
  <c r="AW12" i="2"/>
  <c r="BA12" i="2"/>
  <c r="BC12" i="2"/>
  <c r="BE12" i="2"/>
  <c r="BG12" i="2"/>
  <c r="BI12" i="2"/>
  <c r="BK12" i="2"/>
  <c r="BM12" i="2"/>
  <c r="G13" i="2"/>
  <c r="I13" i="2"/>
  <c r="K13" i="2"/>
  <c r="M13" i="2"/>
  <c r="O13" i="2"/>
  <c r="Q13" i="2"/>
  <c r="S13" i="2"/>
  <c r="U13" i="2"/>
  <c r="W13" i="2"/>
  <c r="Y13" i="2"/>
  <c r="AA13" i="2"/>
  <c r="AC13" i="2"/>
  <c r="AE13" i="2"/>
  <c r="AG13" i="2"/>
  <c r="AI13" i="2"/>
  <c r="AK13" i="2"/>
  <c r="AM13" i="2"/>
  <c r="AO13" i="2"/>
  <c r="AQ13" i="2"/>
  <c r="AS13" i="2"/>
  <c r="AU13" i="2"/>
  <c r="AW13" i="2"/>
  <c r="BA13" i="2"/>
  <c r="BC13" i="2"/>
  <c r="BE13" i="2"/>
  <c r="BG13" i="2"/>
  <c r="BI13" i="2"/>
  <c r="BK13" i="2"/>
  <c r="BM13" i="2"/>
  <c r="I14" i="2"/>
  <c r="K14" i="2"/>
  <c r="M14" i="2"/>
  <c r="O14" i="2"/>
  <c r="Q14" i="2"/>
  <c r="S14" i="2"/>
  <c r="U14" i="2"/>
  <c r="W14" i="2"/>
  <c r="Y14" i="2"/>
  <c r="AA14" i="2"/>
  <c r="AC14" i="2"/>
  <c r="AE14" i="2"/>
  <c r="AG14" i="2"/>
  <c r="AI14" i="2"/>
  <c r="AK14" i="2"/>
  <c r="AM14" i="2"/>
  <c r="AO14" i="2"/>
  <c r="AQ14" i="2"/>
  <c r="AS14" i="2"/>
  <c r="AU14" i="2"/>
  <c r="AW14" i="2"/>
  <c r="BA14" i="2"/>
  <c r="BC14" i="2"/>
  <c r="BE14" i="2"/>
  <c r="BG14" i="2"/>
  <c r="BI14" i="2"/>
  <c r="BK14" i="2"/>
  <c r="BM14" i="2"/>
  <c r="G15" i="2"/>
  <c r="I15" i="2"/>
  <c r="K15" i="2"/>
  <c r="M15" i="2"/>
  <c r="O15" i="2"/>
  <c r="Q15" i="2"/>
  <c r="U15" i="2"/>
  <c r="W15" i="2"/>
  <c r="Y15" i="2"/>
  <c r="AA15" i="2"/>
  <c r="AC15" i="2"/>
  <c r="AE15" i="2"/>
  <c r="AG15" i="2"/>
  <c r="AI15" i="2"/>
  <c r="AK15" i="2"/>
  <c r="AM15" i="2"/>
  <c r="AO15" i="2"/>
  <c r="AQ15" i="2"/>
  <c r="AS15" i="2"/>
  <c r="AU15" i="2"/>
  <c r="AW15" i="2"/>
  <c r="BA15" i="2"/>
  <c r="BC15" i="2"/>
  <c r="BE15" i="2"/>
  <c r="BG15" i="2"/>
  <c r="BI15" i="2"/>
  <c r="BK15" i="2"/>
  <c r="BM15" i="2"/>
  <c r="G16" i="2"/>
  <c r="I16" i="2"/>
  <c r="K16" i="2"/>
  <c r="M16" i="2"/>
  <c r="O16" i="2"/>
  <c r="Q16" i="2"/>
  <c r="S16" i="2"/>
  <c r="U16" i="2"/>
  <c r="W16" i="2"/>
  <c r="Y16" i="2"/>
  <c r="AA16" i="2"/>
  <c r="AC16" i="2"/>
  <c r="AE16" i="2"/>
  <c r="AG16" i="2"/>
  <c r="AI16" i="2"/>
  <c r="AK16" i="2"/>
  <c r="AM16" i="2"/>
  <c r="AO16" i="2"/>
  <c r="AQ16" i="2"/>
  <c r="AS16" i="2"/>
  <c r="AU16" i="2"/>
  <c r="AW16" i="2"/>
  <c r="BA16" i="2"/>
  <c r="BC16" i="2"/>
  <c r="BE16" i="2"/>
  <c r="BG16" i="2"/>
  <c r="BI16" i="2"/>
  <c r="BK16" i="2"/>
  <c r="BM16" i="2"/>
  <c r="G17" i="2"/>
  <c r="I17" i="2"/>
  <c r="K17" i="2"/>
  <c r="M17" i="2"/>
  <c r="O17" i="2"/>
  <c r="S17" i="2"/>
  <c r="U17" i="2"/>
  <c r="W17" i="2"/>
  <c r="Y17" i="2"/>
  <c r="AA17" i="2"/>
  <c r="AC17" i="2"/>
  <c r="AE17" i="2"/>
  <c r="AG17" i="2"/>
  <c r="AI17" i="2"/>
  <c r="AK17" i="2"/>
  <c r="AM17" i="2"/>
  <c r="AO17" i="2"/>
  <c r="AQ17" i="2"/>
  <c r="AS17" i="2"/>
  <c r="AU17" i="2"/>
  <c r="AW17" i="2"/>
  <c r="BA17" i="2"/>
  <c r="BC17" i="2"/>
  <c r="BE17" i="2"/>
  <c r="BG17" i="2"/>
  <c r="BI17" i="2"/>
  <c r="BK17" i="2"/>
  <c r="BM17" i="2"/>
  <c r="G18" i="2"/>
  <c r="I18" i="2"/>
  <c r="K18" i="2"/>
  <c r="M18" i="2"/>
  <c r="O18" i="2"/>
  <c r="S18" i="2"/>
  <c r="U18" i="2"/>
  <c r="W18" i="2"/>
  <c r="Y18" i="2"/>
  <c r="AA18" i="2"/>
  <c r="AC18" i="2"/>
  <c r="AE18" i="2"/>
  <c r="AG18" i="2"/>
  <c r="AI18" i="2"/>
  <c r="AK18" i="2"/>
  <c r="AM18" i="2"/>
  <c r="AO18" i="2"/>
  <c r="AQ18" i="2"/>
  <c r="AS18" i="2"/>
  <c r="AU18" i="2"/>
  <c r="AW18" i="2"/>
  <c r="BA18" i="2"/>
  <c r="BC18" i="2"/>
  <c r="BE18" i="2"/>
  <c r="BG18" i="2"/>
  <c r="BI18" i="2"/>
  <c r="BK18" i="2"/>
  <c r="BM18" i="2"/>
  <c r="G19" i="2"/>
  <c r="I19" i="2"/>
  <c r="K19" i="2"/>
  <c r="M19" i="2"/>
  <c r="O19" i="2"/>
  <c r="S19" i="2"/>
  <c r="U19" i="2"/>
  <c r="W19" i="2"/>
  <c r="Y19" i="2"/>
  <c r="AA19" i="2"/>
  <c r="AC19" i="2"/>
  <c r="AE19" i="2"/>
  <c r="AG19" i="2"/>
  <c r="AI19" i="2"/>
  <c r="AK19" i="2"/>
  <c r="AM19" i="2"/>
  <c r="AO19" i="2"/>
  <c r="AQ19" i="2"/>
  <c r="AS19" i="2"/>
  <c r="AU19" i="2"/>
  <c r="AW19" i="2"/>
  <c r="BA19" i="2"/>
  <c r="BC19" i="2"/>
  <c r="BE19" i="2"/>
  <c r="BG19" i="2"/>
  <c r="BI19" i="2"/>
  <c r="BK19" i="2"/>
  <c r="BM19" i="2"/>
  <c r="G20" i="2"/>
  <c r="I20" i="2"/>
  <c r="K20" i="2"/>
  <c r="M20" i="2"/>
  <c r="O20" i="2"/>
  <c r="Q20" i="2"/>
  <c r="S20" i="2"/>
  <c r="U20" i="2"/>
  <c r="W20" i="2"/>
  <c r="Y20" i="2"/>
  <c r="AA20" i="2"/>
  <c r="AC20" i="2"/>
  <c r="AE20" i="2"/>
  <c r="AG20" i="2"/>
  <c r="AI20" i="2"/>
  <c r="AK20" i="2"/>
  <c r="AM20" i="2"/>
  <c r="AO20" i="2"/>
  <c r="AQ20" i="2"/>
  <c r="AS20" i="2"/>
  <c r="AU20" i="2"/>
  <c r="AW20" i="2"/>
  <c r="BA20" i="2"/>
  <c r="BC20" i="2"/>
  <c r="BE20" i="2"/>
  <c r="BG20" i="2"/>
  <c r="BI20" i="2"/>
  <c r="BK20" i="2"/>
  <c r="BM20" i="2"/>
  <c r="G21" i="2"/>
  <c r="I21" i="2"/>
  <c r="K21" i="2"/>
  <c r="M21" i="2"/>
  <c r="O21" i="2"/>
  <c r="Q21" i="2"/>
  <c r="S21" i="2"/>
  <c r="U21" i="2"/>
  <c r="W21" i="2"/>
  <c r="Y21" i="2"/>
  <c r="AA21" i="2"/>
  <c r="AC21" i="2"/>
  <c r="AE21" i="2"/>
  <c r="AG21" i="2"/>
  <c r="AI21" i="2"/>
  <c r="AK21" i="2"/>
  <c r="AM21" i="2"/>
  <c r="AO21" i="2"/>
  <c r="AQ21" i="2"/>
  <c r="AS21" i="2"/>
  <c r="AU21" i="2"/>
  <c r="AW21" i="2"/>
  <c r="BA21" i="2"/>
  <c r="BC21" i="2"/>
  <c r="BE21" i="2"/>
  <c r="BG21" i="2"/>
  <c r="BI21" i="2"/>
  <c r="BK21" i="2"/>
  <c r="BM21" i="2"/>
  <c r="G22" i="2"/>
  <c r="I22" i="2"/>
  <c r="K22" i="2"/>
  <c r="M22" i="2"/>
  <c r="O22" i="2"/>
  <c r="Q22" i="2"/>
  <c r="S22" i="2"/>
  <c r="U22" i="2"/>
  <c r="W22" i="2"/>
  <c r="Y22" i="2"/>
  <c r="AA22" i="2"/>
  <c r="AC22" i="2"/>
  <c r="AE22" i="2"/>
  <c r="AG22" i="2"/>
  <c r="AI22" i="2"/>
  <c r="AK22" i="2"/>
  <c r="AM22" i="2"/>
  <c r="AO22" i="2"/>
  <c r="AQ22" i="2"/>
  <c r="AS22" i="2"/>
  <c r="AU22" i="2"/>
  <c r="AW22" i="2"/>
  <c r="BA22" i="2"/>
  <c r="BC22" i="2"/>
  <c r="BE22" i="2"/>
  <c r="BG22" i="2"/>
  <c r="BI22" i="2"/>
  <c r="BK22" i="2"/>
  <c r="BM22" i="2"/>
  <c r="G23" i="2"/>
  <c r="I23" i="2"/>
  <c r="K23" i="2"/>
  <c r="M23" i="2"/>
  <c r="O23" i="2"/>
  <c r="Q23" i="2"/>
  <c r="S23" i="2"/>
  <c r="U23" i="2"/>
  <c r="W23" i="2"/>
  <c r="Y23" i="2"/>
  <c r="AA23" i="2"/>
  <c r="AC23" i="2"/>
  <c r="AE23" i="2"/>
  <c r="AG23" i="2"/>
  <c r="AI23" i="2"/>
  <c r="AK23" i="2"/>
  <c r="AM23" i="2"/>
  <c r="AO23" i="2"/>
  <c r="AQ23" i="2"/>
  <c r="AS23" i="2"/>
  <c r="AU23" i="2"/>
  <c r="AW23" i="2"/>
  <c r="BA23" i="2"/>
  <c r="BC23" i="2"/>
  <c r="BE23" i="2"/>
  <c r="BG23" i="2"/>
  <c r="BI23" i="2"/>
  <c r="BK23" i="2"/>
  <c r="BM23" i="2"/>
  <c r="G24" i="2"/>
  <c r="I24" i="2"/>
  <c r="K24" i="2"/>
  <c r="M24" i="2"/>
  <c r="O24" i="2"/>
  <c r="Q24" i="2"/>
  <c r="S24" i="2"/>
  <c r="U24" i="2"/>
  <c r="W24" i="2"/>
  <c r="Y24" i="2"/>
  <c r="AA24" i="2"/>
  <c r="AC24" i="2"/>
  <c r="AE24" i="2"/>
  <c r="AG24" i="2"/>
  <c r="AI24" i="2"/>
  <c r="AK24" i="2"/>
  <c r="AM24" i="2"/>
  <c r="AO24" i="2"/>
  <c r="AQ24" i="2"/>
  <c r="AS24" i="2"/>
  <c r="AU24" i="2"/>
  <c r="AW24" i="2"/>
  <c r="BA24" i="2"/>
  <c r="BC24" i="2"/>
  <c r="BE24" i="2"/>
  <c r="BG24" i="2"/>
  <c r="BI24" i="2"/>
  <c r="BK24" i="2"/>
  <c r="G25" i="2"/>
  <c r="I25" i="2"/>
  <c r="K25" i="2"/>
  <c r="M25" i="2"/>
  <c r="O25" i="2"/>
  <c r="Q25" i="2"/>
  <c r="S25" i="2"/>
  <c r="U25" i="2"/>
  <c r="W25" i="2"/>
  <c r="Y25" i="2"/>
  <c r="AA25" i="2"/>
  <c r="AC25" i="2"/>
  <c r="AE25" i="2"/>
  <c r="AG25" i="2"/>
  <c r="AI25" i="2"/>
  <c r="AK25" i="2"/>
  <c r="AM25" i="2"/>
  <c r="AO25" i="2"/>
  <c r="AQ25" i="2"/>
  <c r="AS25" i="2"/>
  <c r="AU25" i="2"/>
  <c r="AW25" i="2"/>
  <c r="BA25" i="2"/>
  <c r="BC25" i="2"/>
  <c r="BE25" i="2"/>
  <c r="BG25" i="2"/>
  <c r="BI25" i="2"/>
  <c r="BK25" i="2"/>
  <c r="BM25" i="2"/>
  <c r="G26" i="2"/>
  <c r="I26" i="2"/>
  <c r="K26" i="2"/>
  <c r="M26" i="2"/>
  <c r="O26" i="2"/>
  <c r="Q26" i="2"/>
  <c r="S26" i="2"/>
  <c r="U26" i="2"/>
  <c r="W26" i="2"/>
  <c r="Y26" i="2"/>
  <c r="AA26" i="2"/>
  <c r="AC26" i="2"/>
  <c r="AE26" i="2"/>
  <c r="AG26" i="2"/>
  <c r="AI26" i="2"/>
  <c r="AK26" i="2"/>
  <c r="AM26" i="2"/>
  <c r="AO26" i="2"/>
  <c r="AQ26" i="2"/>
  <c r="AS26" i="2"/>
  <c r="AU26" i="2"/>
  <c r="AW26" i="2"/>
  <c r="BA26" i="2"/>
  <c r="BC26" i="2"/>
  <c r="BE26" i="2"/>
  <c r="BG26" i="2"/>
  <c r="BI26" i="2"/>
  <c r="BK26" i="2"/>
  <c r="BM26" i="2"/>
  <c r="G27" i="2"/>
  <c r="I27" i="2"/>
  <c r="K27" i="2"/>
  <c r="M27" i="2"/>
  <c r="O27" i="2"/>
  <c r="Q27" i="2"/>
  <c r="S27" i="2"/>
  <c r="U27" i="2"/>
  <c r="W27" i="2"/>
  <c r="Y27" i="2"/>
  <c r="AA27" i="2"/>
  <c r="AC27" i="2"/>
  <c r="AE27" i="2"/>
  <c r="AG27" i="2"/>
  <c r="AI27" i="2"/>
  <c r="AK27" i="2"/>
  <c r="AM27" i="2"/>
  <c r="AO27" i="2"/>
  <c r="AQ27" i="2"/>
  <c r="AS27" i="2"/>
  <c r="AU27" i="2"/>
  <c r="AW27" i="2"/>
  <c r="BA27" i="2"/>
  <c r="BC27" i="2"/>
  <c r="BE27" i="2"/>
  <c r="BG27" i="2"/>
  <c r="BI27" i="2"/>
  <c r="BK27" i="2"/>
  <c r="BM27" i="2"/>
  <c r="G28" i="2"/>
  <c r="I28" i="2"/>
  <c r="K28" i="2"/>
  <c r="M28" i="2"/>
  <c r="O28" i="2"/>
  <c r="Q28" i="2"/>
  <c r="S28" i="2"/>
  <c r="U28" i="2"/>
  <c r="W28" i="2"/>
  <c r="Y28" i="2"/>
  <c r="AA28" i="2"/>
  <c r="AC28" i="2"/>
  <c r="AE28" i="2"/>
  <c r="AG28" i="2"/>
  <c r="AI28" i="2"/>
  <c r="AK28" i="2"/>
  <c r="AM28" i="2"/>
  <c r="AO28" i="2"/>
  <c r="AQ28" i="2"/>
  <c r="AS28" i="2"/>
  <c r="AU28" i="2"/>
  <c r="AW28" i="2"/>
  <c r="BA28" i="2"/>
  <c r="BC28" i="2"/>
  <c r="BE28" i="2"/>
  <c r="BG28" i="2"/>
  <c r="BI28" i="2"/>
  <c r="BK28" i="2"/>
  <c r="BM28" i="2"/>
  <c r="G29" i="2"/>
  <c r="I29" i="2"/>
  <c r="K29" i="2"/>
  <c r="M29" i="2"/>
  <c r="O29" i="2"/>
  <c r="Q29" i="2"/>
  <c r="S29" i="2"/>
  <c r="U29" i="2"/>
  <c r="W29" i="2"/>
  <c r="Y29" i="2"/>
  <c r="AA29" i="2"/>
  <c r="AC29" i="2"/>
  <c r="AE29" i="2"/>
  <c r="AG29" i="2"/>
  <c r="AI29" i="2"/>
  <c r="AK29" i="2"/>
  <c r="AM29" i="2"/>
  <c r="AO29" i="2"/>
  <c r="AQ29" i="2"/>
  <c r="AS29" i="2"/>
  <c r="AU29" i="2"/>
  <c r="AW29" i="2"/>
  <c r="BA29" i="2"/>
  <c r="BC29" i="2"/>
  <c r="BE29" i="2"/>
  <c r="BG29" i="2"/>
  <c r="BI29" i="2"/>
  <c r="BK29" i="2"/>
  <c r="BM29" i="2"/>
  <c r="G30" i="2"/>
  <c r="I30" i="2"/>
  <c r="K30" i="2"/>
  <c r="M30" i="2"/>
  <c r="O30" i="2"/>
  <c r="Q30" i="2"/>
  <c r="S30" i="2"/>
  <c r="U30" i="2"/>
  <c r="W30" i="2"/>
  <c r="Y30" i="2"/>
  <c r="AA30" i="2"/>
  <c r="AC30" i="2"/>
  <c r="AE30" i="2"/>
  <c r="AG30" i="2"/>
  <c r="AI30" i="2"/>
  <c r="AK30" i="2"/>
  <c r="AM30" i="2"/>
  <c r="AO30" i="2"/>
  <c r="AQ30" i="2"/>
  <c r="AS30" i="2"/>
  <c r="AU30" i="2"/>
  <c r="AW30" i="2"/>
  <c r="BA30" i="2"/>
  <c r="BC30" i="2"/>
  <c r="BE30" i="2"/>
  <c r="BG30" i="2"/>
  <c r="BI30" i="2"/>
  <c r="BK30" i="2"/>
  <c r="BM30" i="2"/>
  <c r="G31" i="2"/>
  <c r="I31" i="2"/>
  <c r="K31" i="2"/>
  <c r="M31" i="2"/>
  <c r="O31" i="2"/>
  <c r="Q31" i="2"/>
  <c r="S31" i="2"/>
  <c r="U31" i="2"/>
  <c r="W31" i="2"/>
  <c r="Y31" i="2"/>
  <c r="AA31" i="2"/>
  <c r="AC31" i="2"/>
  <c r="AE31" i="2"/>
  <c r="AG31" i="2"/>
  <c r="AI31" i="2"/>
  <c r="AK31" i="2"/>
  <c r="AM31" i="2"/>
  <c r="AO31" i="2"/>
  <c r="AQ31" i="2"/>
  <c r="AS31" i="2"/>
  <c r="AU31" i="2"/>
  <c r="AW31" i="2"/>
  <c r="BA31" i="2"/>
  <c r="BC31" i="2"/>
  <c r="BE31" i="2"/>
  <c r="BG31" i="2"/>
  <c r="BI31" i="2"/>
  <c r="BK31" i="2"/>
  <c r="BM31" i="2"/>
  <c r="G32" i="2"/>
  <c r="I32" i="2"/>
  <c r="K32" i="2"/>
  <c r="M32" i="2"/>
  <c r="O32" i="2"/>
  <c r="Q32" i="2"/>
  <c r="S32" i="2"/>
  <c r="U32" i="2"/>
  <c r="W32" i="2"/>
  <c r="Y32" i="2"/>
  <c r="AA32" i="2"/>
  <c r="AC32" i="2"/>
  <c r="AE32" i="2"/>
  <c r="AG32" i="2"/>
  <c r="AI32" i="2"/>
  <c r="AK32" i="2"/>
  <c r="AM32" i="2"/>
  <c r="AO32" i="2"/>
  <c r="AQ32" i="2"/>
  <c r="AS32" i="2"/>
  <c r="AU32" i="2"/>
  <c r="AW32" i="2"/>
  <c r="BA32" i="2"/>
  <c r="BC32" i="2"/>
  <c r="BE32" i="2"/>
  <c r="BG32" i="2"/>
  <c r="BI32" i="2"/>
  <c r="BK32" i="2"/>
  <c r="BM32" i="2"/>
  <c r="G33" i="2"/>
  <c r="I33" i="2"/>
  <c r="K33" i="2"/>
  <c r="M33" i="2"/>
  <c r="O33" i="2"/>
  <c r="Q33" i="2"/>
  <c r="S33" i="2"/>
  <c r="U33" i="2"/>
  <c r="W33" i="2"/>
  <c r="Y33" i="2"/>
  <c r="AA33" i="2"/>
  <c r="AC33" i="2"/>
  <c r="AE33" i="2"/>
  <c r="AG33" i="2"/>
  <c r="AI33" i="2"/>
  <c r="AK33" i="2"/>
  <c r="AM33" i="2"/>
  <c r="AO33" i="2"/>
  <c r="AQ33" i="2"/>
  <c r="AS33" i="2"/>
  <c r="AU33" i="2"/>
  <c r="AW33" i="2"/>
  <c r="BA33" i="2"/>
  <c r="BC33" i="2"/>
  <c r="BE33" i="2"/>
  <c r="BG33" i="2"/>
  <c r="BI33" i="2"/>
  <c r="BK33" i="2"/>
  <c r="BM33" i="2"/>
  <c r="G34" i="2"/>
  <c r="I34" i="2"/>
  <c r="K34" i="2"/>
  <c r="M34" i="2"/>
  <c r="O34" i="2"/>
  <c r="Q34" i="2"/>
  <c r="S34" i="2"/>
  <c r="U34" i="2"/>
  <c r="W34" i="2"/>
  <c r="Y34" i="2"/>
  <c r="AA34" i="2"/>
  <c r="AC34" i="2"/>
  <c r="AE34" i="2"/>
  <c r="AG34" i="2"/>
  <c r="AI34" i="2"/>
  <c r="AK34" i="2"/>
  <c r="AM34" i="2"/>
  <c r="AO34" i="2"/>
  <c r="AQ34" i="2"/>
  <c r="AS34" i="2"/>
  <c r="AU34" i="2"/>
  <c r="AW34" i="2"/>
  <c r="BA34" i="2"/>
  <c r="BC34" i="2"/>
  <c r="BE34" i="2"/>
  <c r="BG34" i="2"/>
  <c r="BI34" i="2"/>
  <c r="BK34" i="2"/>
  <c r="BM34" i="2"/>
  <c r="G35" i="2"/>
  <c r="I35" i="2"/>
  <c r="K35" i="2"/>
  <c r="M35" i="2"/>
  <c r="O35" i="2"/>
  <c r="Q35" i="2"/>
  <c r="S35" i="2"/>
  <c r="U35" i="2"/>
  <c r="W35" i="2"/>
  <c r="Y35" i="2"/>
  <c r="AA35" i="2"/>
  <c r="AC35" i="2"/>
  <c r="AE35" i="2"/>
  <c r="AG35" i="2"/>
  <c r="AI35" i="2"/>
  <c r="AK35" i="2"/>
  <c r="AM35" i="2"/>
  <c r="AO35" i="2"/>
  <c r="AQ35" i="2"/>
  <c r="AS35" i="2"/>
  <c r="AU35" i="2"/>
  <c r="AW35" i="2"/>
  <c r="BA35" i="2"/>
  <c r="BC35" i="2"/>
  <c r="BE35" i="2"/>
  <c r="BG35" i="2"/>
  <c r="BI35" i="2"/>
  <c r="BK35" i="2"/>
  <c r="BM35" i="2"/>
  <c r="G36" i="2"/>
  <c r="I36" i="2"/>
  <c r="K36" i="2"/>
  <c r="M36" i="2"/>
  <c r="O36" i="2"/>
  <c r="Q36" i="2"/>
  <c r="S36" i="2"/>
  <c r="U36" i="2"/>
  <c r="W36" i="2"/>
  <c r="Y36" i="2"/>
  <c r="AA36" i="2"/>
  <c r="AC36" i="2"/>
  <c r="AE36" i="2"/>
  <c r="AG36" i="2"/>
  <c r="AI36" i="2"/>
  <c r="AK36" i="2"/>
  <c r="AM36" i="2"/>
  <c r="AO36" i="2"/>
  <c r="AQ36" i="2"/>
  <c r="AS36" i="2"/>
  <c r="AU36" i="2"/>
  <c r="AW36" i="2"/>
  <c r="BA36" i="2"/>
  <c r="BC36" i="2"/>
  <c r="BE36" i="2"/>
  <c r="BG36" i="2"/>
  <c r="BI36" i="2"/>
  <c r="BK36" i="2"/>
  <c r="BM36" i="2"/>
  <c r="G37" i="2"/>
  <c r="I37" i="2"/>
  <c r="K37" i="2"/>
  <c r="M37" i="2"/>
  <c r="O37" i="2"/>
  <c r="Q37" i="2"/>
  <c r="S37" i="2"/>
  <c r="U37" i="2"/>
  <c r="W37" i="2"/>
  <c r="Y37" i="2"/>
  <c r="AA37" i="2"/>
  <c r="AC37" i="2"/>
  <c r="AE37" i="2"/>
  <c r="AG37" i="2"/>
  <c r="AI37" i="2"/>
  <c r="AK37" i="2"/>
  <c r="AM37" i="2"/>
  <c r="AO37" i="2"/>
  <c r="AQ37" i="2"/>
  <c r="AS37" i="2"/>
  <c r="AU37" i="2"/>
  <c r="AW37" i="2"/>
  <c r="BA37" i="2"/>
  <c r="BC37" i="2"/>
  <c r="BE37" i="2"/>
  <c r="BG37" i="2"/>
  <c r="BI37" i="2"/>
  <c r="BK37" i="2"/>
  <c r="BM37" i="2"/>
  <c r="G38" i="2"/>
  <c r="I38" i="2"/>
  <c r="K38" i="2"/>
  <c r="M38" i="2"/>
  <c r="O38" i="2"/>
  <c r="Q38" i="2"/>
  <c r="S38" i="2"/>
  <c r="U38" i="2"/>
  <c r="W38" i="2"/>
  <c r="Y38" i="2"/>
  <c r="AA38" i="2"/>
  <c r="AC38" i="2"/>
  <c r="AE38" i="2"/>
  <c r="AG38" i="2"/>
  <c r="AI38" i="2"/>
  <c r="AK38" i="2"/>
  <c r="AM38" i="2"/>
  <c r="AO38" i="2"/>
  <c r="AQ38" i="2"/>
  <c r="AS38" i="2"/>
  <c r="AU38" i="2"/>
  <c r="AW38" i="2"/>
  <c r="BA38" i="2"/>
  <c r="BC38" i="2"/>
  <c r="BE38" i="2"/>
  <c r="BG38" i="2"/>
  <c r="BI38" i="2"/>
  <c r="BK38" i="2"/>
  <c r="BM38" i="2"/>
  <c r="G39" i="2"/>
  <c r="I39" i="2"/>
  <c r="K39" i="2"/>
  <c r="M39" i="2"/>
  <c r="O39" i="2"/>
  <c r="Q39" i="2"/>
  <c r="S39" i="2"/>
  <c r="U39" i="2"/>
  <c r="W39" i="2"/>
  <c r="Y39" i="2"/>
  <c r="AA39" i="2"/>
  <c r="AC39" i="2"/>
  <c r="AE39" i="2"/>
  <c r="AG39" i="2"/>
  <c r="AI39" i="2"/>
  <c r="AK39" i="2"/>
  <c r="AM39" i="2"/>
  <c r="AO39" i="2"/>
  <c r="AQ39" i="2"/>
  <c r="AS39" i="2"/>
  <c r="AU39" i="2"/>
  <c r="AW39" i="2"/>
  <c r="BA39" i="2"/>
  <c r="BC39" i="2"/>
  <c r="BE39" i="2"/>
  <c r="BG39" i="2"/>
  <c r="BI39" i="2"/>
  <c r="BK39" i="2"/>
  <c r="BM39" i="2"/>
  <c r="G40" i="2"/>
  <c r="I40" i="2"/>
  <c r="K40" i="2"/>
  <c r="M40" i="2"/>
  <c r="O40" i="2"/>
  <c r="Q40" i="2"/>
  <c r="S40" i="2"/>
  <c r="U40" i="2"/>
  <c r="W40" i="2"/>
  <c r="Y40" i="2"/>
  <c r="AA40" i="2"/>
  <c r="AC40" i="2"/>
  <c r="AE40" i="2"/>
  <c r="AG40" i="2"/>
  <c r="AI40" i="2"/>
  <c r="AK40" i="2"/>
  <c r="AM40" i="2"/>
  <c r="AO40" i="2"/>
  <c r="AQ40" i="2"/>
  <c r="AS40" i="2"/>
  <c r="AU40" i="2"/>
  <c r="AW40" i="2"/>
  <c r="BA40" i="2"/>
  <c r="BC40" i="2"/>
  <c r="BE40" i="2"/>
  <c r="BG40" i="2"/>
  <c r="BI40" i="2"/>
  <c r="BK40" i="2"/>
  <c r="BM40" i="2"/>
  <c r="G41" i="2"/>
  <c r="I41" i="2"/>
  <c r="K41" i="2"/>
  <c r="M41" i="2"/>
  <c r="O41" i="2"/>
  <c r="Q41" i="2"/>
  <c r="S41" i="2"/>
  <c r="U41" i="2"/>
  <c r="W41" i="2"/>
  <c r="Y41" i="2"/>
  <c r="AA41" i="2"/>
  <c r="AC41" i="2"/>
  <c r="AE41" i="2"/>
  <c r="AG41" i="2"/>
  <c r="AI41" i="2"/>
  <c r="AK41" i="2"/>
  <c r="AM41" i="2"/>
  <c r="AO41" i="2"/>
  <c r="AQ41" i="2"/>
  <c r="AS41" i="2"/>
  <c r="AU41" i="2"/>
  <c r="AW41" i="2"/>
  <c r="BA41" i="2"/>
  <c r="BC41" i="2"/>
  <c r="BE41" i="2"/>
  <c r="BG41" i="2"/>
  <c r="BI41" i="2"/>
  <c r="BK41" i="2"/>
  <c r="BM41" i="2"/>
  <c r="G42" i="2"/>
  <c r="I42" i="2"/>
  <c r="K42" i="2"/>
  <c r="M42" i="2"/>
  <c r="O42" i="2"/>
  <c r="Q42" i="2"/>
  <c r="S42" i="2"/>
  <c r="U42" i="2"/>
  <c r="W42" i="2"/>
  <c r="Y42" i="2"/>
  <c r="AA42" i="2"/>
  <c r="AC42" i="2"/>
  <c r="AE42" i="2"/>
  <c r="AG42" i="2"/>
  <c r="AI42" i="2"/>
  <c r="AK42" i="2"/>
  <c r="AM42" i="2"/>
  <c r="AO42" i="2"/>
  <c r="AQ42" i="2"/>
  <c r="AS42" i="2"/>
  <c r="AU42" i="2"/>
  <c r="AW42" i="2"/>
  <c r="BA42" i="2"/>
  <c r="BC42" i="2"/>
  <c r="BE42" i="2"/>
  <c r="BG42" i="2"/>
  <c r="BI42" i="2"/>
  <c r="BK42" i="2"/>
  <c r="BM42" i="2"/>
  <c r="G43" i="2"/>
  <c r="I43" i="2"/>
  <c r="K43" i="2"/>
  <c r="M43" i="2"/>
  <c r="O43" i="2"/>
  <c r="Q43" i="2"/>
  <c r="S43" i="2"/>
  <c r="U43" i="2"/>
  <c r="W43" i="2"/>
  <c r="Y43" i="2"/>
  <c r="AA43" i="2"/>
  <c r="AC43" i="2"/>
  <c r="AE43" i="2"/>
  <c r="AG43" i="2"/>
  <c r="AI43" i="2"/>
  <c r="AK43" i="2"/>
  <c r="AM43" i="2"/>
  <c r="AO43" i="2"/>
  <c r="AQ43" i="2"/>
  <c r="AS43" i="2"/>
  <c r="AU43" i="2"/>
  <c r="AW43" i="2"/>
  <c r="BA43" i="2"/>
  <c r="BC43" i="2"/>
  <c r="BE43" i="2"/>
  <c r="BG43" i="2"/>
  <c r="BI43" i="2"/>
  <c r="BK43" i="2"/>
  <c r="BM43" i="2"/>
  <c r="G44" i="2"/>
  <c r="I44" i="2"/>
  <c r="K44" i="2"/>
  <c r="M44" i="2"/>
  <c r="O44" i="2"/>
  <c r="Q44" i="2"/>
  <c r="S44" i="2"/>
  <c r="U44" i="2"/>
  <c r="W44" i="2"/>
  <c r="Y44" i="2"/>
  <c r="AA44" i="2"/>
  <c r="AC44" i="2"/>
  <c r="AE44" i="2"/>
  <c r="AG44" i="2"/>
  <c r="AI44" i="2"/>
  <c r="AK44" i="2"/>
  <c r="AM44" i="2"/>
  <c r="AO44" i="2"/>
  <c r="AQ44" i="2"/>
  <c r="AS44" i="2"/>
  <c r="AU44" i="2"/>
  <c r="AW44" i="2"/>
  <c r="BA44" i="2"/>
  <c r="BC44" i="2"/>
  <c r="BE44" i="2"/>
  <c r="BG44" i="2"/>
  <c r="BI44" i="2"/>
  <c r="BK44" i="2"/>
  <c r="BM44" i="2"/>
  <c r="G45" i="2"/>
  <c r="I45" i="2"/>
  <c r="K45" i="2"/>
  <c r="M45" i="2"/>
  <c r="O45" i="2"/>
  <c r="Q45" i="2"/>
  <c r="S45" i="2"/>
  <c r="U45" i="2"/>
  <c r="W45" i="2"/>
  <c r="Y45" i="2"/>
  <c r="AA45" i="2"/>
  <c r="AC45" i="2"/>
  <c r="AE45" i="2"/>
  <c r="AG45" i="2"/>
  <c r="AI45" i="2"/>
  <c r="AK45" i="2"/>
  <c r="AM45" i="2"/>
  <c r="AO45" i="2"/>
  <c r="AQ45" i="2"/>
  <c r="AS45" i="2"/>
  <c r="AU45" i="2"/>
  <c r="AW45" i="2"/>
  <c r="BA45" i="2"/>
  <c r="BC45" i="2"/>
  <c r="BE45" i="2"/>
  <c r="BG45" i="2"/>
  <c r="BI45" i="2"/>
  <c r="BK45" i="2"/>
  <c r="BM45" i="2"/>
  <c r="G46" i="2"/>
  <c r="K46" i="2"/>
  <c r="M46" i="2"/>
  <c r="O46" i="2"/>
  <c r="Q46" i="2"/>
  <c r="S46" i="2"/>
  <c r="U46" i="2"/>
  <c r="W46" i="2"/>
  <c r="Y46" i="2"/>
  <c r="AA46" i="2"/>
  <c r="AC46" i="2"/>
  <c r="AE46" i="2"/>
  <c r="AG46" i="2"/>
  <c r="AI46" i="2"/>
  <c r="AK46" i="2"/>
  <c r="AM46" i="2"/>
  <c r="AO46" i="2"/>
  <c r="AQ46" i="2"/>
  <c r="AS46" i="2"/>
  <c r="AU46" i="2"/>
  <c r="AW46" i="2"/>
  <c r="BA46" i="2"/>
  <c r="BC46" i="2"/>
  <c r="BE46" i="2"/>
  <c r="BG46" i="2"/>
  <c r="BI46" i="2"/>
  <c r="BK46" i="2"/>
  <c r="BM46" i="2"/>
  <c r="G47" i="2"/>
  <c r="I47" i="2"/>
  <c r="K47" i="2"/>
  <c r="M47" i="2"/>
  <c r="O47" i="2"/>
  <c r="Q47" i="2"/>
  <c r="S47" i="2"/>
  <c r="U47" i="2"/>
  <c r="W47" i="2"/>
  <c r="Y47" i="2"/>
  <c r="AA47" i="2"/>
  <c r="AC47" i="2"/>
  <c r="AE47" i="2"/>
  <c r="AG47" i="2"/>
  <c r="AI47" i="2"/>
  <c r="AK47" i="2"/>
  <c r="AM47" i="2"/>
  <c r="AO47" i="2"/>
  <c r="AQ47" i="2"/>
  <c r="AS47" i="2"/>
  <c r="AU47" i="2"/>
  <c r="AW47" i="2"/>
  <c r="BA47" i="2"/>
  <c r="BC47" i="2"/>
  <c r="BE47" i="2"/>
  <c r="BG47" i="2"/>
  <c r="BI47" i="2"/>
  <c r="BK47" i="2"/>
  <c r="BM47" i="2"/>
  <c r="G48" i="2"/>
  <c r="I48" i="2"/>
  <c r="K48" i="2"/>
  <c r="M48" i="2"/>
  <c r="O48" i="2"/>
  <c r="Q48" i="2"/>
  <c r="S48" i="2"/>
  <c r="U48" i="2"/>
  <c r="W48" i="2"/>
  <c r="Y48" i="2"/>
  <c r="AA48" i="2"/>
  <c r="AC48" i="2"/>
  <c r="AE48" i="2"/>
  <c r="AG48" i="2"/>
  <c r="AI48" i="2"/>
  <c r="AK48" i="2"/>
  <c r="AM48" i="2"/>
  <c r="AO48" i="2"/>
  <c r="AQ48" i="2"/>
  <c r="AS48" i="2"/>
  <c r="AU48" i="2"/>
  <c r="AW48" i="2"/>
  <c r="BA48" i="2"/>
  <c r="BC48" i="2"/>
  <c r="BE48" i="2"/>
  <c r="BG48" i="2"/>
  <c r="BI48" i="2"/>
  <c r="BK48" i="2"/>
  <c r="BM48" i="2"/>
  <c r="G49" i="2"/>
  <c r="I49" i="2"/>
  <c r="K49" i="2"/>
  <c r="M49" i="2"/>
  <c r="O49" i="2"/>
  <c r="Q49" i="2"/>
  <c r="S49" i="2"/>
  <c r="U49" i="2"/>
  <c r="W49" i="2"/>
  <c r="Y49" i="2"/>
  <c r="AA49" i="2"/>
  <c r="AC49" i="2"/>
  <c r="AE49" i="2"/>
  <c r="AG49" i="2"/>
  <c r="AI49" i="2"/>
  <c r="AK49" i="2"/>
  <c r="AM49" i="2"/>
  <c r="AO49" i="2"/>
  <c r="AQ49" i="2"/>
  <c r="AS49" i="2"/>
  <c r="AU49" i="2"/>
  <c r="AW49" i="2"/>
  <c r="BA49" i="2"/>
  <c r="BC49" i="2"/>
  <c r="BE49" i="2"/>
  <c r="BG49" i="2"/>
  <c r="BI49" i="2"/>
  <c r="BK49" i="2"/>
  <c r="BM49" i="2"/>
  <c r="G50" i="2"/>
  <c r="I50" i="2"/>
  <c r="K50" i="2"/>
  <c r="M50" i="2"/>
  <c r="O50" i="2"/>
  <c r="Q50" i="2"/>
  <c r="S50" i="2"/>
  <c r="U50" i="2"/>
  <c r="W50" i="2"/>
  <c r="Y50" i="2"/>
  <c r="AA50" i="2"/>
  <c r="AC50" i="2"/>
  <c r="AE50" i="2"/>
  <c r="AG50" i="2"/>
  <c r="AI50" i="2"/>
  <c r="AK50" i="2"/>
  <c r="AM50" i="2"/>
  <c r="AO50" i="2"/>
  <c r="AQ50" i="2"/>
  <c r="AS50" i="2"/>
  <c r="AU50" i="2"/>
  <c r="AW50" i="2"/>
  <c r="BA50" i="2"/>
  <c r="BC50" i="2"/>
  <c r="BE50" i="2"/>
  <c r="BG50" i="2"/>
  <c r="BI50" i="2"/>
  <c r="BK50" i="2"/>
  <c r="BM50" i="2"/>
  <c r="G51" i="2"/>
  <c r="I51" i="2"/>
  <c r="K51" i="2"/>
  <c r="M51" i="2"/>
  <c r="O51" i="2"/>
  <c r="Q51" i="2"/>
  <c r="S51" i="2"/>
  <c r="U51" i="2"/>
  <c r="W51" i="2"/>
  <c r="Y51" i="2"/>
  <c r="AA51" i="2"/>
  <c r="AC51" i="2"/>
  <c r="AE51" i="2"/>
  <c r="AG51" i="2"/>
  <c r="AI51" i="2"/>
  <c r="AK51" i="2"/>
  <c r="AM51" i="2"/>
  <c r="AO51" i="2"/>
  <c r="AQ51" i="2"/>
  <c r="AS51" i="2"/>
  <c r="AU51" i="2"/>
  <c r="AW51" i="2"/>
  <c r="BA51" i="2"/>
  <c r="BC51" i="2"/>
  <c r="BE51" i="2"/>
  <c r="BG51" i="2"/>
  <c r="BI51" i="2"/>
  <c r="BK51" i="2"/>
  <c r="BM51" i="2"/>
  <c r="G52" i="2"/>
  <c r="I52" i="2"/>
  <c r="K52" i="2"/>
  <c r="M52" i="2"/>
  <c r="O52" i="2"/>
  <c r="Q52" i="2"/>
  <c r="S52" i="2"/>
  <c r="U52" i="2"/>
  <c r="W52" i="2"/>
  <c r="Y52" i="2"/>
  <c r="AA52" i="2"/>
  <c r="AC52" i="2"/>
  <c r="AE52" i="2"/>
  <c r="AG52" i="2"/>
  <c r="AI52" i="2"/>
  <c r="AK52" i="2"/>
  <c r="AM52" i="2"/>
  <c r="AO52" i="2"/>
  <c r="AQ52" i="2"/>
  <c r="AS52" i="2"/>
  <c r="AU52" i="2"/>
  <c r="AW52" i="2"/>
  <c r="BA52" i="2"/>
  <c r="BC52" i="2"/>
  <c r="BE52" i="2"/>
  <c r="BG52" i="2"/>
  <c r="BI52" i="2"/>
  <c r="BK52" i="2"/>
  <c r="BM52" i="2"/>
  <c r="G53" i="2"/>
  <c r="I53" i="2"/>
  <c r="K53" i="2"/>
  <c r="M53" i="2"/>
  <c r="O53" i="2"/>
  <c r="Q53" i="2"/>
  <c r="S53" i="2"/>
  <c r="U53" i="2"/>
  <c r="W53" i="2"/>
  <c r="Y53" i="2"/>
  <c r="AA53" i="2"/>
  <c r="AC53" i="2"/>
  <c r="AE53" i="2"/>
  <c r="AG53" i="2"/>
  <c r="AI53" i="2"/>
  <c r="AK53" i="2"/>
  <c r="AM53" i="2"/>
  <c r="AO53" i="2"/>
  <c r="AQ53" i="2"/>
  <c r="AS53" i="2"/>
  <c r="AU53" i="2"/>
  <c r="AW53" i="2"/>
  <c r="BA53" i="2"/>
  <c r="BC53" i="2"/>
  <c r="BE53" i="2"/>
  <c r="BG53" i="2"/>
  <c r="BI53" i="2"/>
  <c r="BK53" i="2"/>
  <c r="BM53" i="2"/>
  <c r="G54" i="2"/>
  <c r="I54" i="2"/>
  <c r="K54" i="2"/>
  <c r="M54" i="2"/>
  <c r="O54" i="2"/>
  <c r="Q54" i="2"/>
  <c r="S54" i="2"/>
  <c r="U54" i="2"/>
  <c r="W54" i="2"/>
  <c r="Y54" i="2"/>
  <c r="AA54" i="2"/>
  <c r="AC54" i="2"/>
  <c r="AE54" i="2"/>
  <c r="AG54" i="2"/>
  <c r="AI54" i="2"/>
  <c r="AK54" i="2"/>
  <c r="AM54" i="2"/>
  <c r="AO54" i="2"/>
  <c r="AQ54" i="2"/>
  <c r="AS54" i="2"/>
  <c r="AU54" i="2"/>
  <c r="AW54" i="2"/>
  <c r="BA54" i="2"/>
  <c r="BC54" i="2"/>
  <c r="BE54" i="2"/>
  <c r="BG54" i="2"/>
  <c r="BI54" i="2"/>
  <c r="BK54" i="2"/>
  <c r="BM54" i="2"/>
  <c r="G55" i="2"/>
  <c r="I55" i="2"/>
  <c r="K55" i="2"/>
  <c r="M55" i="2"/>
  <c r="O55" i="2"/>
  <c r="Q55" i="2"/>
  <c r="S55" i="2"/>
  <c r="U55" i="2"/>
  <c r="W55" i="2"/>
  <c r="Y55" i="2"/>
  <c r="AA55" i="2"/>
  <c r="AC55" i="2"/>
  <c r="AE55" i="2"/>
  <c r="AG55" i="2"/>
  <c r="AI55" i="2"/>
  <c r="AK55" i="2"/>
  <c r="AM55" i="2"/>
  <c r="AO55" i="2"/>
  <c r="AQ55" i="2"/>
  <c r="AS55" i="2"/>
  <c r="AU55" i="2"/>
  <c r="AW55" i="2"/>
  <c r="BA55" i="2"/>
  <c r="BC55" i="2"/>
  <c r="BE55" i="2"/>
  <c r="BG55" i="2"/>
  <c r="BI55" i="2"/>
  <c r="BK55" i="2"/>
  <c r="BM55" i="2"/>
  <c r="G56" i="2"/>
  <c r="I56" i="2"/>
  <c r="K56" i="2"/>
  <c r="M56" i="2"/>
  <c r="O56" i="2"/>
  <c r="Q56" i="2"/>
  <c r="S56" i="2"/>
  <c r="U56" i="2"/>
  <c r="W56" i="2"/>
  <c r="Y56" i="2"/>
  <c r="AA56" i="2"/>
  <c r="AC56" i="2"/>
  <c r="AE56" i="2"/>
  <c r="AG56" i="2"/>
  <c r="AI56" i="2"/>
  <c r="AK56" i="2"/>
  <c r="AM56" i="2"/>
  <c r="AO56" i="2"/>
  <c r="AQ56" i="2"/>
  <c r="AS56" i="2"/>
  <c r="AU56" i="2"/>
  <c r="AW56" i="2"/>
  <c r="BA56" i="2"/>
  <c r="BC56" i="2"/>
  <c r="BE56" i="2"/>
  <c r="BG56" i="2"/>
  <c r="BI56" i="2"/>
  <c r="BK56" i="2"/>
  <c r="BM56" i="2"/>
  <c r="G57" i="2"/>
  <c r="I57" i="2"/>
  <c r="K57" i="2"/>
  <c r="M57" i="2"/>
  <c r="O57" i="2"/>
  <c r="Q57" i="2"/>
  <c r="S57" i="2"/>
  <c r="U57" i="2"/>
  <c r="W57" i="2"/>
  <c r="Y57" i="2"/>
  <c r="AA57" i="2"/>
  <c r="AC57" i="2"/>
  <c r="AE57" i="2"/>
  <c r="AG57" i="2"/>
  <c r="AI57" i="2"/>
  <c r="AK57" i="2"/>
  <c r="AM57" i="2"/>
  <c r="AO57" i="2"/>
  <c r="AQ57" i="2"/>
  <c r="AS57" i="2"/>
  <c r="AU57" i="2"/>
  <c r="AW57" i="2"/>
  <c r="BA57" i="2"/>
  <c r="BC57" i="2"/>
  <c r="BE57" i="2"/>
  <c r="BG57" i="2"/>
  <c r="BI57" i="2"/>
  <c r="BK57" i="2"/>
  <c r="BM57" i="2"/>
  <c r="G58" i="2"/>
  <c r="I58" i="2"/>
  <c r="K58" i="2"/>
  <c r="M58" i="2"/>
  <c r="O58" i="2"/>
  <c r="Q58" i="2"/>
  <c r="S58" i="2"/>
  <c r="U58" i="2"/>
  <c r="W58" i="2"/>
  <c r="Y58" i="2"/>
  <c r="AA58" i="2"/>
  <c r="AC58" i="2"/>
  <c r="AE58" i="2"/>
  <c r="AG58" i="2"/>
  <c r="AI58" i="2"/>
  <c r="AK58" i="2"/>
  <c r="AM58" i="2"/>
  <c r="AO58" i="2"/>
  <c r="AQ58" i="2"/>
  <c r="AS58" i="2"/>
  <c r="AU58" i="2"/>
  <c r="AW58" i="2"/>
  <c r="BA58" i="2"/>
  <c r="BC58" i="2"/>
  <c r="BE58" i="2"/>
  <c r="BG58" i="2"/>
  <c r="BI58" i="2"/>
  <c r="BK58" i="2"/>
  <c r="BM58" i="2"/>
  <c r="G59" i="2"/>
  <c r="I59" i="2"/>
  <c r="K59" i="2"/>
  <c r="M59" i="2"/>
  <c r="O59" i="2"/>
  <c r="Q59" i="2"/>
  <c r="S59" i="2"/>
  <c r="U59" i="2"/>
  <c r="W59" i="2"/>
  <c r="Y59" i="2"/>
  <c r="AA59" i="2"/>
  <c r="AC59" i="2"/>
  <c r="AE59" i="2"/>
  <c r="AG59" i="2"/>
  <c r="AI59" i="2"/>
  <c r="AK59" i="2"/>
  <c r="AM59" i="2"/>
  <c r="AO59" i="2"/>
  <c r="AQ59" i="2"/>
  <c r="AS59" i="2"/>
  <c r="AU59" i="2"/>
  <c r="AW59" i="2"/>
  <c r="BA59" i="2"/>
  <c r="BC59" i="2"/>
  <c r="BE59" i="2"/>
  <c r="BG59" i="2"/>
  <c r="BI59" i="2"/>
  <c r="BK59" i="2"/>
  <c r="BM59" i="2"/>
  <c r="G60" i="2"/>
  <c r="I60" i="2"/>
  <c r="K60" i="2"/>
  <c r="M60" i="2"/>
  <c r="O60" i="2"/>
  <c r="Q60" i="2"/>
  <c r="S60" i="2"/>
  <c r="U60" i="2"/>
  <c r="W60" i="2"/>
  <c r="Y60" i="2"/>
  <c r="AA60" i="2"/>
  <c r="AC60" i="2"/>
  <c r="AE60" i="2"/>
  <c r="AG60" i="2"/>
  <c r="AI60" i="2"/>
  <c r="AK60" i="2"/>
  <c r="AM60" i="2"/>
  <c r="AO60" i="2"/>
  <c r="AQ60" i="2"/>
  <c r="AS60" i="2"/>
  <c r="AU60" i="2"/>
  <c r="AW60" i="2"/>
  <c r="BA60" i="2"/>
  <c r="BC60" i="2"/>
  <c r="BE60" i="2"/>
  <c r="BG60" i="2"/>
  <c r="BI60" i="2"/>
  <c r="BK60" i="2"/>
  <c r="BM60" i="2"/>
  <c r="G61" i="2"/>
  <c r="I61" i="2"/>
  <c r="K61" i="2"/>
  <c r="M61" i="2"/>
  <c r="O61" i="2"/>
  <c r="Q61" i="2"/>
  <c r="S61" i="2"/>
  <c r="U61" i="2"/>
  <c r="W61" i="2"/>
  <c r="Y61" i="2"/>
  <c r="AA61" i="2"/>
  <c r="AC61" i="2"/>
  <c r="AE61" i="2"/>
  <c r="AG61" i="2"/>
  <c r="AI61" i="2"/>
  <c r="AK61" i="2"/>
  <c r="AM61" i="2"/>
  <c r="AO61" i="2"/>
  <c r="AQ61" i="2"/>
  <c r="AS61" i="2"/>
  <c r="AU61" i="2"/>
  <c r="AW61" i="2"/>
  <c r="BA61" i="2"/>
  <c r="BC61" i="2"/>
  <c r="BE61" i="2"/>
  <c r="BG61" i="2"/>
  <c r="BI61" i="2"/>
  <c r="BK61" i="2"/>
  <c r="BM61" i="2"/>
  <c r="G62" i="2"/>
  <c r="I62" i="2"/>
  <c r="K62" i="2"/>
  <c r="M62" i="2"/>
  <c r="O62" i="2"/>
  <c r="Q62" i="2"/>
  <c r="S62" i="2"/>
  <c r="U62" i="2"/>
  <c r="W62" i="2"/>
  <c r="Y62" i="2"/>
  <c r="AA62" i="2"/>
  <c r="AC62" i="2"/>
  <c r="AE62" i="2"/>
  <c r="AG62" i="2"/>
  <c r="AI62" i="2"/>
  <c r="AK62" i="2"/>
  <c r="AM62" i="2"/>
  <c r="AO62" i="2"/>
  <c r="AQ62" i="2"/>
  <c r="AS62" i="2"/>
  <c r="AU62" i="2"/>
  <c r="AW62" i="2"/>
  <c r="BA62" i="2"/>
  <c r="BC62" i="2"/>
  <c r="BE62" i="2"/>
  <c r="BG62" i="2"/>
  <c r="BI62" i="2"/>
  <c r="BK62" i="2"/>
  <c r="BM62" i="2"/>
  <c r="G63" i="2"/>
  <c r="I63" i="2"/>
  <c r="K63" i="2"/>
  <c r="M63" i="2"/>
  <c r="O63" i="2"/>
  <c r="Q63" i="2"/>
  <c r="S63" i="2"/>
  <c r="U63" i="2"/>
  <c r="W63" i="2"/>
  <c r="Y63" i="2"/>
  <c r="AA63" i="2"/>
  <c r="AC63" i="2"/>
  <c r="AE63" i="2"/>
  <c r="AG63" i="2"/>
  <c r="AI63" i="2"/>
  <c r="AK63" i="2"/>
  <c r="AM63" i="2"/>
  <c r="AO63" i="2"/>
  <c r="AQ63" i="2"/>
  <c r="AS63" i="2"/>
  <c r="AU63" i="2"/>
  <c r="AW63" i="2"/>
  <c r="BA63" i="2"/>
  <c r="BC63" i="2"/>
  <c r="BE63" i="2"/>
  <c r="BG63" i="2"/>
  <c r="BI63" i="2"/>
  <c r="BK63" i="2"/>
  <c r="BM63" i="2"/>
  <c r="G64" i="2"/>
  <c r="I64" i="2"/>
  <c r="K64" i="2"/>
  <c r="M64" i="2"/>
  <c r="O64" i="2"/>
  <c r="Q64" i="2"/>
  <c r="S64" i="2"/>
  <c r="U64" i="2"/>
  <c r="W64" i="2"/>
  <c r="Y64" i="2"/>
  <c r="AA64" i="2"/>
  <c r="AC64" i="2"/>
  <c r="AE64" i="2"/>
  <c r="AG64" i="2"/>
  <c r="AI64" i="2"/>
  <c r="AK64" i="2"/>
  <c r="AM64" i="2"/>
  <c r="AO64" i="2"/>
  <c r="AQ64" i="2"/>
  <c r="AS64" i="2"/>
  <c r="AU64" i="2"/>
  <c r="AW64" i="2"/>
  <c r="BA64" i="2"/>
  <c r="BC64" i="2"/>
  <c r="BE64" i="2"/>
  <c r="BG64" i="2"/>
  <c r="BI64" i="2"/>
  <c r="BK64" i="2"/>
  <c r="BM64" i="2"/>
  <c r="G65" i="2"/>
  <c r="I65" i="2"/>
  <c r="K65" i="2"/>
  <c r="M65" i="2"/>
  <c r="O65" i="2"/>
  <c r="Q65" i="2"/>
  <c r="S65" i="2"/>
  <c r="U65" i="2"/>
  <c r="W65" i="2"/>
  <c r="Y65" i="2"/>
  <c r="AA65" i="2"/>
  <c r="AC65" i="2"/>
  <c r="AE65" i="2"/>
  <c r="AG65" i="2"/>
  <c r="AI65" i="2"/>
  <c r="AK65" i="2"/>
  <c r="AM65" i="2"/>
  <c r="AO65" i="2"/>
  <c r="AQ65" i="2"/>
  <c r="AS65" i="2"/>
  <c r="AU65" i="2"/>
  <c r="AW65" i="2"/>
  <c r="BA65" i="2"/>
  <c r="BC65" i="2"/>
  <c r="BE65" i="2"/>
  <c r="BG65" i="2"/>
  <c r="BI65" i="2"/>
  <c r="BK65" i="2"/>
  <c r="BM65" i="2"/>
  <c r="G66" i="2"/>
  <c r="I66" i="2"/>
  <c r="K66" i="2"/>
  <c r="M66" i="2"/>
  <c r="O66" i="2"/>
  <c r="Q66" i="2"/>
  <c r="S66" i="2"/>
  <c r="U66" i="2"/>
  <c r="W66" i="2"/>
  <c r="Y66" i="2"/>
  <c r="AA66" i="2"/>
  <c r="AC66" i="2"/>
  <c r="AE66" i="2"/>
  <c r="AG66" i="2"/>
  <c r="AI66" i="2"/>
  <c r="AK66" i="2"/>
  <c r="AM66" i="2"/>
  <c r="AO66" i="2"/>
  <c r="AQ66" i="2"/>
  <c r="AS66" i="2"/>
  <c r="AU66" i="2"/>
  <c r="AW66" i="2"/>
  <c r="BA66" i="2"/>
  <c r="BC66" i="2"/>
  <c r="BE66" i="2"/>
  <c r="BG66" i="2"/>
  <c r="BI66" i="2"/>
  <c r="BK66" i="2"/>
  <c r="BM66" i="2"/>
  <c r="G68" i="2"/>
  <c r="I68" i="2"/>
  <c r="K68" i="2"/>
  <c r="M68" i="2"/>
  <c r="O68" i="2"/>
  <c r="Q68" i="2"/>
  <c r="S68" i="2"/>
  <c r="U68" i="2"/>
  <c r="W68" i="2"/>
  <c r="Y68" i="2"/>
  <c r="AA68" i="2"/>
  <c r="AC68" i="2"/>
  <c r="AE68" i="2"/>
  <c r="AG68" i="2"/>
  <c r="AI68" i="2"/>
  <c r="AK68" i="2"/>
  <c r="AM68" i="2"/>
  <c r="AO68" i="2"/>
  <c r="AQ68" i="2"/>
  <c r="AS68" i="2"/>
  <c r="AU68" i="2"/>
  <c r="AW68" i="2"/>
  <c r="BA68" i="2"/>
  <c r="BC68" i="2"/>
  <c r="BE68" i="2"/>
  <c r="BG68" i="2"/>
  <c r="BI68" i="2"/>
  <c r="BK68" i="2"/>
  <c r="BM68" i="2"/>
  <c r="G69" i="2"/>
  <c r="I69" i="2"/>
  <c r="M69" i="2"/>
  <c r="O69" i="2"/>
  <c r="Q69" i="2"/>
  <c r="Y69" i="2"/>
  <c r="AA69" i="2"/>
  <c r="AC69" i="2"/>
  <c r="AE69" i="2"/>
  <c r="AG69" i="2"/>
  <c r="AI69" i="2"/>
  <c r="AK69" i="2"/>
  <c r="AM69" i="2"/>
  <c r="AO69" i="2"/>
  <c r="AQ69" i="2"/>
  <c r="AS69" i="2"/>
  <c r="AU69" i="2"/>
  <c r="BA69" i="2"/>
  <c r="BC69" i="2"/>
  <c r="BE69" i="2"/>
  <c r="BG69" i="2"/>
  <c r="BI69" i="2"/>
  <c r="BK69" i="2"/>
  <c r="BM69" i="2"/>
  <c r="G70" i="2"/>
  <c r="I70" i="2"/>
  <c r="K70" i="2"/>
  <c r="M70" i="2"/>
  <c r="O70" i="2"/>
  <c r="Q70" i="2"/>
  <c r="Y70" i="2"/>
  <c r="AA70" i="2"/>
  <c r="AC70" i="2"/>
  <c r="AE70" i="2"/>
  <c r="AG70" i="2"/>
  <c r="AI70" i="2"/>
  <c r="AK70" i="2"/>
  <c r="AM70" i="2"/>
  <c r="AO70" i="2"/>
  <c r="AQ70" i="2"/>
  <c r="AS70" i="2"/>
  <c r="AU70" i="2"/>
  <c r="AW70" i="2"/>
  <c r="BA70" i="2"/>
  <c r="BC70" i="2"/>
  <c r="BE70" i="2"/>
  <c r="BG70" i="2"/>
  <c r="BI70" i="2"/>
  <c r="BK70" i="2"/>
  <c r="BM70" i="2"/>
  <c r="G71" i="2"/>
  <c r="I71" i="2"/>
  <c r="K71" i="2"/>
  <c r="M71" i="2"/>
  <c r="O71" i="2"/>
  <c r="Q71" i="2"/>
  <c r="S71" i="2"/>
  <c r="Y71" i="2"/>
  <c r="AA71" i="2"/>
  <c r="AC71" i="2"/>
  <c r="AE71" i="2"/>
  <c r="AG71" i="2"/>
  <c r="AI71" i="2"/>
  <c r="AK71" i="2"/>
  <c r="AM71" i="2"/>
  <c r="AO71" i="2"/>
  <c r="AQ71" i="2"/>
  <c r="AS71" i="2"/>
  <c r="AU71" i="2"/>
  <c r="AW71" i="2"/>
  <c r="BA71" i="2"/>
  <c r="BC71" i="2"/>
  <c r="BE71" i="2"/>
  <c r="BG71" i="2"/>
  <c r="BI71" i="2"/>
  <c r="BK71" i="2"/>
  <c r="BM71" i="2"/>
  <c r="G72" i="2"/>
  <c r="I72" i="2"/>
  <c r="K72" i="2"/>
  <c r="M72" i="2"/>
  <c r="O72" i="2"/>
  <c r="Q72" i="2"/>
  <c r="S72" i="2"/>
  <c r="U72" i="2"/>
  <c r="W72" i="2"/>
  <c r="Y72" i="2"/>
  <c r="AA72" i="2"/>
  <c r="AC72" i="2"/>
  <c r="AE72" i="2"/>
  <c r="AG72" i="2"/>
  <c r="AI72" i="2"/>
  <c r="AK72" i="2"/>
  <c r="AM72" i="2"/>
  <c r="AO72" i="2"/>
  <c r="AQ72" i="2"/>
  <c r="AS72" i="2"/>
  <c r="AU72" i="2"/>
  <c r="AW72" i="2"/>
  <c r="BA72" i="2"/>
  <c r="BC72" i="2"/>
  <c r="BE72" i="2"/>
  <c r="BG72" i="2"/>
  <c r="BI72" i="2"/>
  <c r="BK72" i="2"/>
  <c r="BM72" i="2"/>
  <c r="G73" i="2"/>
  <c r="I73" i="2"/>
  <c r="K73" i="2"/>
  <c r="M73" i="2"/>
  <c r="O73" i="2"/>
  <c r="Q73" i="2"/>
  <c r="S73" i="2"/>
  <c r="U73" i="2"/>
  <c r="W73" i="2"/>
  <c r="Y73" i="2"/>
  <c r="AA73" i="2"/>
  <c r="AC73" i="2"/>
  <c r="AE73" i="2"/>
  <c r="AG73" i="2"/>
  <c r="AI73" i="2"/>
  <c r="AK73" i="2"/>
  <c r="AM73" i="2"/>
  <c r="AO73" i="2"/>
  <c r="AQ73" i="2"/>
  <c r="AS73" i="2"/>
  <c r="AU73" i="2"/>
  <c r="AW73" i="2"/>
  <c r="BA73" i="2"/>
  <c r="BC73" i="2"/>
  <c r="BE73" i="2"/>
  <c r="BG73" i="2"/>
  <c r="BI73" i="2"/>
  <c r="BK73" i="2"/>
  <c r="BM73" i="2"/>
  <c r="G74" i="2"/>
  <c r="I74" i="2"/>
  <c r="K74" i="2"/>
  <c r="M74" i="2"/>
  <c r="O74" i="2"/>
  <c r="Q74" i="2"/>
  <c r="S74" i="2"/>
  <c r="U74" i="2"/>
  <c r="W74" i="2"/>
  <c r="Y74" i="2"/>
  <c r="AA74" i="2"/>
  <c r="AC74" i="2"/>
  <c r="AE74" i="2"/>
  <c r="AG74" i="2"/>
  <c r="AI74" i="2"/>
  <c r="AK74" i="2"/>
  <c r="AM74" i="2"/>
  <c r="AO74" i="2"/>
  <c r="AQ74" i="2"/>
  <c r="AS74" i="2"/>
  <c r="AU74" i="2"/>
  <c r="AW74" i="2"/>
  <c r="BA74" i="2"/>
  <c r="BC74" i="2"/>
  <c r="BE74" i="2"/>
  <c r="BG74" i="2"/>
  <c r="BI74" i="2"/>
  <c r="BK74" i="2"/>
  <c r="BM74" i="2"/>
  <c r="G75" i="2"/>
  <c r="I75" i="2"/>
  <c r="K75" i="2"/>
  <c r="M75" i="2"/>
  <c r="O75" i="2"/>
  <c r="Q75" i="2"/>
  <c r="S75" i="2"/>
  <c r="U75" i="2"/>
  <c r="W75" i="2"/>
  <c r="Y75" i="2"/>
  <c r="AA75" i="2"/>
  <c r="AC75" i="2"/>
  <c r="AE75" i="2"/>
  <c r="AG75" i="2"/>
  <c r="AI75" i="2"/>
  <c r="AK75" i="2"/>
  <c r="AM75" i="2"/>
  <c r="AO75" i="2"/>
  <c r="AQ75" i="2"/>
  <c r="AS75" i="2"/>
  <c r="AU75" i="2"/>
  <c r="AW75" i="2"/>
  <c r="BA75" i="2"/>
  <c r="BC75" i="2"/>
  <c r="BE75" i="2"/>
  <c r="BG75" i="2"/>
  <c r="BI75" i="2"/>
  <c r="BK75" i="2"/>
  <c r="BM75" i="2"/>
  <c r="G76" i="2"/>
  <c r="I76" i="2"/>
  <c r="K76" i="2"/>
  <c r="M76" i="2"/>
  <c r="O76" i="2"/>
  <c r="Q76" i="2"/>
  <c r="S76" i="2"/>
  <c r="U76" i="2"/>
  <c r="W76" i="2"/>
  <c r="Y76" i="2"/>
  <c r="AA76" i="2"/>
  <c r="AC76" i="2"/>
  <c r="AE76" i="2"/>
  <c r="AG76" i="2"/>
  <c r="AI76" i="2"/>
  <c r="AK76" i="2"/>
  <c r="AM76" i="2"/>
  <c r="AO76" i="2"/>
  <c r="AQ76" i="2"/>
  <c r="AS76" i="2"/>
  <c r="AU76" i="2"/>
  <c r="AW76" i="2"/>
  <c r="BA76" i="2"/>
  <c r="BC76" i="2"/>
  <c r="BE76" i="2"/>
  <c r="BG76" i="2"/>
  <c r="BI76" i="2"/>
  <c r="BK76" i="2"/>
  <c r="BM76" i="2"/>
  <c r="G77" i="2"/>
  <c r="I77" i="2"/>
  <c r="K77" i="2"/>
  <c r="M77" i="2"/>
  <c r="O77" i="2"/>
  <c r="Q77" i="2"/>
  <c r="S77" i="2"/>
  <c r="U77" i="2"/>
  <c r="W77" i="2"/>
  <c r="Y77" i="2"/>
  <c r="AA77" i="2"/>
  <c r="AC77" i="2"/>
  <c r="AE77" i="2"/>
  <c r="AG77" i="2"/>
  <c r="AI77" i="2"/>
  <c r="AK77" i="2"/>
  <c r="AM77" i="2"/>
  <c r="AO77" i="2"/>
  <c r="AQ77" i="2"/>
  <c r="AS77" i="2"/>
  <c r="AU77" i="2"/>
  <c r="AW77" i="2"/>
  <c r="BA77" i="2"/>
  <c r="BC77" i="2"/>
  <c r="BE77" i="2"/>
  <c r="BG77" i="2"/>
  <c r="BI77" i="2"/>
  <c r="BK77" i="2"/>
  <c r="BM77" i="2"/>
  <c r="G78" i="2"/>
  <c r="I78" i="2"/>
  <c r="K78" i="2"/>
  <c r="M78" i="2"/>
  <c r="O78" i="2"/>
  <c r="Q78" i="2"/>
  <c r="S78" i="2"/>
  <c r="U78" i="2"/>
  <c r="W78" i="2"/>
  <c r="Y78" i="2"/>
  <c r="AA78" i="2"/>
  <c r="AC78" i="2"/>
  <c r="AE78" i="2"/>
  <c r="AG78" i="2"/>
  <c r="AI78" i="2"/>
  <c r="AK78" i="2"/>
  <c r="AM78" i="2"/>
  <c r="AO78" i="2"/>
  <c r="AQ78" i="2"/>
  <c r="AS78" i="2"/>
  <c r="AU78" i="2"/>
  <c r="AW78" i="2"/>
  <c r="BA78" i="2"/>
  <c r="BC78" i="2"/>
  <c r="BE78" i="2"/>
  <c r="BG78" i="2"/>
  <c r="BI78" i="2"/>
  <c r="BK78" i="2"/>
  <c r="BM78" i="2"/>
  <c r="G79" i="2"/>
  <c r="I79" i="2"/>
  <c r="K79" i="2"/>
  <c r="M79" i="2"/>
  <c r="O79" i="2"/>
  <c r="Q79" i="2"/>
  <c r="S79" i="2"/>
  <c r="U79" i="2"/>
  <c r="W79" i="2"/>
  <c r="Y79" i="2"/>
  <c r="AA79" i="2"/>
  <c r="AC79" i="2"/>
  <c r="AE79" i="2"/>
  <c r="AG79" i="2"/>
  <c r="AI79" i="2"/>
  <c r="AK79" i="2"/>
  <c r="AM79" i="2"/>
  <c r="AO79" i="2"/>
  <c r="AQ79" i="2"/>
  <c r="AS79" i="2"/>
  <c r="AU79" i="2"/>
  <c r="AW79" i="2"/>
  <c r="BA79" i="2"/>
  <c r="BC79" i="2"/>
  <c r="BE79" i="2"/>
  <c r="BG79" i="2"/>
  <c r="BI79" i="2"/>
  <c r="BK79" i="2"/>
  <c r="BM79" i="2"/>
  <c r="G82" i="2"/>
  <c r="I82" i="2"/>
  <c r="K82" i="2"/>
  <c r="M82" i="2"/>
  <c r="O82" i="2"/>
  <c r="Q82" i="2"/>
  <c r="S82" i="2"/>
  <c r="U82" i="2"/>
  <c r="W82" i="2"/>
  <c r="Y82" i="2"/>
  <c r="AA82" i="2"/>
  <c r="AC82" i="2"/>
  <c r="AE82" i="2"/>
  <c r="AG82" i="2"/>
  <c r="AI82" i="2"/>
  <c r="AK82" i="2"/>
  <c r="AM82" i="2"/>
  <c r="AO82" i="2"/>
  <c r="AQ82" i="2"/>
  <c r="AS82" i="2"/>
  <c r="AU82" i="2"/>
  <c r="AW82" i="2"/>
  <c r="BA82" i="2"/>
  <c r="BC82" i="2"/>
  <c r="BE82" i="2"/>
  <c r="BG82" i="2"/>
  <c r="BI82" i="2"/>
  <c r="BK82" i="2"/>
  <c r="BM82" i="2"/>
  <c r="G83" i="2"/>
  <c r="I83" i="2"/>
  <c r="K83" i="2"/>
  <c r="M83" i="2"/>
  <c r="O83" i="2"/>
  <c r="Q83" i="2"/>
  <c r="S83" i="2"/>
  <c r="U83" i="2"/>
  <c r="W83" i="2"/>
  <c r="Y83" i="2"/>
  <c r="AA83" i="2"/>
  <c r="AC83" i="2"/>
  <c r="AE83" i="2"/>
  <c r="AG83" i="2"/>
  <c r="AI83" i="2"/>
  <c r="AK83" i="2"/>
  <c r="AM83" i="2"/>
  <c r="AO83" i="2"/>
  <c r="AQ83" i="2"/>
  <c r="AS83" i="2"/>
  <c r="AU83" i="2"/>
  <c r="AW83" i="2"/>
  <c r="BA83" i="2"/>
  <c r="BC83" i="2"/>
  <c r="BE83" i="2"/>
  <c r="BG83" i="2"/>
  <c r="BI83" i="2"/>
  <c r="BK83" i="2"/>
  <c r="BM83" i="2"/>
  <c r="G84" i="2"/>
  <c r="I84" i="2"/>
  <c r="K84" i="2"/>
  <c r="M84" i="2"/>
  <c r="O84" i="2"/>
  <c r="Q84" i="2"/>
  <c r="S84" i="2"/>
  <c r="U84" i="2"/>
  <c r="W84" i="2"/>
  <c r="Y84" i="2"/>
  <c r="AA84" i="2"/>
  <c r="AC84" i="2"/>
  <c r="AE84" i="2"/>
  <c r="AG84" i="2"/>
  <c r="AI84" i="2"/>
  <c r="AK84" i="2"/>
  <c r="AM84" i="2"/>
  <c r="AO84" i="2"/>
  <c r="AQ84" i="2"/>
  <c r="AS84" i="2"/>
  <c r="AU84" i="2"/>
  <c r="AW84" i="2"/>
  <c r="BA84" i="2"/>
  <c r="BC84" i="2"/>
  <c r="BE84" i="2"/>
  <c r="BG84" i="2"/>
  <c r="BI84" i="2"/>
  <c r="BK84" i="2"/>
  <c r="BM84" i="2"/>
  <c r="G85" i="2"/>
  <c r="I85" i="2"/>
  <c r="K85" i="2"/>
  <c r="M85" i="2"/>
  <c r="O85" i="2"/>
  <c r="Q85" i="2"/>
  <c r="S85" i="2"/>
  <c r="U85" i="2"/>
  <c r="W85" i="2"/>
  <c r="Y85" i="2"/>
  <c r="AA85" i="2"/>
  <c r="AC85" i="2"/>
  <c r="AE85" i="2"/>
  <c r="AG85" i="2"/>
  <c r="AI85" i="2"/>
  <c r="AK85" i="2"/>
  <c r="AM85" i="2"/>
  <c r="AO85" i="2"/>
  <c r="AQ85" i="2"/>
  <c r="AS85" i="2"/>
  <c r="AU85" i="2"/>
  <c r="AW85" i="2"/>
  <c r="BA85" i="2"/>
  <c r="BC85" i="2"/>
  <c r="BE85" i="2"/>
  <c r="BG85" i="2"/>
  <c r="BI85" i="2"/>
  <c r="BK85" i="2"/>
  <c r="BM85" i="2"/>
  <c r="G86" i="2"/>
  <c r="I86" i="2"/>
  <c r="K86" i="2"/>
  <c r="M86" i="2"/>
  <c r="O86" i="2"/>
  <c r="Q86" i="2"/>
  <c r="S86" i="2"/>
  <c r="U86" i="2"/>
  <c r="W86" i="2"/>
  <c r="Y86" i="2"/>
  <c r="AA86" i="2"/>
  <c r="AC86" i="2"/>
  <c r="AE86" i="2"/>
  <c r="AG86" i="2"/>
  <c r="AI86" i="2"/>
  <c r="AK86" i="2"/>
  <c r="AM86" i="2"/>
  <c r="AO86" i="2"/>
  <c r="AQ86" i="2"/>
  <c r="AS86" i="2"/>
  <c r="AU86" i="2"/>
  <c r="AW86" i="2"/>
  <c r="BA86" i="2"/>
  <c r="BC86" i="2"/>
  <c r="BE86" i="2"/>
  <c r="BG86" i="2"/>
  <c r="BI86" i="2"/>
  <c r="BK86" i="2"/>
  <c r="BM86" i="2"/>
  <c r="G87" i="2"/>
  <c r="I87" i="2"/>
  <c r="K87" i="2"/>
  <c r="M87" i="2"/>
  <c r="O87" i="2"/>
  <c r="Q87" i="2"/>
  <c r="S87" i="2"/>
  <c r="U87" i="2"/>
  <c r="W87" i="2"/>
  <c r="Y87" i="2"/>
  <c r="AA87" i="2"/>
  <c r="AC87" i="2"/>
  <c r="AE87" i="2"/>
  <c r="AG87" i="2"/>
  <c r="AI87" i="2"/>
  <c r="AK87" i="2"/>
  <c r="AM87" i="2"/>
  <c r="AO87" i="2"/>
  <c r="AQ87" i="2"/>
  <c r="AS87" i="2"/>
  <c r="AU87" i="2"/>
  <c r="AW87" i="2"/>
  <c r="BA87" i="2"/>
  <c r="BC87" i="2"/>
  <c r="BE87" i="2"/>
  <c r="BG87" i="2"/>
  <c r="BI87" i="2"/>
  <c r="BK87" i="2"/>
  <c r="BM87" i="2"/>
  <c r="G88" i="2"/>
  <c r="I88" i="2"/>
  <c r="K88" i="2"/>
  <c r="M88" i="2"/>
  <c r="O88" i="2"/>
  <c r="Q88" i="2"/>
  <c r="S88" i="2"/>
  <c r="U88" i="2"/>
  <c r="W88" i="2"/>
  <c r="Y88" i="2"/>
  <c r="AA88" i="2"/>
  <c r="AC88" i="2"/>
  <c r="AE88" i="2"/>
  <c r="AG88" i="2"/>
  <c r="AI88" i="2"/>
  <c r="AK88" i="2"/>
  <c r="AM88" i="2"/>
  <c r="AO88" i="2"/>
  <c r="AQ88" i="2"/>
  <c r="AS88" i="2"/>
  <c r="AU88" i="2"/>
  <c r="AW88" i="2"/>
  <c r="BA88" i="2"/>
  <c r="BC88" i="2"/>
  <c r="BE88" i="2"/>
  <c r="BG88" i="2"/>
  <c r="BI88" i="2"/>
  <c r="BK88" i="2"/>
  <c r="BM88" i="2"/>
  <c r="G89" i="2"/>
  <c r="I89" i="2"/>
  <c r="K89" i="2"/>
  <c r="M89" i="2"/>
  <c r="O89" i="2"/>
  <c r="Q89" i="2"/>
  <c r="S89" i="2"/>
  <c r="U89" i="2"/>
  <c r="W89" i="2"/>
  <c r="Y89" i="2"/>
  <c r="AA89" i="2"/>
  <c r="AC89" i="2"/>
  <c r="AE89" i="2"/>
  <c r="AG89" i="2"/>
  <c r="AI89" i="2"/>
  <c r="AK89" i="2"/>
  <c r="AM89" i="2"/>
  <c r="AO89" i="2"/>
  <c r="AQ89" i="2"/>
  <c r="AS89" i="2"/>
  <c r="AU89" i="2"/>
  <c r="AW89" i="2"/>
  <c r="BA89" i="2"/>
  <c r="BC89" i="2"/>
  <c r="BE89" i="2"/>
  <c r="BG89" i="2"/>
  <c r="BI89" i="2"/>
  <c r="BK89" i="2"/>
  <c r="BM89" i="2"/>
  <c r="G90" i="2"/>
  <c r="I90" i="2"/>
  <c r="K90" i="2"/>
  <c r="M90" i="2"/>
  <c r="O90" i="2"/>
  <c r="Q90" i="2"/>
  <c r="S90" i="2"/>
  <c r="U90" i="2"/>
  <c r="W90" i="2"/>
  <c r="Y90" i="2"/>
  <c r="AA90" i="2"/>
  <c r="AC90" i="2"/>
  <c r="AE90" i="2"/>
  <c r="AG90" i="2"/>
  <c r="AI90" i="2"/>
  <c r="AK90" i="2"/>
  <c r="AM90" i="2"/>
  <c r="AO90" i="2"/>
  <c r="AQ90" i="2"/>
  <c r="AS90" i="2"/>
  <c r="AU90" i="2"/>
  <c r="AW90" i="2"/>
  <c r="BA90" i="2"/>
  <c r="BC90" i="2"/>
  <c r="BE90" i="2"/>
  <c r="BG90" i="2"/>
  <c r="BI90" i="2"/>
  <c r="BK90" i="2"/>
  <c r="BM90" i="2"/>
  <c r="G91" i="2"/>
  <c r="I91" i="2"/>
  <c r="K91" i="2"/>
  <c r="M91" i="2"/>
  <c r="O91" i="2"/>
  <c r="Q91" i="2"/>
  <c r="S91" i="2"/>
  <c r="U91" i="2"/>
  <c r="W91" i="2"/>
  <c r="Y91" i="2"/>
  <c r="AA91" i="2"/>
  <c r="AC91" i="2"/>
  <c r="AE91" i="2"/>
  <c r="AG91" i="2"/>
  <c r="AI91" i="2"/>
  <c r="AK91" i="2"/>
  <c r="AM91" i="2"/>
  <c r="AO91" i="2"/>
  <c r="AQ91" i="2"/>
  <c r="AS91" i="2"/>
  <c r="AU91" i="2"/>
  <c r="AW91" i="2"/>
  <c r="BA91" i="2"/>
  <c r="BC91" i="2"/>
  <c r="BE91" i="2"/>
  <c r="BG91" i="2"/>
  <c r="BI91" i="2"/>
  <c r="BK91" i="2"/>
  <c r="BM91" i="2"/>
  <c r="G92" i="2"/>
  <c r="I92" i="2"/>
  <c r="K92" i="2"/>
  <c r="M92" i="2"/>
  <c r="O92" i="2"/>
  <c r="Q92" i="2"/>
  <c r="S92" i="2"/>
  <c r="U92" i="2"/>
  <c r="W92" i="2"/>
  <c r="Y92" i="2"/>
  <c r="AA92" i="2"/>
  <c r="AC92" i="2"/>
  <c r="AE92" i="2"/>
  <c r="AG92" i="2"/>
  <c r="AI92" i="2"/>
  <c r="AK92" i="2"/>
  <c r="AM92" i="2"/>
  <c r="AO92" i="2"/>
  <c r="AQ92" i="2"/>
  <c r="AS92" i="2"/>
  <c r="AU92" i="2"/>
  <c r="AW92" i="2"/>
  <c r="BA92" i="2"/>
  <c r="BC92" i="2"/>
  <c r="BE92" i="2"/>
  <c r="BG92" i="2"/>
  <c r="BI92" i="2"/>
  <c r="BK92" i="2"/>
  <c r="BM92" i="2"/>
  <c r="G93" i="2"/>
  <c r="I93" i="2"/>
  <c r="K93" i="2"/>
  <c r="M93" i="2"/>
  <c r="O93" i="2"/>
  <c r="Q93" i="2"/>
  <c r="S93" i="2"/>
  <c r="U93" i="2"/>
  <c r="W93" i="2"/>
  <c r="Y93" i="2"/>
  <c r="AA93" i="2"/>
  <c r="AC93" i="2"/>
  <c r="AE93" i="2"/>
  <c r="AG93" i="2"/>
  <c r="AI93" i="2"/>
  <c r="AK93" i="2"/>
  <c r="AM93" i="2"/>
  <c r="AO93" i="2"/>
  <c r="AQ93" i="2"/>
  <c r="AS93" i="2"/>
  <c r="AU93" i="2"/>
  <c r="AW93" i="2"/>
  <c r="BA93" i="2"/>
  <c r="BC93" i="2"/>
  <c r="BE93" i="2"/>
  <c r="BG93" i="2"/>
  <c r="BI93" i="2"/>
  <c r="BK93" i="2"/>
  <c r="BM93" i="2"/>
  <c r="G94" i="2"/>
  <c r="I94" i="2"/>
  <c r="K94" i="2"/>
  <c r="M94" i="2"/>
  <c r="O94" i="2"/>
  <c r="Q94" i="2"/>
  <c r="S94" i="2"/>
  <c r="U94" i="2"/>
  <c r="W94" i="2"/>
  <c r="Y94" i="2"/>
  <c r="AA94" i="2"/>
  <c r="AC94" i="2"/>
  <c r="AE94" i="2"/>
  <c r="AG94" i="2"/>
  <c r="AI94" i="2"/>
  <c r="AK94" i="2"/>
  <c r="AM94" i="2"/>
  <c r="AO94" i="2"/>
  <c r="AQ94" i="2"/>
  <c r="AS94" i="2"/>
  <c r="AU94" i="2"/>
  <c r="AW94" i="2"/>
  <c r="BA94" i="2"/>
  <c r="BC94" i="2"/>
  <c r="BE94" i="2"/>
  <c r="BG94" i="2"/>
  <c r="BI94" i="2"/>
  <c r="BK94" i="2"/>
  <c r="BM94" i="2"/>
  <c r="G95" i="2"/>
  <c r="I95" i="2"/>
  <c r="K95" i="2"/>
  <c r="M95" i="2"/>
  <c r="O95" i="2"/>
  <c r="Q95" i="2"/>
  <c r="S95" i="2"/>
  <c r="U95" i="2"/>
  <c r="W95" i="2"/>
  <c r="Y95" i="2"/>
  <c r="AA95" i="2"/>
  <c r="AC95" i="2"/>
  <c r="AE95" i="2"/>
  <c r="AG95" i="2"/>
  <c r="AI95" i="2"/>
  <c r="AK95" i="2"/>
  <c r="AM95" i="2"/>
  <c r="AO95" i="2"/>
  <c r="AQ95" i="2"/>
  <c r="AS95" i="2"/>
  <c r="AU95" i="2"/>
  <c r="AW95" i="2"/>
  <c r="BA95" i="2"/>
  <c r="BC95" i="2"/>
  <c r="BE95" i="2"/>
  <c r="BG95" i="2"/>
  <c r="BI95" i="2"/>
  <c r="BK95" i="2"/>
  <c r="BM95" i="2"/>
  <c r="G96" i="2"/>
  <c r="I96" i="2"/>
  <c r="K96" i="2"/>
  <c r="M96" i="2"/>
  <c r="O96" i="2"/>
  <c r="Q96" i="2"/>
  <c r="S96" i="2"/>
  <c r="U96" i="2"/>
  <c r="W96" i="2"/>
  <c r="Y96" i="2"/>
  <c r="AA96" i="2"/>
  <c r="AC96" i="2"/>
  <c r="AE96" i="2"/>
  <c r="AG96" i="2"/>
  <c r="AI96" i="2"/>
  <c r="AK96" i="2"/>
  <c r="AM96" i="2"/>
  <c r="AO96" i="2"/>
  <c r="AQ96" i="2"/>
  <c r="AS96" i="2"/>
  <c r="AU96" i="2"/>
  <c r="AW96" i="2"/>
  <c r="BA96" i="2"/>
  <c r="BC96" i="2"/>
  <c r="BE96" i="2"/>
  <c r="BG96" i="2"/>
  <c r="BI96" i="2"/>
  <c r="BK96" i="2"/>
  <c r="BM96" i="2"/>
  <c r="G97" i="2"/>
  <c r="I97" i="2"/>
  <c r="K97" i="2"/>
  <c r="M97" i="2"/>
  <c r="O97" i="2"/>
  <c r="Q97" i="2"/>
  <c r="S97" i="2"/>
  <c r="U97" i="2"/>
  <c r="W97" i="2"/>
  <c r="Y97" i="2"/>
  <c r="AA97" i="2"/>
  <c r="AC97" i="2"/>
  <c r="AE97" i="2"/>
  <c r="AG97" i="2"/>
  <c r="AI97" i="2"/>
  <c r="AK97" i="2"/>
  <c r="AM97" i="2"/>
  <c r="AO97" i="2"/>
  <c r="AQ97" i="2"/>
  <c r="AS97" i="2"/>
  <c r="AU97" i="2"/>
  <c r="AW97" i="2"/>
  <c r="BA97" i="2"/>
  <c r="BC97" i="2"/>
  <c r="BE97" i="2"/>
  <c r="BG97" i="2"/>
  <c r="BI97" i="2"/>
  <c r="BK97" i="2"/>
  <c r="BM97" i="2"/>
  <c r="G98" i="2"/>
  <c r="I98" i="2"/>
  <c r="K98" i="2"/>
  <c r="M98" i="2"/>
  <c r="O98" i="2"/>
  <c r="Q98" i="2"/>
  <c r="S98" i="2"/>
  <c r="U98" i="2"/>
  <c r="W98" i="2"/>
  <c r="Y98" i="2"/>
  <c r="AA98" i="2"/>
  <c r="AC98" i="2"/>
  <c r="AE98" i="2"/>
  <c r="AG98" i="2"/>
  <c r="AI98" i="2"/>
  <c r="AK98" i="2"/>
  <c r="AM98" i="2"/>
  <c r="AO98" i="2"/>
  <c r="AQ98" i="2"/>
  <c r="AS98" i="2"/>
  <c r="AU98" i="2"/>
  <c r="AW98" i="2"/>
  <c r="BA98" i="2"/>
  <c r="BC98" i="2"/>
  <c r="BE98" i="2"/>
  <c r="BG98" i="2"/>
  <c r="BI98" i="2"/>
  <c r="BK98" i="2"/>
  <c r="BM98" i="2"/>
  <c r="G99" i="2"/>
  <c r="I99" i="2"/>
  <c r="K99" i="2"/>
  <c r="M99" i="2"/>
  <c r="O99" i="2"/>
  <c r="Q99" i="2"/>
  <c r="S99" i="2"/>
  <c r="U99" i="2"/>
  <c r="W99" i="2"/>
  <c r="Y99" i="2"/>
  <c r="AA99" i="2"/>
  <c r="AC99" i="2"/>
  <c r="AE99" i="2"/>
  <c r="AG99" i="2"/>
  <c r="AI99" i="2"/>
  <c r="AK99" i="2"/>
  <c r="AM99" i="2"/>
  <c r="AO99" i="2"/>
  <c r="AQ99" i="2"/>
  <c r="AS99" i="2"/>
  <c r="AU99" i="2"/>
  <c r="AW99" i="2"/>
  <c r="BA99" i="2"/>
  <c r="BC99" i="2"/>
  <c r="BE99" i="2"/>
  <c r="BG99" i="2"/>
  <c r="BI99" i="2"/>
  <c r="BK99" i="2"/>
  <c r="BM99" i="2"/>
  <c r="G100" i="2"/>
  <c r="I100" i="2"/>
  <c r="K100" i="2"/>
  <c r="M100" i="2"/>
  <c r="O100" i="2"/>
  <c r="Q100" i="2"/>
  <c r="S100" i="2"/>
  <c r="U100" i="2"/>
  <c r="W100" i="2"/>
  <c r="Y100" i="2"/>
  <c r="AA100" i="2"/>
  <c r="AC100" i="2"/>
  <c r="AE100" i="2"/>
  <c r="AG100" i="2"/>
  <c r="AI100" i="2"/>
  <c r="AK100" i="2"/>
  <c r="AM100" i="2"/>
  <c r="AO100" i="2"/>
  <c r="AQ100" i="2"/>
  <c r="AS100" i="2"/>
  <c r="AU100" i="2"/>
  <c r="AW100" i="2"/>
  <c r="BA100" i="2"/>
  <c r="BC100" i="2"/>
  <c r="BE100" i="2"/>
  <c r="BG100" i="2"/>
  <c r="BI100" i="2"/>
  <c r="BK100" i="2"/>
  <c r="BM100" i="2"/>
  <c r="G101" i="2"/>
  <c r="I101" i="2"/>
  <c r="K101" i="2"/>
  <c r="M101" i="2"/>
  <c r="O101" i="2"/>
  <c r="Q101" i="2"/>
  <c r="S101" i="2"/>
  <c r="U101" i="2"/>
  <c r="W101" i="2"/>
  <c r="Y101" i="2"/>
  <c r="AA101" i="2"/>
  <c r="AC101" i="2"/>
  <c r="AE101" i="2"/>
  <c r="AG101" i="2"/>
  <c r="AI101" i="2"/>
  <c r="AK101" i="2"/>
  <c r="AM101" i="2"/>
  <c r="AO101" i="2"/>
  <c r="AQ101" i="2"/>
  <c r="AS101" i="2"/>
  <c r="AU101" i="2"/>
  <c r="AW101" i="2"/>
  <c r="BA101" i="2"/>
  <c r="BC101" i="2"/>
  <c r="BE101" i="2"/>
  <c r="BG101" i="2"/>
  <c r="BI101" i="2"/>
  <c r="BK101" i="2"/>
  <c r="BM101" i="2"/>
  <c r="G102" i="2"/>
  <c r="I102" i="2"/>
  <c r="K102" i="2"/>
  <c r="M102" i="2"/>
  <c r="O102" i="2"/>
  <c r="Q102" i="2"/>
  <c r="S102" i="2"/>
  <c r="U102" i="2"/>
  <c r="W102" i="2"/>
  <c r="Y102" i="2"/>
  <c r="AA102" i="2"/>
  <c r="AC102" i="2"/>
  <c r="AE102" i="2"/>
  <c r="AG102" i="2"/>
  <c r="AI102" i="2"/>
  <c r="AK102" i="2"/>
  <c r="AM102" i="2"/>
  <c r="AO102" i="2"/>
  <c r="AQ102" i="2"/>
  <c r="AS102" i="2"/>
  <c r="AU102" i="2"/>
  <c r="AW102" i="2"/>
  <c r="BA102" i="2"/>
  <c r="BC102" i="2"/>
  <c r="BE102" i="2"/>
  <c r="BG102" i="2"/>
  <c r="BI102" i="2"/>
  <c r="BK102" i="2"/>
  <c r="BM102" i="2"/>
  <c r="G103" i="2"/>
  <c r="I103" i="2"/>
  <c r="K103" i="2"/>
  <c r="M103" i="2"/>
  <c r="O103" i="2"/>
  <c r="Q103" i="2"/>
  <c r="S103" i="2"/>
  <c r="U103" i="2"/>
  <c r="W103" i="2"/>
  <c r="Y103" i="2"/>
  <c r="AA103" i="2"/>
  <c r="AC103" i="2"/>
  <c r="AE103" i="2"/>
  <c r="AG103" i="2"/>
  <c r="AI103" i="2"/>
  <c r="AK103" i="2"/>
  <c r="AM103" i="2"/>
  <c r="AO103" i="2"/>
  <c r="AQ103" i="2"/>
  <c r="AS103" i="2"/>
  <c r="AU103" i="2"/>
  <c r="AW103" i="2"/>
  <c r="BA103" i="2"/>
  <c r="BC103" i="2"/>
  <c r="BE103" i="2"/>
  <c r="BG103" i="2"/>
  <c r="BI103" i="2"/>
  <c r="BK103" i="2"/>
  <c r="BM103" i="2"/>
  <c r="G104" i="2"/>
  <c r="I104" i="2"/>
  <c r="K104" i="2"/>
  <c r="M104" i="2"/>
  <c r="O104" i="2"/>
  <c r="Q104" i="2"/>
  <c r="S104" i="2"/>
  <c r="U104" i="2"/>
  <c r="W104" i="2"/>
  <c r="Y104" i="2"/>
  <c r="AA104" i="2"/>
  <c r="AC104" i="2"/>
  <c r="AE104" i="2"/>
  <c r="AG104" i="2"/>
  <c r="AI104" i="2"/>
  <c r="AK104" i="2"/>
  <c r="AM104" i="2"/>
  <c r="AO104" i="2"/>
  <c r="AQ104" i="2"/>
  <c r="AS104" i="2"/>
  <c r="AU104" i="2"/>
  <c r="AW104" i="2"/>
  <c r="BA104" i="2"/>
  <c r="BC104" i="2"/>
  <c r="BE104" i="2"/>
  <c r="BG104" i="2"/>
  <c r="BI104" i="2"/>
  <c r="BK104" i="2"/>
  <c r="BM104" i="2"/>
  <c r="G105" i="2"/>
  <c r="I105" i="2"/>
  <c r="K105" i="2"/>
  <c r="M105" i="2"/>
  <c r="O105" i="2"/>
  <c r="Q105" i="2"/>
  <c r="S105" i="2"/>
  <c r="U105" i="2"/>
  <c r="W105" i="2"/>
  <c r="Y105" i="2"/>
  <c r="AA105" i="2"/>
  <c r="AC105" i="2"/>
  <c r="AE105" i="2"/>
  <c r="AG105" i="2"/>
  <c r="AI105" i="2"/>
  <c r="AK105" i="2"/>
  <c r="AM105" i="2"/>
  <c r="AO105" i="2"/>
  <c r="AQ105" i="2"/>
  <c r="AS105" i="2"/>
  <c r="AU105" i="2"/>
  <c r="AW105" i="2"/>
  <c r="BA105" i="2"/>
  <c r="BC105" i="2"/>
  <c r="BE105" i="2"/>
  <c r="BG105" i="2"/>
  <c r="BI105" i="2"/>
  <c r="BK105" i="2"/>
  <c r="BM105" i="2"/>
  <c r="G106" i="2"/>
  <c r="I106" i="2"/>
  <c r="K106" i="2"/>
  <c r="M106" i="2"/>
  <c r="O106" i="2"/>
  <c r="Q106" i="2"/>
  <c r="S106" i="2"/>
  <c r="U106" i="2"/>
  <c r="W106" i="2"/>
  <c r="Y106" i="2"/>
  <c r="AA106" i="2"/>
  <c r="AC106" i="2"/>
  <c r="AE106" i="2"/>
  <c r="AG106" i="2"/>
  <c r="AI106" i="2"/>
  <c r="AK106" i="2"/>
  <c r="AM106" i="2"/>
  <c r="AO106" i="2"/>
  <c r="AQ106" i="2"/>
  <c r="AS106" i="2"/>
  <c r="AU106" i="2"/>
  <c r="AW106" i="2"/>
  <c r="BA106" i="2"/>
  <c r="BC106" i="2"/>
  <c r="BE106" i="2"/>
  <c r="BG106" i="2"/>
  <c r="BI106" i="2"/>
  <c r="BK106" i="2"/>
  <c r="BM106" i="2"/>
  <c r="G107" i="2"/>
  <c r="I107" i="2"/>
  <c r="K107" i="2"/>
  <c r="M107" i="2"/>
  <c r="O107" i="2"/>
  <c r="Q107" i="2"/>
  <c r="S107" i="2"/>
  <c r="U107" i="2"/>
  <c r="W107" i="2"/>
  <c r="Y107" i="2"/>
  <c r="AA107" i="2"/>
  <c r="AC107" i="2"/>
  <c r="AE107" i="2"/>
  <c r="AG107" i="2"/>
  <c r="AI107" i="2"/>
  <c r="AK107" i="2"/>
  <c r="AM107" i="2"/>
  <c r="AO107" i="2"/>
  <c r="AQ107" i="2"/>
  <c r="AS107" i="2"/>
  <c r="AU107" i="2"/>
  <c r="AW107" i="2"/>
  <c r="BA107" i="2"/>
  <c r="BC107" i="2"/>
  <c r="BE107" i="2"/>
  <c r="BG107" i="2"/>
  <c r="BI107" i="2"/>
  <c r="BK107" i="2"/>
  <c r="BM107" i="2"/>
  <c r="G108" i="2"/>
  <c r="I108" i="2"/>
  <c r="K108" i="2"/>
  <c r="M108" i="2"/>
  <c r="O108" i="2"/>
  <c r="Q108" i="2"/>
  <c r="S108" i="2"/>
  <c r="U108" i="2"/>
  <c r="W108" i="2"/>
  <c r="Y108" i="2"/>
  <c r="AA108" i="2"/>
  <c r="AC108" i="2"/>
  <c r="AE108" i="2"/>
  <c r="AG108" i="2"/>
  <c r="AI108" i="2"/>
  <c r="AK108" i="2"/>
  <c r="AM108" i="2"/>
  <c r="AO108" i="2"/>
  <c r="AQ108" i="2"/>
  <c r="AS108" i="2"/>
  <c r="AU108" i="2"/>
  <c r="AW108" i="2"/>
  <c r="BA108" i="2"/>
  <c r="BC108" i="2"/>
  <c r="BE108" i="2"/>
  <c r="BG108" i="2"/>
  <c r="BI108" i="2"/>
  <c r="BK108" i="2"/>
  <c r="BM108" i="2"/>
  <c r="G109" i="2"/>
  <c r="I109" i="2"/>
  <c r="K109" i="2"/>
  <c r="M109" i="2"/>
  <c r="O109" i="2"/>
  <c r="Q109" i="2"/>
  <c r="S109" i="2"/>
  <c r="U109" i="2"/>
  <c r="W109" i="2"/>
  <c r="Y109" i="2"/>
  <c r="AA109" i="2"/>
  <c r="AC109" i="2"/>
  <c r="AE109" i="2"/>
  <c r="AG109" i="2"/>
  <c r="AI109" i="2"/>
  <c r="AK109" i="2"/>
  <c r="AM109" i="2"/>
  <c r="AO109" i="2"/>
  <c r="AQ109" i="2"/>
  <c r="AS109" i="2"/>
  <c r="AU109" i="2"/>
  <c r="AW109" i="2"/>
  <c r="BA109" i="2"/>
  <c r="BC109" i="2"/>
  <c r="BE109" i="2"/>
  <c r="BG109" i="2"/>
  <c r="BI109" i="2"/>
  <c r="BK109" i="2"/>
  <c r="BM109" i="2"/>
  <c r="G110" i="2"/>
  <c r="I110" i="2"/>
  <c r="K110" i="2"/>
  <c r="M110" i="2"/>
  <c r="O110" i="2"/>
  <c r="Q110" i="2"/>
  <c r="S110" i="2"/>
  <c r="U110" i="2"/>
  <c r="W110" i="2"/>
  <c r="Y110" i="2"/>
  <c r="AA110" i="2"/>
  <c r="AC110" i="2"/>
  <c r="AE110" i="2"/>
  <c r="AG110" i="2"/>
  <c r="AI110" i="2"/>
  <c r="AK110" i="2"/>
  <c r="AM110" i="2"/>
  <c r="AO110" i="2"/>
  <c r="AQ110" i="2"/>
  <c r="AS110" i="2"/>
  <c r="AU110" i="2"/>
  <c r="AW110" i="2"/>
  <c r="BA110" i="2"/>
  <c r="BC110" i="2"/>
  <c r="BE110" i="2"/>
  <c r="BG110" i="2"/>
  <c r="BI110" i="2"/>
  <c r="BK110" i="2"/>
  <c r="BM110" i="2"/>
  <c r="G111" i="2"/>
  <c r="I111" i="2"/>
  <c r="K111" i="2"/>
  <c r="M111" i="2"/>
  <c r="O111" i="2"/>
  <c r="Q111" i="2"/>
  <c r="S111" i="2"/>
  <c r="U111" i="2"/>
  <c r="W111" i="2"/>
  <c r="Y111" i="2"/>
  <c r="AA111" i="2"/>
  <c r="AC111" i="2"/>
  <c r="AE111" i="2"/>
  <c r="AG111" i="2"/>
  <c r="AI111" i="2"/>
  <c r="AK111" i="2"/>
  <c r="AM111" i="2"/>
  <c r="AO111" i="2"/>
  <c r="AQ111" i="2"/>
  <c r="AS111" i="2"/>
  <c r="AU111" i="2"/>
  <c r="AW111" i="2"/>
  <c r="BA111" i="2"/>
  <c r="BC111" i="2"/>
  <c r="BE111" i="2"/>
  <c r="BG111" i="2"/>
  <c r="BI111" i="2"/>
  <c r="BK111" i="2"/>
  <c r="BM111" i="2"/>
  <c r="G112" i="2"/>
  <c r="I112" i="2"/>
  <c r="K112" i="2"/>
  <c r="M112" i="2"/>
  <c r="O112" i="2"/>
  <c r="Q112" i="2"/>
  <c r="S112" i="2"/>
  <c r="U112" i="2"/>
  <c r="W112" i="2"/>
  <c r="Y112" i="2"/>
  <c r="AA112" i="2"/>
  <c r="AC112" i="2"/>
  <c r="AE112" i="2"/>
  <c r="AG112" i="2"/>
  <c r="AI112" i="2"/>
  <c r="AK112" i="2"/>
  <c r="AM112" i="2"/>
  <c r="AO112" i="2"/>
  <c r="AQ112" i="2"/>
  <c r="AS112" i="2"/>
  <c r="AU112" i="2"/>
  <c r="AW112" i="2"/>
  <c r="BA112" i="2"/>
  <c r="BC112" i="2"/>
  <c r="BE112" i="2"/>
  <c r="BG112" i="2"/>
  <c r="BI112" i="2"/>
  <c r="BK112" i="2"/>
  <c r="BM112" i="2"/>
  <c r="G113" i="2"/>
  <c r="I113" i="2"/>
  <c r="K113" i="2"/>
  <c r="M113" i="2"/>
  <c r="O113" i="2"/>
  <c r="Q113" i="2"/>
  <c r="S113" i="2"/>
  <c r="U113" i="2"/>
  <c r="W113" i="2"/>
  <c r="Y113" i="2"/>
  <c r="AA113" i="2"/>
  <c r="AC113" i="2"/>
  <c r="AE113" i="2"/>
  <c r="AG113" i="2"/>
  <c r="AI113" i="2"/>
  <c r="AK113" i="2"/>
  <c r="AM113" i="2"/>
  <c r="AO113" i="2"/>
  <c r="AQ113" i="2"/>
  <c r="AS113" i="2"/>
  <c r="AU113" i="2"/>
  <c r="AW113" i="2"/>
  <c r="BA113" i="2"/>
  <c r="BC113" i="2"/>
  <c r="BE113" i="2"/>
  <c r="BG113" i="2"/>
  <c r="BI113" i="2"/>
  <c r="BK113" i="2"/>
  <c r="BM113" i="2"/>
  <c r="G114" i="2"/>
  <c r="I114" i="2"/>
  <c r="K114" i="2"/>
  <c r="M114" i="2"/>
  <c r="O114" i="2"/>
  <c r="Q114" i="2"/>
  <c r="S114" i="2"/>
  <c r="U114" i="2"/>
  <c r="W114" i="2"/>
  <c r="Y114" i="2"/>
  <c r="AA114" i="2"/>
  <c r="AC114" i="2"/>
  <c r="AE114" i="2"/>
  <c r="AG114" i="2"/>
  <c r="AI114" i="2"/>
  <c r="AK114" i="2"/>
  <c r="AM114" i="2"/>
  <c r="AO114" i="2"/>
  <c r="AQ114" i="2"/>
  <c r="AS114" i="2"/>
  <c r="AU114" i="2"/>
  <c r="AW114" i="2"/>
  <c r="BA114" i="2"/>
  <c r="BC114" i="2"/>
  <c r="BE114" i="2"/>
  <c r="BG114" i="2"/>
  <c r="BI114" i="2"/>
  <c r="BK114" i="2"/>
  <c r="BM114" i="2"/>
  <c r="G115" i="2"/>
  <c r="I115" i="2"/>
  <c r="K115" i="2"/>
  <c r="M115" i="2"/>
  <c r="O115" i="2"/>
  <c r="Q115" i="2"/>
  <c r="S115" i="2"/>
  <c r="U115" i="2"/>
  <c r="W115" i="2"/>
  <c r="Y115" i="2"/>
  <c r="AA115" i="2"/>
  <c r="AC115" i="2"/>
  <c r="AE115" i="2"/>
  <c r="AG115" i="2"/>
  <c r="AI115" i="2"/>
  <c r="AK115" i="2"/>
  <c r="AM115" i="2"/>
  <c r="AO115" i="2"/>
  <c r="AQ115" i="2"/>
  <c r="AS115" i="2"/>
  <c r="AU115" i="2"/>
  <c r="AW115" i="2"/>
  <c r="BA115" i="2"/>
  <c r="BC115" i="2"/>
  <c r="BE115" i="2"/>
  <c r="BG115" i="2"/>
  <c r="BI115" i="2"/>
  <c r="BK115" i="2"/>
  <c r="BM115" i="2"/>
  <c r="G116" i="2"/>
  <c r="I116" i="2"/>
  <c r="K116" i="2"/>
  <c r="M116" i="2"/>
  <c r="O116" i="2"/>
  <c r="Q116" i="2"/>
  <c r="S116" i="2"/>
  <c r="U116" i="2"/>
  <c r="W116" i="2"/>
  <c r="Y116" i="2"/>
  <c r="AA116" i="2"/>
  <c r="AC116" i="2"/>
  <c r="AE116" i="2"/>
  <c r="AG116" i="2"/>
  <c r="AI116" i="2"/>
  <c r="AK116" i="2"/>
  <c r="AM116" i="2"/>
  <c r="AO116" i="2"/>
  <c r="AQ116" i="2"/>
  <c r="AS116" i="2"/>
  <c r="AU116" i="2"/>
  <c r="AW116" i="2"/>
  <c r="BA116" i="2"/>
  <c r="BC116" i="2"/>
  <c r="BE116" i="2"/>
  <c r="BG116" i="2"/>
  <c r="BI116" i="2"/>
  <c r="BK116" i="2"/>
  <c r="BM116" i="2"/>
  <c r="G117" i="2"/>
  <c r="I117" i="2"/>
  <c r="K117" i="2"/>
  <c r="M117" i="2"/>
  <c r="O117" i="2"/>
  <c r="Q117" i="2"/>
  <c r="S117" i="2"/>
  <c r="U117" i="2"/>
  <c r="W117" i="2"/>
  <c r="Y117" i="2"/>
  <c r="AA117" i="2"/>
  <c r="AC117" i="2"/>
  <c r="AE117" i="2"/>
  <c r="AG117" i="2"/>
  <c r="AI117" i="2"/>
  <c r="AK117" i="2"/>
  <c r="AM117" i="2"/>
  <c r="AO117" i="2"/>
  <c r="AQ117" i="2"/>
  <c r="AS117" i="2"/>
  <c r="AU117" i="2"/>
  <c r="AW117" i="2"/>
  <c r="BA117" i="2"/>
  <c r="BC117" i="2"/>
  <c r="BE117" i="2"/>
  <c r="BG117" i="2"/>
  <c r="BI117" i="2"/>
  <c r="BK117" i="2"/>
  <c r="BM117" i="2"/>
  <c r="G118" i="2"/>
  <c r="I118" i="2"/>
  <c r="K118" i="2"/>
  <c r="M118" i="2"/>
  <c r="O118" i="2"/>
  <c r="Q118" i="2"/>
  <c r="S118" i="2"/>
  <c r="U118" i="2"/>
  <c r="W118" i="2"/>
  <c r="Y118" i="2"/>
  <c r="AA118" i="2"/>
  <c r="AC118" i="2"/>
  <c r="AE118" i="2"/>
  <c r="AG118" i="2"/>
  <c r="AI118" i="2"/>
  <c r="AK118" i="2"/>
  <c r="AM118" i="2"/>
  <c r="AO118" i="2"/>
  <c r="AQ118" i="2"/>
  <c r="AS118" i="2"/>
  <c r="AU118" i="2"/>
  <c r="AW118" i="2"/>
  <c r="BA118" i="2"/>
  <c r="BC118" i="2"/>
  <c r="BE118" i="2"/>
  <c r="BG118" i="2"/>
  <c r="BI118" i="2"/>
  <c r="BK118" i="2"/>
  <c r="BM118" i="2"/>
  <c r="G119" i="2"/>
  <c r="I119" i="2"/>
  <c r="K119" i="2"/>
  <c r="M119" i="2"/>
  <c r="O119" i="2"/>
  <c r="Q119" i="2"/>
  <c r="S119" i="2"/>
  <c r="U119" i="2"/>
  <c r="W119" i="2"/>
  <c r="Y119" i="2"/>
  <c r="AA119" i="2"/>
  <c r="AC119" i="2"/>
  <c r="AE119" i="2"/>
  <c r="AG119" i="2"/>
  <c r="AI119" i="2"/>
  <c r="AK119" i="2"/>
  <c r="AM119" i="2"/>
  <c r="AO119" i="2"/>
  <c r="AQ119" i="2"/>
  <c r="AS119" i="2"/>
  <c r="AU119" i="2"/>
  <c r="AW119" i="2"/>
  <c r="BA119" i="2"/>
  <c r="BC119" i="2"/>
  <c r="BE119" i="2"/>
  <c r="BG119" i="2"/>
  <c r="BI119" i="2"/>
  <c r="BK119" i="2"/>
  <c r="BM119" i="2"/>
  <c r="G120" i="2"/>
  <c r="I120" i="2"/>
  <c r="K120" i="2"/>
  <c r="M120" i="2"/>
  <c r="O120" i="2"/>
  <c r="Q120" i="2"/>
  <c r="S120" i="2"/>
  <c r="U120" i="2"/>
  <c r="W120" i="2"/>
  <c r="Y120" i="2"/>
  <c r="AA120" i="2"/>
  <c r="AC120" i="2"/>
  <c r="AE120" i="2"/>
  <c r="AG120" i="2"/>
  <c r="AI120" i="2"/>
  <c r="AK120" i="2"/>
  <c r="AM120" i="2"/>
  <c r="AO120" i="2"/>
  <c r="AQ120" i="2"/>
  <c r="AS120" i="2"/>
  <c r="AU120" i="2"/>
  <c r="AW120" i="2"/>
  <c r="BA120" i="2"/>
  <c r="BC120" i="2"/>
  <c r="BE120" i="2"/>
  <c r="BG120" i="2"/>
  <c r="BI120" i="2"/>
  <c r="BK120" i="2"/>
  <c r="BM120" i="2"/>
  <c r="G121" i="2"/>
  <c r="I121" i="2"/>
  <c r="K121" i="2"/>
  <c r="M121" i="2"/>
  <c r="O121" i="2"/>
  <c r="Q121" i="2"/>
  <c r="S121" i="2"/>
  <c r="U121" i="2"/>
  <c r="W121" i="2"/>
  <c r="Y121" i="2"/>
  <c r="AA121" i="2"/>
  <c r="AC121" i="2"/>
  <c r="AE121" i="2"/>
  <c r="AG121" i="2"/>
  <c r="AI121" i="2"/>
  <c r="AK121" i="2"/>
  <c r="AM121" i="2"/>
  <c r="AO121" i="2"/>
  <c r="AQ121" i="2"/>
  <c r="AS121" i="2"/>
  <c r="AU121" i="2"/>
  <c r="AW121" i="2"/>
  <c r="BA121" i="2"/>
  <c r="BC121" i="2"/>
  <c r="BE121" i="2"/>
  <c r="BG121" i="2"/>
  <c r="BI121" i="2"/>
  <c r="BK121" i="2"/>
  <c r="BM121" i="2"/>
  <c r="G122" i="2"/>
  <c r="I122" i="2"/>
  <c r="K122" i="2"/>
  <c r="M122" i="2"/>
  <c r="O122" i="2"/>
  <c r="Q122" i="2"/>
  <c r="S122" i="2"/>
  <c r="U122" i="2"/>
  <c r="W122" i="2"/>
  <c r="Y122" i="2"/>
  <c r="AA122" i="2"/>
  <c r="AC122" i="2"/>
  <c r="AE122" i="2"/>
  <c r="AG122" i="2"/>
  <c r="AI122" i="2"/>
  <c r="AK122" i="2"/>
  <c r="AM122" i="2"/>
  <c r="AO122" i="2"/>
  <c r="AQ122" i="2"/>
  <c r="AS122" i="2"/>
  <c r="AU122" i="2"/>
  <c r="AW122" i="2"/>
  <c r="BA122" i="2"/>
  <c r="BC122" i="2"/>
  <c r="BE122" i="2"/>
  <c r="BG122" i="2"/>
  <c r="BI122" i="2"/>
  <c r="BK122" i="2"/>
  <c r="BM122" i="2"/>
  <c r="G123" i="2"/>
  <c r="I123" i="2"/>
  <c r="K123" i="2"/>
  <c r="M123" i="2"/>
  <c r="O123" i="2"/>
  <c r="Q123" i="2"/>
  <c r="S123" i="2"/>
  <c r="U123" i="2"/>
  <c r="W123" i="2"/>
  <c r="Y123" i="2"/>
  <c r="AA123" i="2"/>
  <c r="AC123" i="2"/>
  <c r="AE123" i="2"/>
  <c r="AG123" i="2"/>
  <c r="AI123" i="2"/>
  <c r="AK123" i="2"/>
  <c r="AM123" i="2"/>
  <c r="AO123" i="2"/>
  <c r="AQ123" i="2"/>
  <c r="AS123" i="2"/>
  <c r="AU123" i="2"/>
  <c r="AW123" i="2"/>
  <c r="BA123" i="2"/>
  <c r="BC123" i="2"/>
  <c r="BE123" i="2"/>
  <c r="BG123" i="2"/>
  <c r="BI123" i="2"/>
  <c r="BK123" i="2"/>
  <c r="BM123" i="2"/>
  <c r="G124" i="2"/>
  <c r="I124" i="2"/>
  <c r="K124" i="2"/>
  <c r="M124" i="2"/>
  <c r="O124" i="2"/>
  <c r="Q124" i="2"/>
  <c r="S124" i="2"/>
  <c r="U124" i="2"/>
  <c r="W124" i="2"/>
  <c r="Y124" i="2"/>
  <c r="AA124" i="2"/>
  <c r="AC124" i="2"/>
  <c r="AE124" i="2"/>
  <c r="AG124" i="2"/>
  <c r="AI124" i="2"/>
  <c r="AK124" i="2"/>
  <c r="AM124" i="2"/>
  <c r="AO124" i="2"/>
  <c r="AQ124" i="2"/>
  <c r="AS124" i="2"/>
  <c r="AU124" i="2"/>
  <c r="AW124" i="2"/>
  <c r="BA124" i="2"/>
  <c r="BC124" i="2"/>
  <c r="BE124" i="2"/>
  <c r="BG124" i="2"/>
  <c r="BI124" i="2"/>
  <c r="BK124" i="2"/>
  <c r="BM124" i="2"/>
  <c r="G125" i="2"/>
  <c r="I125" i="2"/>
  <c r="K125" i="2"/>
  <c r="M125" i="2"/>
  <c r="O125" i="2"/>
  <c r="Q125" i="2"/>
  <c r="S125" i="2"/>
  <c r="U125" i="2"/>
  <c r="W125" i="2"/>
  <c r="Y125" i="2"/>
  <c r="AA125" i="2"/>
  <c r="AC125" i="2"/>
  <c r="AE125" i="2"/>
  <c r="AG125" i="2"/>
  <c r="AI125" i="2"/>
  <c r="AK125" i="2"/>
  <c r="AM125" i="2"/>
  <c r="AO125" i="2"/>
  <c r="AQ125" i="2"/>
  <c r="AS125" i="2"/>
  <c r="AU125" i="2"/>
  <c r="AW125" i="2"/>
  <c r="BA125" i="2"/>
  <c r="BC125" i="2"/>
  <c r="BE125" i="2"/>
  <c r="BG125" i="2"/>
  <c r="BI125" i="2"/>
  <c r="BK125" i="2"/>
  <c r="BM125" i="2"/>
  <c r="G126" i="2"/>
  <c r="I126" i="2"/>
  <c r="K126" i="2"/>
  <c r="M126" i="2"/>
  <c r="O126" i="2"/>
  <c r="Q126" i="2"/>
  <c r="S126" i="2"/>
  <c r="U126" i="2"/>
  <c r="W126" i="2"/>
  <c r="Y126" i="2"/>
  <c r="AA126" i="2"/>
  <c r="AC126" i="2"/>
  <c r="AE126" i="2"/>
  <c r="AG126" i="2"/>
  <c r="AI126" i="2"/>
  <c r="AK126" i="2"/>
  <c r="AM126" i="2"/>
  <c r="AO126" i="2"/>
  <c r="AQ126" i="2"/>
  <c r="AS126" i="2"/>
  <c r="AU126" i="2"/>
  <c r="AW126" i="2"/>
  <c r="BA126" i="2"/>
  <c r="BC126" i="2"/>
  <c r="BE126" i="2"/>
  <c r="BG126" i="2"/>
  <c r="BI126" i="2"/>
  <c r="BK126" i="2"/>
  <c r="BM126" i="2"/>
  <c r="G127" i="2"/>
  <c r="I127" i="2"/>
  <c r="K127" i="2"/>
  <c r="M127" i="2"/>
  <c r="O127" i="2"/>
  <c r="Q127" i="2"/>
  <c r="S127" i="2"/>
  <c r="U127" i="2"/>
  <c r="W127" i="2"/>
  <c r="Y127" i="2"/>
  <c r="AA127" i="2"/>
  <c r="AC127" i="2"/>
  <c r="AE127" i="2"/>
  <c r="AG127" i="2"/>
  <c r="AI127" i="2"/>
  <c r="AK127" i="2"/>
  <c r="AM127" i="2"/>
  <c r="AO127" i="2"/>
  <c r="AQ127" i="2"/>
  <c r="AS127" i="2"/>
  <c r="AU127" i="2"/>
  <c r="AW127" i="2"/>
  <c r="BA127" i="2"/>
  <c r="BC127" i="2"/>
  <c r="BE127" i="2"/>
  <c r="BG127" i="2"/>
  <c r="BI127" i="2"/>
  <c r="BK127" i="2"/>
  <c r="BM127" i="2"/>
  <c r="G128" i="2"/>
  <c r="I128" i="2"/>
  <c r="K128" i="2"/>
  <c r="M128" i="2"/>
  <c r="O128" i="2"/>
  <c r="Q128" i="2"/>
  <c r="S128" i="2"/>
  <c r="U128" i="2"/>
  <c r="W128" i="2"/>
  <c r="Y128" i="2"/>
  <c r="AA128" i="2"/>
  <c r="AC128" i="2"/>
  <c r="AE128" i="2"/>
  <c r="AG128" i="2"/>
  <c r="AI128" i="2"/>
  <c r="AK128" i="2"/>
  <c r="AM128" i="2"/>
  <c r="AO128" i="2"/>
  <c r="AQ128" i="2"/>
  <c r="AS128" i="2"/>
  <c r="AU128" i="2"/>
  <c r="AW128" i="2"/>
  <c r="BA128" i="2"/>
  <c r="BC128" i="2"/>
  <c r="BE128" i="2"/>
  <c r="BG128" i="2"/>
  <c r="BI128" i="2"/>
  <c r="BK128" i="2"/>
  <c r="BM128" i="2"/>
  <c r="G129" i="2"/>
  <c r="I129" i="2"/>
  <c r="K129" i="2"/>
  <c r="M129" i="2"/>
  <c r="O129" i="2"/>
  <c r="Q129" i="2"/>
  <c r="S129" i="2"/>
  <c r="U129" i="2"/>
  <c r="W129" i="2"/>
  <c r="Y129" i="2"/>
  <c r="AA129" i="2"/>
  <c r="AC129" i="2"/>
  <c r="AE129" i="2"/>
  <c r="AG129" i="2"/>
  <c r="AI129" i="2"/>
  <c r="AK129" i="2"/>
  <c r="AM129" i="2"/>
  <c r="AO129" i="2"/>
  <c r="AQ129" i="2"/>
  <c r="AS129" i="2"/>
  <c r="AU129" i="2"/>
  <c r="AW129" i="2"/>
  <c r="BA129" i="2"/>
  <c r="BC129" i="2"/>
  <c r="BE129" i="2"/>
  <c r="BG129" i="2"/>
  <c r="BI129" i="2"/>
  <c r="BK129" i="2"/>
  <c r="BM129" i="2"/>
  <c r="G130" i="2"/>
  <c r="I130" i="2"/>
  <c r="K130" i="2"/>
  <c r="M130" i="2"/>
  <c r="O130" i="2"/>
  <c r="Q130" i="2"/>
  <c r="S130" i="2"/>
  <c r="U130" i="2"/>
  <c r="W130" i="2"/>
  <c r="Y130" i="2"/>
  <c r="AA130" i="2"/>
  <c r="AC130" i="2"/>
  <c r="AE130" i="2"/>
  <c r="AG130" i="2"/>
  <c r="AI130" i="2"/>
  <c r="AK130" i="2"/>
  <c r="AM130" i="2"/>
  <c r="AO130" i="2"/>
  <c r="AQ130" i="2"/>
  <c r="AS130" i="2"/>
  <c r="AU130" i="2"/>
  <c r="AW130" i="2"/>
  <c r="BA130" i="2"/>
  <c r="BC130" i="2"/>
  <c r="BE130" i="2"/>
  <c r="BG130" i="2"/>
  <c r="BI130" i="2"/>
  <c r="BK130" i="2"/>
  <c r="BM130" i="2"/>
  <c r="G131" i="2"/>
  <c r="I131" i="2"/>
  <c r="K131" i="2"/>
  <c r="M131" i="2"/>
  <c r="O131" i="2"/>
  <c r="Q131" i="2"/>
  <c r="S131" i="2"/>
  <c r="U131" i="2"/>
  <c r="W131" i="2"/>
  <c r="Y131" i="2"/>
  <c r="AA131" i="2"/>
  <c r="AC131" i="2"/>
  <c r="AE131" i="2"/>
  <c r="AG131" i="2"/>
  <c r="AI131" i="2"/>
  <c r="AK131" i="2"/>
  <c r="AM131" i="2"/>
  <c r="AO131" i="2"/>
  <c r="AQ131" i="2"/>
  <c r="AS131" i="2"/>
  <c r="AU131" i="2"/>
  <c r="AW131" i="2"/>
  <c r="BA131" i="2"/>
  <c r="BC131" i="2"/>
  <c r="BE131" i="2"/>
  <c r="BG131" i="2"/>
  <c r="BI131" i="2"/>
  <c r="BK131" i="2"/>
  <c r="BM131" i="2"/>
  <c r="G132" i="2"/>
  <c r="I132" i="2"/>
  <c r="K132" i="2"/>
  <c r="M132" i="2"/>
  <c r="O132" i="2"/>
  <c r="Q132" i="2"/>
  <c r="S132" i="2"/>
  <c r="U132" i="2"/>
  <c r="W132" i="2"/>
  <c r="Y132" i="2"/>
  <c r="AA132" i="2"/>
  <c r="AC132" i="2"/>
  <c r="AE132" i="2"/>
  <c r="AG132" i="2"/>
  <c r="AI132" i="2"/>
  <c r="AK132" i="2"/>
  <c r="AM132" i="2"/>
  <c r="AO132" i="2"/>
  <c r="AQ132" i="2"/>
  <c r="AS132" i="2"/>
  <c r="AU132" i="2"/>
  <c r="AW132" i="2"/>
  <c r="BA132" i="2"/>
  <c r="BC132" i="2"/>
  <c r="BE132" i="2"/>
  <c r="BG132" i="2"/>
  <c r="BI132" i="2"/>
  <c r="BK132" i="2"/>
  <c r="BM132" i="2"/>
  <c r="G133" i="2"/>
  <c r="I133" i="2"/>
  <c r="K133" i="2"/>
  <c r="M133" i="2"/>
  <c r="O133" i="2"/>
  <c r="Q133" i="2"/>
  <c r="S133" i="2"/>
  <c r="U133" i="2"/>
  <c r="W133" i="2"/>
  <c r="Y133" i="2"/>
  <c r="AA133" i="2"/>
  <c r="AC133" i="2"/>
  <c r="AE133" i="2"/>
  <c r="AG133" i="2"/>
  <c r="AI133" i="2"/>
  <c r="AK133" i="2"/>
  <c r="AM133" i="2"/>
  <c r="AO133" i="2"/>
  <c r="AQ133" i="2"/>
  <c r="AS133" i="2"/>
  <c r="AU133" i="2"/>
  <c r="AW133" i="2"/>
  <c r="BA133" i="2"/>
  <c r="BC133" i="2"/>
  <c r="BE133" i="2"/>
  <c r="BG133" i="2"/>
  <c r="BI133" i="2"/>
  <c r="BK133" i="2"/>
  <c r="BM133" i="2"/>
  <c r="G134" i="2"/>
  <c r="I134" i="2"/>
  <c r="K134" i="2"/>
  <c r="M134" i="2"/>
  <c r="O134" i="2"/>
  <c r="Q134" i="2"/>
  <c r="S134" i="2"/>
  <c r="U134" i="2"/>
  <c r="W134" i="2"/>
  <c r="Y134" i="2"/>
  <c r="AA134" i="2"/>
  <c r="AC134" i="2"/>
  <c r="AE134" i="2"/>
  <c r="AG134" i="2"/>
  <c r="AI134" i="2"/>
  <c r="AK134" i="2"/>
  <c r="AM134" i="2"/>
  <c r="AO134" i="2"/>
  <c r="AQ134" i="2"/>
  <c r="AS134" i="2"/>
  <c r="AU134" i="2"/>
  <c r="AW134" i="2"/>
  <c r="BA134" i="2"/>
  <c r="BC134" i="2"/>
  <c r="BE134" i="2"/>
  <c r="BG134" i="2"/>
  <c r="BI134" i="2"/>
  <c r="BK134" i="2"/>
  <c r="BM134" i="2"/>
  <c r="G135" i="2"/>
  <c r="I135" i="2"/>
  <c r="K135" i="2"/>
  <c r="M135" i="2"/>
  <c r="O135" i="2"/>
  <c r="Q135" i="2"/>
  <c r="S135" i="2"/>
  <c r="U135" i="2"/>
  <c r="W135" i="2"/>
  <c r="Y135" i="2"/>
  <c r="AA135" i="2"/>
  <c r="AC135" i="2"/>
  <c r="AE135" i="2"/>
  <c r="AG135" i="2"/>
  <c r="AI135" i="2"/>
  <c r="AK135" i="2"/>
  <c r="AM135" i="2"/>
  <c r="AO135" i="2"/>
  <c r="AQ135" i="2"/>
  <c r="AS135" i="2"/>
  <c r="AU135" i="2"/>
  <c r="AW135" i="2"/>
  <c r="BA135" i="2"/>
  <c r="BC135" i="2"/>
  <c r="BE135" i="2"/>
  <c r="BG135" i="2"/>
  <c r="BI135" i="2"/>
  <c r="BK135" i="2"/>
  <c r="BM135" i="2"/>
  <c r="G136" i="2"/>
  <c r="I136" i="2"/>
  <c r="K136" i="2"/>
  <c r="M136" i="2"/>
  <c r="O136" i="2"/>
  <c r="Q136" i="2"/>
  <c r="S136" i="2"/>
  <c r="U136" i="2"/>
  <c r="W136" i="2"/>
  <c r="Y136" i="2"/>
  <c r="AA136" i="2"/>
  <c r="AC136" i="2"/>
  <c r="AE136" i="2"/>
  <c r="AG136" i="2"/>
  <c r="AI136" i="2"/>
  <c r="AK136" i="2"/>
  <c r="AM136" i="2"/>
  <c r="AO136" i="2"/>
  <c r="AQ136" i="2"/>
  <c r="AS136" i="2"/>
  <c r="AU136" i="2"/>
  <c r="AW136" i="2"/>
  <c r="BA136" i="2"/>
  <c r="BC136" i="2"/>
  <c r="BE136" i="2"/>
  <c r="BG136" i="2"/>
  <c r="BI136" i="2"/>
  <c r="BK136" i="2"/>
  <c r="BM136" i="2"/>
  <c r="BM138" i="2" l="1"/>
  <c r="BM142" i="2" s="1"/>
  <c r="W138" i="2"/>
  <c r="W142" i="2" s="1"/>
  <c r="W145" i="2" s="1"/>
  <c r="E69" i="2" l="1"/>
  <c r="E72" i="2" l="1"/>
  <c r="BO72" i="2"/>
  <c r="E65" i="2" l="1"/>
  <c r="E66" i="2" l="1"/>
  <c r="E10" i="2" l="1"/>
  <c r="BG138" i="2" l="1"/>
  <c r="BG142" i="2" s="1"/>
  <c r="BG145" i="2" s="1"/>
  <c r="AO138" i="2" l="1"/>
  <c r="AO142" i="2" s="1"/>
  <c r="AO145" i="2" s="1"/>
  <c r="W139" i="2" l="1"/>
  <c r="W143" i="2" s="1"/>
  <c r="W146" i="2" s="1"/>
  <c r="Q138" i="2" l="1"/>
  <c r="Q142" i="2" s="1"/>
  <c r="Q145" i="2" s="1"/>
  <c r="AA138" i="2" l="1"/>
  <c r="AA142" i="2" s="1"/>
  <c r="AA145" i="2" s="1"/>
  <c r="AE138" i="2" l="1"/>
  <c r="AE142" i="2" s="1"/>
  <c r="AE145" i="2" s="1"/>
  <c r="C80" i="2" l="1"/>
  <c r="AY80" i="2" s="1"/>
  <c r="I80" i="2" l="1"/>
  <c r="M80" i="2"/>
  <c r="Q80" i="2"/>
  <c r="U80" i="2"/>
  <c r="Y80" i="2"/>
  <c r="AC80" i="2"/>
  <c r="AG80" i="2"/>
  <c r="AK80" i="2"/>
  <c r="AO80" i="2"/>
  <c r="AS80" i="2"/>
  <c r="AW80" i="2"/>
  <c r="BA80" i="2"/>
  <c r="BE80" i="2"/>
  <c r="BI80" i="2"/>
  <c r="BM80" i="2"/>
  <c r="G80" i="2"/>
  <c r="K80" i="2"/>
  <c r="O80" i="2"/>
  <c r="S80" i="2"/>
  <c r="W80" i="2"/>
  <c r="AA80" i="2"/>
  <c r="AE80" i="2"/>
  <c r="AI80" i="2"/>
  <c r="AM80" i="2"/>
  <c r="AQ80" i="2"/>
  <c r="AU80" i="2"/>
  <c r="BC80" i="2"/>
  <c r="BG80" i="2"/>
  <c r="BK80" i="2"/>
  <c r="C81" i="2"/>
  <c r="AY81" i="2" s="1"/>
  <c r="I81" i="2" l="1"/>
  <c r="M81" i="2"/>
  <c r="Q81" i="2"/>
  <c r="U81" i="2"/>
  <c r="Y81" i="2"/>
  <c r="AC81" i="2"/>
  <c r="AG81" i="2"/>
  <c r="AK81" i="2"/>
  <c r="AO81" i="2"/>
  <c r="AS81" i="2"/>
  <c r="AW81" i="2"/>
  <c r="BA81" i="2"/>
  <c r="BE81" i="2"/>
  <c r="BI81" i="2"/>
  <c r="BM81" i="2"/>
  <c r="G81" i="2"/>
  <c r="K81" i="2"/>
  <c r="O81" i="2"/>
  <c r="S81" i="2"/>
  <c r="W81" i="2"/>
  <c r="AA81" i="2"/>
  <c r="AE81" i="2"/>
  <c r="AI81" i="2"/>
  <c r="AM81" i="2"/>
  <c r="AQ81" i="2"/>
  <c r="AU81" i="2"/>
  <c r="BC81" i="2"/>
  <c r="BG81" i="2"/>
  <c r="BK81" i="2"/>
  <c r="E13" i="2" l="1"/>
  <c r="AY138" i="2" l="1"/>
  <c r="AY142" i="2" s="1"/>
  <c r="AY145" i="2" s="1"/>
  <c r="E44" i="2" l="1"/>
  <c r="E43" i="2"/>
  <c r="E29" i="2" l="1"/>
  <c r="AM138" i="2" l="1"/>
  <c r="AM142" i="2" s="1"/>
  <c r="AM145" i="2" s="1"/>
  <c r="Y138" i="2" l="1"/>
  <c r="Y142" i="2" s="1"/>
  <c r="Y145" i="2" s="1"/>
  <c r="S138" i="2" l="1"/>
  <c r="S142" i="2" s="1"/>
  <c r="S145" i="2" s="1"/>
  <c r="E4" i="2" l="1"/>
  <c r="E5" i="2"/>
  <c r="E3" i="2" l="1"/>
  <c r="BN3" i="2" s="1"/>
  <c r="U138" i="2" l="1"/>
  <c r="U142" i="2" s="1"/>
  <c r="U145" i="2" s="1"/>
  <c r="E136" i="2" l="1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1" i="2"/>
  <c r="E70" i="2"/>
  <c r="E68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8" i="2"/>
  <c r="E7" i="2"/>
  <c r="E6" i="2"/>
  <c r="BN9" i="2" l="1"/>
  <c r="BO9" i="2" s="1"/>
  <c r="BN72" i="2"/>
  <c r="BN66" i="2"/>
  <c r="BO66" i="2" s="1"/>
  <c r="E138" i="2"/>
  <c r="E142" i="2" s="1"/>
  <c r="E145" i="2" s="1"/>
  <c r="BN44" i="2"/>
  <c r="BO44" i="2" s="1"/>
  <c r="BN13" i="2"/>
  <c r="BO13" i="2" s="1"/>
  <c r="BN29" i="2"/>
  <c r="BO29" i="2" s="1"/>
  <c r="BN43" i="2"/>
  <c r="BO43" i="2" s="1"/>
  <c r="I139" i="2"/>
  <c r="I143" i="2" s="1"/>
  <c r="I146" i="2" s="1"/>
  <c r="I138" i="2"/>
  <c r="I142" i="2" s="1"/>
  <c r="I145" i="2" s="1"/>
  <c r="K139" i="2" l="1"/>
  <c r="K143" i="2" s="1"/>
  <c r="K146" i="2" s="1"/>
  <c r="K138" i="2"/>
  <c r="K142" i="2" s="1"/>
  <c r="K145" i="2" s="1"/>
  <c r="BM139" i="2" l="1"/>
  <c r="BM143" i="2" s="1"/>
  <c r="BK139" i="2"/>
  <c r="BK143" i="2" s="1"/>
  <c r="BK146" i="2" s="1"/>
  <c r="BI139" i="2"/>
  <c r="BI143" i="2" s="1"/>
  <c r="BI146" i="2" s="1"/>
  <c r="BG139" i="2"/>
  <c r="BG143" i="2" s="1"/>
  <c r="BG146" i="2" s="1"/>
  <c r="BE139" i="2"/>
  <c r="BE143" i="2" s="1"/>
  <c r="BE146" i="2" s="1"/>
  <c r="BC139" i="2"/>
  <c r="BC143" i="2" s="1"/>
  <c r="BC146" i="2" s="1"/>
  <c r="BA139" i="2"/>
  <c r="BA143" i="2" s="1"/>
  <c r="BA146" i="2" s="1"/>
  <c r="AY139" i="2"/>
  <c r="AY143" i="2" s="1"/>
  <c r="AY146" i="2" s="1"/>
  <c r="AW139" i="2"/>
  <c r="AW143" i="2" s="1"/>
  <c r="AW146" i="2" s="1"/>
  <c r="AU139" i="2"/>
  <c r="AU143" i="2" s="1"/>
  <c r="AU146" i="2" s="1"/>
  <c r="AS139" i="2"/>
  <c r="AS143" i="2" s="1"/>
  <c r="AS146" i="2" s="1"/>
  <c r="AQ139" i="2"/>
  <c r="AQ143" i="2" s="1"/>
  <c r="AQ146" i="2" s="1"/>
  <c r="AO139" i="2"/>
  <c r="AO143" i="2" s="1"/>
  <c r="AO146" i="2" s="1"/>
  <c r="AM139" i="2"/>
  <c r="AM143" i="2" s="1"/>
  <c r="AM146" i="2" s="1"/>
  <c r="AK139" i="2"/>
  <c r="AK143" i="2" s="1"/>
  <c r="AK146" i="2" s="1"/>
  <c r="AI139" i="2"/>
  <c r="AI143" i="2" s="1"/>
  <c r="AI146" i="2" s="1"/>
  <c r="AG139" i="2"/>
  <c r="AG143" i="2" s="1"/>
  <c r="AG146" i="2" s="1"/>
  <c r="AE139" i="2"/>
  <c r="AE143" i="2" s="1"/>
  <c r="AE146" i="2" s="1"/>
  <c r="AC139" i="2"/>
  <c r="AC143" i="2" s="1"/>
  <c r="AC146" i="2" s="1"/>
  <c r="AA139" i="2"/>
  <c r="AA143" i="2" s="1"/>
  <c r="AA146" i="2" s="1"/>
  <c r="Y139" i="2"/>
  <c r="Y143" i="2" s="1"/>
  <c r="Y146" i="2" s="1"/>
  <c r="U139" i="2"/>
  <c r="U143" i="2" s="1"/>
  <c r="U146" i="2" s="1"/>
  <c r="S139" i="2"/>
  <c r="S143" i="2" s="1"/>
  <c r="S146" i="2" s="1"/>
  <c r="Q139" i="2"/>
  <c r="Q143" i="2" s="1"/>
  <c r="Q146" i="2" s="1"/>
  <c r="O139" i="2"/>
  <c r="O143" i="2" s="1"/>
  <c r="O146" i="2" s="1"/>
  <c r="M139" i="2"/>
  <c r="M143" i="2" s="1"/>
  <c r="M146" i="2" s="1"/>
  <c r="G139" i="2"/>
  <c r="G143" i="2" s="1"/>
  <c r="G146" i="2" s="1"/>
  <c r="BK138" i="2"/>
  <c r="BK142" i="2" s="1"/>
  <c r="BK145" i="2" s="1"/>
  <c r="BI138" i="2"/>
  <c r="BI142" i="2" s="1"/>
  <c r="BI145" i="2" s="1"/>
  <c r="BE138" i="2"/>
  <c r="BE142" i="2" s="1"/>
  <c r="BE145" i="2" s="1"/>
  <c r="BC138" i="2"/>
  <c r="BC142" i="2" s="1"/>
  <c r="BC145" i="2" s="1"/>
  <c r="BA138" i="2"/>
  <c r="BA142" i="2" s="1"/>
  <c r="BA145" i="2" s="1"/>
  <c r="AW138" i="2"/>
  <c r="AW142" i="2" s="1"/>
  <c r="AW145" i="2" s="1"/>
  <c r="AU138" i="2"/>
  <c r="AU142" i="2" s="1"/>
  <c r="AU145" i="2" s="1"/>
  <c r="AS138" i="2"/>
  <c r="AS142" i="2" s="1"/>
  <c r="AS145" i="2" s="1"/>
  <c r="AQ138" i="2"/>
  <c r="AQ142" i="2" s="1"/>
  <c r="AQ145" i="2" s="1"/>
  <c r="AK138" i="2"/>
  <c r="AK142" i="2" s="1"/>
  <c r="AK145" i="2" s="1"/>
  <c r="AI138" i="2"/>
  <c r="AI142" i="2" s="1"/>
  <c r="AI145" i="2" s="1"/>
  <c r="AG138" i="2"/>
  <c r="AG142" i="2" s="1"/>
  <c r="AG145" i="2" s="1"/>
  <c r="AC138" i="2"/>
  <c r="AC142" i="2" s="1"/>
  <c r="AC145" i="2" s="1"/>
  <c r="O138" i="2"/>
  <c r="O142" i="2" s="1"/>
  <c r="O145" i="2" s="1"/>
  <c r="M138" i="2"/>
  <c r="M142" i="2" s="1"/>
  <c r="M145" i="2" s="1"/>
  <c r="G138" i="2"/>
  <c r="G142" i="2" s="1"/>
  <c r="G145" i="2" s="1"/>
  <c r="BO119" i="2"/>
  <c r="BO118" i="2"/>
  <c r="BO117" i="2"/>
  <c r="BO116" i="2"/>
  <c r="BO115" i="2"/>
  <c r="BO114" i="2"/>
  <c r="BO113" i="2"/>
  <c r="BO112" i="2"/>
  <c r="BO111" i="2"/>
  <c r="BO110" i="2"/>
  <c r="BO109" i="2"/>
  <c r="BO108" i="2"/>
  <c r="BO107" i="2"/>
  <c r="BO106" i="2"/>
  <c r="BO105" i="2"/>
  <c r="BO104" i="2"/>
  <c r="BO103" i="2"/>
  <c r="BO102" i="2"/>
  <c r="BO101" i="2"/>
  <c r="BO100" i="2"/>
  <c r="BO99" i="2"/>
  <c r="BO98" i="2"/>
  <c r="BO97" i="2"/>
  <c r="BO96" i="2"/>
  <c r="BO95" i="2"/>
  <c r="BO94" i="2"/>
  <c r="BO93" i="2"/>
  <c r="BO92" i="2"/>
  <c r="BO91" i="2"/>
  <c r="BO90" i="2"/>
  <c r="BO89" i="2"/>
  <c r="BO88" i="2"/>
  <c r="BO87" i="2"/>
  <c r="BO86" i="2"/>
  <c r="BO85" i="2"/>
  <c r="BO84" i="2"/>
  <c r="BO83" i="2"/>
  <c r="BO82" i="2"/>
  <c r="BO81" i="2"/>
  <c r="BO80" i="2"/>
  <c r="BO79" i="2"/>
  <c r="BO78" i="2"/>
  <c r="BO77" i="2"/>
  <c r="BO76" i="2"/>
  <c r="BO75" i="2"/>
  <c r="BO71" i="2"/>
  <c r="BO63" i="2"/>
  <c r="BO60" i="2"/>
  <c r="BO59" i="2"/>
  <c r="BO58" i="2"/>
  <c r="BO57" i="2"/>
  <c r="BO56" i="2"/>
  <c r="BO55" i="2"/>
  <c r="BO54" i="2"/>
  <c r="BO53" i="2"/>
  <c r="BO52" i="2"/>
  <c r="BO51" i="2"/>
  <c r="BO50" i="2"/>
  <c r="BO49" i="2"/>
  <c r="BO37" i="2"/>
  <c r="BO31" i="2"/>
  <c r="BO30" i="2"/>
  <c r="BO16" i="2"/>
  <c r="BO15" i="2"/>
  <c r="BO14" i="2"/>
  <c r="BO145" i="2" l="1"/>
  <c r="BP145" i="2" s="1"/>
  <c r="BN138" i="2"/>
  <c r="BO138" i="2" s="1"/>
  <c r="BP138" i="2" s="1"/>
  <c r="BN4" i="2"/>
  <c r="BO4" i="2" s="1"/>
  <c r="BN7" i="2"/>
  <c r="BO7" i="2" s="1"/>
  <c r="BN12" i="2"/>
  <c r="BO12" i="2" s="1"/>
  <c r="BN6" i="2"/>
  <c r="BO6" i="2" s="1"/>
  <c r="BN8" i="2"/>
  <c r="BO8" i="2" s="1"/>
  <c r="BN11" i="2"/>
  <c r="BO11" i="2" s="1"/>
  <c r="BN14" i="2"/>
  <c r="BN16" i="2"/>
  <c r="BN5" i="2"/>
  <c r="BO5" i="2" s="1"/>
  <c r="BN10" i="2"/>
  <c r="BO10" i="2" s="1"/>
  <c r="BN20" i="2"/>
  <c r="BO20" i="2" s="1"/>
  <c r="BN22" i="2"/>
  <c r="BO22" i="2" s="1"/>
  <c r="BN24" i="2"/>
  <c r="BO24" i="2" s="1"/>
  <c r="BN26" i="2"/>
  <c r="BO26" i="2" s="1"/>
  <c r="BN28" i="2"/>
  <c r="BO28" i="2" s="1"/>
  <c r="BN32" i="2"/>
  <c r="BO32" i="2" s="1"/>
  <c r="BN102" i="2"/>
  <c r="BN100" i="2"/>
  <c r="BN98" i="2"/>
  <c r="BN96" i="2"/>
  <c r="BN94" i="2"/>
  <c r="BN92" i="2"/>
  <c r="BN90" i="2"/>
  <c r="BN88" i="2"/>
  <c r="BN86" i="2"/>
  <c r="BN84" i="2"/>
  <c r="BN82" i="2"/>
  <c r="BN80" i="2"/>
  <c r="BN78" i="2"/>
  <c r="BN76" i="2"/>
  <c r="BN71" i="2"/>
  <c r="BN70" i="2"/>
  <c r="BO70" i="2" s="1"/>
  <c r="BN68" i="2"/>
  <c r="BO68" i="2" s="1"/>
  <c r="BN64" i="2"/>
  <c r="BO64" i="2" s="1"/>
  <c r="BO3" i="2"/>
  <c r="E139" i="2"/>
  <c r="E143" i="2" s="1"/>
  <c r="E146" i="2" s="1"/>
  <c r="BN17" i="2"/>
  <c r="BO17" i="2" s="1"/>
  <c r="BN19" i="2"/>
  <c r="BO19" i="2" s="1"/>
  <c r="BN31" i="2"/>
  <c r="BN38" i="2"/>
  <c r="BO38" i="2" s="1"/>
  <c r="BN39" i="2"/>
  <c r="BO39" i="2" s="1"/>
  <c r="BN40" i="2"/>
  <c r="BO40" i="2" s="1"/>
  <c r="BN41" i="2"/>
  <c r="BO41" i="2" s="1"/>
  <c r="BN42" i="2"/>
  <c r="BO42" i="2" s="1"/>
  <c r="BN45" i="2"/>
  <c r="BO45" i="2" s="1"/>
  <c r="BN46" i="2"/>
  <c r="BO46" i="2" s="1"/>
  <c r="BN47" i="2"/>
  <c r="BO47" i="2" s="1"/>
  <c r="BN48" i="2"/>
  <c r="BO48" i="2" s="1"/>
  <c r="BN49" i="2"/>
  <c r="BN51" i="2"/>
  <c r="BN53" i="2"/>
  <c r="BN55" i="2"/>
  <c r="BN57" i="2"/>
  <c r="BN59" i="2"/>
  <c r="BN61" i="2"/>
  <c r="BO61" i="2" s="1"/>
  <c r="BN63" i="2"/>
  <c r="BN74" i="2"/>
  <c r="BO74" i="2" s="1"/>
  <c r="BN15" i="2"/>
  <c r="BN18" i="2"/>
  <c r="BO18" i="2" s="1"/>
  <c r="BN21" i="2"/>
  <c r="BO21" i="2" s="1"/>
  <c r="BN23" i="2"/>
  <c r="BO23" i="2" s="1"/>
  <c r="BN25" i="2"/>
  <c r="BO25" i="2" s="1"/>
  <c r="BN27" i="2"/>
  <c r="BO27" i="2" s="1"/>
  <c r="BN30" i="2"/>
  <c r="BN33" i="2"/>
  <c r="BO33" i="2" s="1"/>
  <c r="BN34" i="2"/>
  <c r="BO34" i="2" s="1"/>
  <c r="BN35" i="2"/>
  <c r="BO35" i="2" s="1"/>
  <c r="BN36" i="2"/>
  <c r="BO36" i="2" s="1"/>
  <c r="BN37" i="2"/>
  <c r="BN50" i="2"/>
  <c r="BN52" i="2"/>
  <c r="BN54" i="2"/>
  <c r="BN56" i="2"/>
  <c r="BN58" i="2"/>
  <c r="BN60" i="2"/>
  <c r="BN62" i="2"/>
  <c r="BO62" i="2" s="1"/>
  <c r="BN73" i="2"/>
  <c r="BO73" i="2" s="1"/>
  <c r="BN75" i="2"/>
  <c r="BN77" i="2"/>
  <c r="BN79" i="2"/>
  <c r="BN81" i="2"/>
  <c r="BN83" i="2"/>
  <c r="BN85" i="2"/>
  <c r="BN87" i="2"/>
  <c r="BN89" i="2"/>
  <c r="BN91" i="2"/>
  <c r="BN93" i="2"/>
  <c r="BN95" i="2"/>
  <c r="BN97" i="2"/>
  <c r="BN99" i="2"/>
  <c r="BN101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O142" i="2" l="1"/>
  <c r="BP142" i="2" s="1"/>
  <c r="BN139" i="2"/>
  <c r="BO139" i="2" s="1"/>
  <c r="BP139" i="2" s="1"/>
  <c r="BO143" i="2"/>
  <c r="BP143" i="2" s="1"/>
  <c r="BO146" i="2"/>
  <c r="BP146" i="2" s="1"/>
  <c r="BN131" i="2"/>
  <c r="BO131" i="2" s="1"/>
</calcChain>
</file>

<file path=xl/sharedStrings.xml><?xml version="1.0" encoding="utf-8"?>
<sst xmlns="http://schemas.openxmlformats.org/spreadsheetml/2006/main" count="757" uniqueCount="165">
  <si>
    <t>Jenis Makanan</t>
  </si>
  <si>
    <t>TOTAL</t>
  </si>
  <si>
    <t>out</t>
  </si>
  <si>
    <t>por</t>
  </si>
  <si>
    <t>ekor</t>
  </si>
  <si>
    <t>bbk</t>
  </si>
  <si>
    <t>bebek bakar 1 ekor</t>
  </si>
  <si>
    <t>bebek bakar 1/2 ekor</t>
  </si>
  <si>
    <t>bebek bakar 1/4 ekor</t>
  </si>
  <si>
    <t>bebek goreng 1 ekor</t>
  </si>
  <si>
    <t>bebek goreng 1/2 ekor</t>
  </si>
  <si>
    <t>bebek goreng 1/4 ekor</t>
  </si>
  <si>
    <t>bebek dabu 1 ekor</t>
  </si>
  <si>
    <t>bebek dabu 1/2 ekor</t>
  </si>
  <si>
    <t>bebek dabu 1/4 ekor</t>
  </si>
  <si>
    <t>aym</t>
  </si>
  <si>
    <t>ayam bakar 1 ekor</t>
  </si>
  <si>
    <t>ayam bakar 1/2 ekor</t>
  </si>
  <si>
    <t>ayam bakar 1/4 ekor</t>
  </si>
  <si>
    <t>ayam goreng 1 ekor</t>
  </si>
  <si>
    <t>ayam goreng 1/2 ekor</t>
  </si>
  <si>
    <t>ayam goreng 1/4 ekor</t>
  </si>
  <si>
    <t>ayam dabu 1 ekor</t>
  </si>
  <si>
    <t>ayam dabu 1/2 ekor</t>
  </si>
  <si>
    <t>ayam dabu 1/4 ekor</t>
  </si>
  <si>
    <t>krispy ayam saus lemon 1 ekor</t>
  </si>
  <si>
    <t>krispy ayam saus lemon 1/2 ekor</t>
  </si>
  <si>
    <t>krispy ayam saus lemon 1/4 ekor</t>
  </si>
  <si>
    <t>nasi putih 1 porsi</t>
  </si>
  <si>
    <t>nasi putih 1/2 porsi</t>
  </si>
  <si>
    <t>nasi bebek bakar</t>
  </si>
  <si>
    <t>nasi bebek goreng</t>
  </si>
  <si>
    <t>nasi ayam bakar</t>
  </si>
  <si>
    <t>nasi ayam goreng</t>
  </si>
  <si>
    <t>nasi goreng bebek</t>
  </si>
  <si>
    <t>nasi goreng telur</t>
  </si>
  <si>
    <t>nasi goreng ayam</t>
  </si>
  <si>
    <t>paket bebek bakar</t>
  </si>
  <si>
    <t>Paket Bebek Goreng</t>
  </si>
  <si>
    <t>paket bebek dabu</t>
  </si>
  <si>
    <t>paket kryspy bebek saus lemon</t>
  </si>
  <si>
    <t>paket ayam bakar</t>
  </si>
  <si>
    <t>paket ayam goreng</t>
  </si>
  <si>
    <t>paket ayam dabu</t>
  </si>
  <si>
    <t>paket kryspy ayam saus lemon</t>
  </si>
  <si>
    <t>kol goreng</t>
  </si>
  <si>
    <t>keremes</t>
  </si>
  <si>
    <t>lalab</t>
  </si>
  <si>
    <t>telur dadar</t>
  </si>
  <si>
    <t>telur mata sapi</t>
  </si>
  <si>
    <t>th</t>
  </si>
  <si>
    <t>tahu goreng 1 porsi</t>
  </si>
  <si>
    <t>tahu goreng 1/2 porsi</t>
  </si>
  <si>
    <t>tempe goreng 1 porsi</t>
  </si>
  <si>
    <t>tp</t>
  </si>
  <si>
    <t>tempe goreng 1/2 porsi</t>
  </si>
  <si>
    <t>sambal, hijau,kecap,kacang</t>
  </si>
  <si>
    <t>sambal pedas</t>
  </si>
  <si>
    <t>sambal dabu-dabu</t>
  </si>
  <si>
    <t>sop bening bebek</t>
  </si>
  <si>
    <t>sop bening ayam</t>
  </si>
  <si>
    <t>sop bening polos</t>
  </si>
  <si>
    <t>mie kuah bebek</t>
  </si>
  <si>
    <t>mie goreng bebek</t>
  </si>
  <si>
    <t>mie siram bebek</t>
  </si>
  <si>
    <t>brokoli saus bawang putih</t>
  </si>
  <si>
    <t>bebek cah brokoli</t>
  </si>
  <si>
    <t>lumpia bebek</t>
  </si>
  <si>
    <t>keju aroma</t>
  </si>
  <si>
    <t>pisang aroma</t>
  </si>
  <si>
    <t>pisang goreng</t>
  </si>
  <si>
    <t>pisang bakar</t>
  </si>
  <si>
    <t>nanas goreng</t>
  </si>
  <si>
    <t>teh tawar</t>
  </si>
  <si>
    <t>teh manis</t>
  </si>
  <si>
    <t>aqua prima</t>
  </si>
  <si>
    <t>teh botol</t>
  </si>
  <si>
    <t>coca-cola</t>
  </si>
  <si>
    <t>fanta</t>
  </si>
  <si>
    <t>sprite</t>
  </si>
  <si>
    <t>tebs</t>
  </si>
  <si>
    <t>kopi susu</t>
  </si>
  <si>
    <t>kopi hitam</t>
  </si>
  <si>
    <t>coffee mix</t>
  </si>
  <si>
    <t>the tubruk</t>
  </si>
  <si>
    <t>jus marquisa</t>
  </si>
  <si>
    <t>jus jeruk</t>
  </si>
  <si>
    <t>jus jambu</t>
  </si>
  <si>
    <t>jus alpukad</t>
  </si>
  <si>
    <t>jus tomat</t>
  </si>
  <si>
    <t>jus strawberry</t>
  </si>
  <si>
    <t>jus mangga</t>
  </si>
  <si>
    <t>jus nanas</t>
  </si>
  <si>
    <t>mix jus</t>
  </si>
  <si>
    <t>maquisa+strawberry</t>
  </si>
  <si>
    <t>marquis+soda</t>
  </si>
  <si>
    <t>red bean shake</t>
  </si>
  <si>
    <t>cheesy shake</t>
  </si>
  <si>
    <t>veggie shake</t>
  </si>
  <si>
    <t>oreo ice tea</t>
  </si>
  <si>
    <t>banana smoothies</t>
  </si>
  <si>
    <t>mango smoothies</t>
  </si>
  <si>
    <t>orange smoothies</t>
  </si>
  <si>
    <t>floating strawberry</t>
  </si>
  <si>
    <t>capuccino float</t>
  </si>
  <si>
    <t>the tarik float</t>
  </si>
  <si>
    <t>ice capuccino</t>
  </si>
  <si>
    <t>soda susu</t>
  </si>
  <si>
    <t>es the tarik</t>
  </si>
  <si>
    <t>teh tarik hot</t>
  </si>
  <si>
    <t>ice lemon tea</t>
  </si>
  <si>
    <t>hot lemon tea</t>
  </si>
  <si>
    <t>hot capuccino</t>
  </si>
  <si>
    <t>ice coffe latte</t>
  </si>
  <si>
    <t>ice coffe tubruk</t>
  </si>
  <si>
    <t>ice coffee mix</t>
  </si>
  <si>
    <t>delivery</t>
  </si>
  <si>
    <t>discount</t>
  </si>
  <si>
    <t>pancake</t>
  </si>
  <si>
    <t>yoghurt rasa</t>
  </si>
  <si>
    <t>yoghurt jelly</t>
  </si>
  <si>
    <t>kerupuk palembang</t>
  </si>
  <si>
    <t>mie nyere</t>
  </si>
  <si>
    <t>bumbu oles 1/2</t>
  </si>
  <si>
    <t>bumbu oles 1/4</t>
  </si>
  <si>
    <t>bumbu goreng</t>
  </si>
  <si>
    <t>keremes 1/2</t>
  </si>
  <si>
    <t>keremes 1/4</t>
  </si>
  <si>
    <t>paket bebek geprek</t>
  </si>
  <si>
    <t/>
  </si>
  <si>
    <t>Paket Bebek Goreng"</t>
  </si>
  <si>
    <t>tgl</t>
  </si>
  <si>
    <t>ket</t>
  </si>
  <si>
    <t>gofood</t>
  </si>
  <si>
    <t>paket ayam geprek</t>
  </si>
  <si>
    <t>ayam geprek 1/4 ekor</t>
  </si>
  <si>
    <t>kas</t>
  </si>
  <si>
    <t>bebek geprek 1/4 ekor</t>
  </si>
  <si>
    <t>cash</t>
  </si>
  <si>
    <t>petty cash</t>
  </si>
  <si>
    <t>balance</t>
  </si>
  <si>
    <t>db</t>
  </si>
  <si>
    <t>cr</t>
  </si>
  <si>
    <t>bnk</t>
  </si>
  <si>
    <t>terjual</t>
  </si>
  <si>
    <t>trf</t>
  </si>
  <si>
    <t>grab</t>
  </si>
  <si>
    <t>krispy bebek saus lemon 1 ekor</t>
  </si>
  <si>
    <t>krispy bebek saus lemon 1/2 ekor</t>
  </si>
  <si>
    <t>krispy bebek saus lemon 1/4 ekor</t>
  </si>
  <si>
    <t>shopee</t>
  </si>
  <si>
    <t>mie goreng ayam</t>
  </si>
  <si>
    <t>mie kuah ayam</t>
  </si>
  <si>
    <t>ayam cah brokoli</t>
  </si>
  <si>
    <t>mie siram ayam</t>
  </si>
  <si>
    <t>debit bca</t>
  </si>
  <si>
    <t>debit bri</t>
  </si>
  <si>
    <t>bjb</t>
  </si>
  <si>
    <t>sate bebek</t>
  </si>
  <si>
    <t>QR</t>
  </si>
  <si>
    <t>refund</t>
  </si>
  <si>
    <t>Total</t>
  </si>
  <si>
    <t xml:space="preserve">bun </t>
  </si>
  <si>
    <t>ovo</t>
  </si>
  <si>
    <t>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</si>
</sst>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dd/mm/yyyy;@"/>
    <numFmt numFmtId="167" formatCode="_(* #,##0_);_(* \(#,##0\);_(* &quot;-&quot;??_);_(@_)"/>
    <numFmt numFmtId="168" formatCode="\ #,##0;\(\ #,##0\)"/>
    <numFmt numFmtId="169" formatCode="0.00;[Red]0.00"/>
    <numFmt numFmtId="170" formatCode="0.0"/>
    <numFmt numFmtId="171" formatCode="_(* #,##0.00_);_(* \(#,##0.00\);_(* &quot;-&quot;_);_(@_)"/>
    <numFmt numFmtId="175" formatCode="0.000"/>
  </numFmts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53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5">
    <xf numFmtId="0" fontId="0" fillId="0" borderId="0"/>
    <xf numFmtId="165" fontId="13" fillId="0" borderId="0" applyFont="0" applyFill="0" applyBorder="0" applyAlignment="0" applyProtection="0"/>
    <xf numFmtId="0" fontId="10" fillId="0" borderId="0"/>
    <xf numFmtId="164" fontId="12" fillId="0" borderId="0" applyFont="0" applyFill="0" applyBorder="0" applyAlignment="0" applyProtection="0"/>
    <xf numFmtId="0" fontId="12" fillId="0" borderId="0"/>
    <xf numFmtId="0" fontId="13" fillId="0" borderId="0"/>
    <xf numFmtId="165" fontId="13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164" fontId="1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112">
    <xf numFmtId="0" fontId="0" fillId="0" borderId="0" xfId="0"/>
    <xf numFmtId="0" fontId="14" fillId="0" borderId="0" xfId="4" applyFont="1"/>
    <xf numFmtId="166" fontId="13" fillId="0" borderId="0" xfId="2" applyNumberFormat="1" applyFont="1"/>
    <xf numFmtId="167" fontId="14" fillId="0" borderId="0" xfId="1" applyNumberFormat="1" applyFont="1" applyFill="1"/>
    <xf numFmtId="166" fontId="14" fillId="0" borderId="0" xfId="4" applyNumberFormat="1" applyFont="1"/>
    <xf numFmtId="0" fontId="16" fillId="0" borderId="1" xfId="0" applyFont="1" applyBorder="1" applyAlignment="1">
      <alignment wrapText="1"/>
    </xf>
    <xf numFmtId="168" fontId="16" fillId="0" borderId="1" xfId="0" applyNumberFormat="1" applyFont="1" applyBorder="1" applyAlignment="1">
      <alignment horizontal="right" wrapText="1"/>
    </xf>
    <xf numFmtId="0" fontId="15" fillId="0" borderId="1" xfId="5" applyFont="1" applyBorder="1" applyAlignment="1">
      <alignment wrapText="1"/>
    </xf>
    <xf numFmtId="167" fontId="14" fillId="0" borderId="0" xfId="1" applyNumberFormat="1" applyFont="1"/>
    <xf numFmtId="0" fontId="18" fillId="2" borderId="2" xfId="7" applyFont="1" applyFill="1" applyBorder="1"/>
    <xf numFmtId="0" fontId="18" fillId="3" borderId="2" xfId="8" applyFont="1" applyFill="1" applyBorder="1" applyAlignment="1">
      <alignment horizontal="center"/>
    </xf>
    <xf numFmtId="0" fontId="17" fillId="0" borderId="0" xfId="7"/>
    <xf numFmtId="0" fontId="18" fillId="2" borderId="2" xfId="8" applyFont="1" applyFill="1" applyBorder="1" applyAlignment="1">
      <alignment horizontal="center"/>
    </xf>
    <xf numFmtId="16" fontId="18" fillId="2" borderId="2" xfId="7" applyNumberFormat="1" applyFont="1" applyFill="1" applyBorder="1" applyAlignment="1">
      <alignment horizontal="center"/>
    </xf>
    <xf numFmtId="0" fontId="12" fillId="0" borderId="3" xfId="9" applyBorder="1" applyAlignment="1">
      <alignment wrapText="1"/>
    </xf>
    <xf numFmtId="0" fontId="12" fillId="0" borderId="0" xfId="9" applyAlignment="1">
      <alignment wrapText="1"/>
    </xf>
    <xf numFmtId="2" fontId="19" fillId="0" borderId="0" xfId="7" applyNumberFormat="1" applyFont="1" applyAlignment="1">
      <alignment horizontal="center"/>
    </xf>
    <xf numFmtId="0" fontId="15" fillId="0" borderId="1" xfId="10" applyFont="1" applyBorder="1" applyAlignment="1">
      <alignment wrapText="1"/>
    </xf>
    <xf numFmtId="0" fontId="12" fillId="0" borderId="1" xfId="9" applyBorder="1" applyAlignment="1">
      <alignment wrapText="1"/>
    </xf>
    <xf numFmtId="0" fontId="12" fillId="0" borderId="0" xfId="8" applyAlignment="1">
      <alignment wrapText="1"/>
    </xf>
    <xf numFmtId="0" fontId="17" fillId="0" borderId="0" xfId="7" applyAlignment="1">
      <alignment horizontal="center"/>
    </xf>
    <xf numFmtId="2" fontId="17" fillId="0" borderId="0" xfId="7" applyNumberFormat="1"/>
    <xf numFmtId="2" fontId="17" fillId="0" borderId="0" xfId="7" applyNumberFormat="1" applyAlignment="1">
      <alignment horizontal="center"/>
    </xf>
    <xf numFmtId="16" fontId="17" fillId="0" borderId="0" xfId="7" applyNumberFormat="1"/>
    <xf numFmtId="0" fontId="19" fillId="0" borderId="0" xfId="7" applyFont="1" applyAlignment="1">
      <alignment horizontal="center"/>
    </xf>
    <xf numFmtId="167" fontId="14" fillId="0" borderId="0" xfId="4" applyNumberFormat="1" applyFont="1"/>
    <xf numFmtId="167" fontId="16" fillId="0" borderId="1" xfId="1" applyNumberFormat="1" applyFont="1" applyFill="1" applyBorder="1" applyAlignment="1">
      <alignment horizontal="right" wrapText="1"/>
    </xf>
    <xf numFmtId="165" fontId="17" fillId="0" borderId="0" xfId="1" applyFont="1"/>
    <xf numFmtId="0" fontId="15" fillId="0" borderId="1" xfId="0" applyFont="1" applyBorder="1" applyAlignment="1">
      <alignment wrapText="1"/>
    </xf>
    <xf numFmtId="168" fontId="15" fillId="0" borderId="1" xfId="0" applyNumberFormat="1" applyFont="1" applyBorder="1" applyAlignment="1">
      <alignment horizontal="right" wrapText="1"/>
    </xf>
    <xf numFmtId="166" fontId="6" fillId="0" borderId="0" xfId="2" applyNumberFormat="1" applyFont="1"/>
    <xf numFmtId="166" fontId="4" fillId="0" borderId="0" xfId="2" applyNumberFormat="1" applyFont="1"/>
    <xf numFmtId="167" fontId="14" fillId="0" borderId="0" xfId="1" applyNumberFormat="1" applyFont="1" applyFill="1" applyAlignment="1">
      <alignment horizontal="left"/>
    </xf>
    <xf numFmtId="167" fontId="20" fillId="0" borderId="1" xfId="1" applyNumberFormat="1" applyFont="1" applyFill="1" applyBorder="1" applyAlignment="1">
      <alignment horizontal="center" wrapText="1"/>
    </xf>
    <xf numFmtId="167" fontId="20" fillId="0" borderId="1" xfId="1" applyNumberFormat="1" applyFont="1" applyFill="1" applyBorder="1" applyAlignment="1">
      <alignment horizontal="right" wrapText="1"/>
    </xf>
    <xf numFmtId="167" fontId="7" fillId="0" borderId="0" xfId="1" applyNumberFormat="1" applyFont="1" applyFill="1" applyBorder="1" applyAlignment="1"/>
    <xf numFmtId="167" fontId="15" fillId="0" borderId="4" xfId="1" applyNumberFormat="1" applyFont="1" applyFill="1" applyBorder="1" applyAlignment="1">
      <alignment horizontal="center" wrapText="1"/>
    </xf>
    <xf numFmtId="167" fontId="0" fillId="0" borderId="0" xfId="1" applyNumberFormat="1" applyFont="1" applyFill="1" applyAlignment="1"/>
    <xf numFmtId="167" fontId="13" fillId="0" borderId="0" xfId="1" applyNumberFormat="1" applyFont="1" applyFill="1"/>
    <xf numFmtId="167" fontId="13" fillId="0" borderId="0" xfId="1" applyNumberFormat="1" applyFill="1" applyBorder="1" applyAlignment="1"/>
    <xf numFmtId="167" fontId="14" fillId="0" borderId="0" xfId="1" applyNumberFormat="1" applyFont="1" applyFill="1" applyAlignment="1"/>
    <xf numFmtId="167" fontId="14" fillId="0" borderId="0" xfId="1" applyNumberFormat="1" applyFont="1" applyAlignment="1"/>
    <xf numFmtId="167" fontId="14" fillId="0" borderId="0" xfId="1" applyNumberFormat="1" applyFont="1" applyAlignment="1">
      <alignment horizontal="left"/>
    </xf>
    <xf numFmtId="167" fontId="13" fillId="0" borderId="0" xfId="1" applyNumberFormat="1" applyFont="1"/>
    <xf numFmtId="167" fontId="3" fillId="0" borderId="0" xfId="1" applyNumberFormat="1" applyFont="1" applyFill="1" applyBorder="1" applyAlignment="1"/>
    <xf numFmtId="166" fontId="2" fillId="0" borderId="0" xfId="2" applyNumberFormat="1" applyFont="1"/>
    <xf numFmtId="167" fontId="15" fillId="0" borderId="1" xfId="1" applyNumberFormat="1" applyFont="1" applyFill="1" applyBorder="1" applyAlignment="1">
      <alignment wrapText="1"/>
    </xf>
    <xf numFmtId="166" fontId="1" fillId="0" borderId="0" xfId="2" applyNumberFormat="1" applyFont="1"/>
    <xf numFmtId="168" fontId="15" fillId="0" borderId="5" xfId="0" applyNumberFormat="1" applyFont="1" applyBorder="1" applyAlignment="1">
      <alignment horizontal="right" wrapText="1"/>
    </xf>
    <xf numFmtId="167" fontId="20" fillId="0" borderId="3" xfId="1" applyNumberFormat="1" applyFont="1" applyFill="1" applyBorder="1" applyAlignment="1">
      <alignment horizontal="right" wrapText="1"/>
    </xf>
    <xf numFmtId="166" fontId="4" fillId="0" borderId="2" xfId="2" applyNumberFormat="1" applyFont="1" applyBorder="1"/>
    <xf numFmtId="167" fontId="21" fillId="0" borderId="2" xfId="1" applyNumberFormat="1" applyFont="1" applyFill="1" applyBorder="1" applyAlignment="1">
      <alignment horizontal="center"/>
    </xf>
    <xf numFmtId="167" fontId="11" fillId="0" borderId="2" xfId="1" applyNumberFormat="1" applyFont="1" applyBorder="1" applyAlignment="1">
      <alignment horizontal="center"/>
    </xf>
    <xf numFmtId="167" fontId="14" fillId="0" borderId="2" xfId="1" applyNumberFormat="1" applyFont="1" applyBorder="1"/>
    <xf numFmtId="166" fontId="1" fillId="0" borderId="2" xfId="2" applyNumberFormat="1" applyFont="1" applyBorder="1"/>
    <xf numFmtId="164" fontId="14" fillId="0" borderId="0" xfId="41" applyFont="1" applyFill="1" applyAlignment="1">
      <alignment horizontal="right"/>
    </xf>
    <xf numFmtId="171" fontId="17" fillId="0" borderId="0" xfId="41" applyNumberFormat="1" applyFont="1"/>
    <xf numFmtId="164" fontId="13" fillId="0" borderId="0" xfId="41" applyFont="1" applyFill="1" applyAlignment="1">
      <alignment horizontal="right"/>
    </xf>
    <xf numFmtId="164" fontId="14" fillId="0" borderId="0" xfId="41" applyFont="1" applyFill="1" applyAlignment="1"/>
    <xf numFmtId="164" fontId="8" fillId="0" borderId="0" xfId="41" applyFont="1" applyFill="1"/>
    <xf numFmtId="164" fontId="14" fillId="0" borderId="0" xfId="41" applyFont="1" applyFill="1"/>
    <xf numFmtId="164" fontId="14" fillId="0" borderId="0" xfId="41" applyFont="1" applyFill="1" applyAlignment="1">
      <alignment horizontal="center"/>
    </xf>
    <xf numFmtId="164" fontId="13" fillId="0" borderId="0" xfId="41" applyFont="1" applyFill="1"/>
    <xf numFmtId="164" fontId="15" fillId="0" borderId="1" xfId="41" applyFont="1" applyFill="1" applyBorder="1" applyAlignment="1">
      <alignment horizontal="right" wrapText="1"/>
    </xf>
    <xf numFmtId="164" fontId="9" fillId="0" borderId="0" xfId="41" applyFont="1" applyFill="1"/>
    <xf numFmtId="164" fontId="14" fillId="0" borderId="0" xfId="41" applyFont="1"/>
    <xf numFmtId="164" fontId="8" fillId="0" borderId="0" xfId="41" applyFont="1" applyFill="1" applyAlignment="1">
      <alignment horizontal="right"/>
    </xf>
    <xf numFmtId="164" fontId="13" fillId="0" borderId="0" xfId="41" applyFont="1" applyFill="1" applyAlignment="1"/>
    <xf numFmtId="164" fontId="1" fillId="0" borderId="0" xfId="41" applyFont="1" applyFill="1"/>
    <xf numFmtId="164" fontId="8" fillId="0" borderId="0" xfId="41" applyFont="1" applyFill="1" applyAlignment="1"/>
    <xf numFmtId="164" fontId="8" fillId="0" borderId="0" xfId="41" applyFont="1"/>
    <xf numFmtId="164" fontId="23" fillId="0" borderId="0" xfId="41" applyFont="1" applyFill="1"/>
    <xf numFmtId="164" fontId="14" fillId="0" borderId="0" xfId="41" applyFont="1" applyAlignment="1">
      <alignment horizontal="center"/>
    </xf>
    <xf numFmtId="164" fontId="3" fillId="0" borderId="0" xfId="41" applyFont="1" applyFill="1" applyBorder="1" applyAlignment="1"/>
    <xf numFmtId="164" fontId="16" fillId="0" borderId="1" xfId="41" applyFont="1" applyFill="1" applyBorder="1" applyAlignment="1">
      <alignment horizontal="right" wrapText="1"/>
    </xf>
    <xf numFmtId="164" fontId="5" fillId="0" borderId="0" xfId="41" applyFont="1" applyFill="1"/>
    <xf numFmtId="171" fontId="14" fillId="0" borderId="0" xfId="41" applyNumberFormat="1" applyFont="1" applyFill="1"/>
    <xf numFmtId="170" fontId="17" fillId="0" borderId="0" xfId="7" applyNumberFormat="1"/>
    <xf numFmtId="169" fontId="17" fillId="0" borderId="0" xfId="7" applyNumberFormat="1"/>
    <xf numFmtId="165" fontId="1" fillId="0" borderId="0" xfId="1" applyFont="1" applyFill="1"/>
    <xf numFmtId="165" fontId="24" fillId="0" borderId="0" xfId="1" applyFont="1" applyFill="1"/>
    <xf numFmtId="0" fontId="19" fillId="0" borderId="0" xfId="7" applyFont="1"/>
    <xf numFmtId="0" fontId="14" fillId="0" borderId="0" xfId="1" applyNumberFormat="1" applyFont="1" applyFill="1"/>
    <xf numFmtId="175" fontId="17" fillId="0" borderId="0" xfId="7" applyNumberFormat="1"/>
    <xf numFmtId="0" fontId="20" fillId="0" borderId="1" xfId="1" applyNumberFormat="1" applyFont="1" applyFill="1" applyBorder="1" applyAlignment="1">
      <alignment horizontal="right" wrapText="1"/>
    </xf>
    <xf numFmtId="164" fontId="22" fillId="0" borderId="2" xfId="41" applyFont="1" applyFill="1" applyBorder="1" applyAlignment="1">
      <alignment horizontal="center" wrapText="1"/>
    </xf>
    <xf numFmtId="164" fontId="20" fillId="0" borderId="1" xfId="41" applyFont="1" applyFill="1" applyBorder="1" applyAlignment="1">
      <alignment horizontal="center" wrapText="1"/>
    </xf>
    <xf numFmtId="164" fontId="20" fillId="0" borderId="4" xfId="41" applyFont="1" applyFill="1" applyBorder="1" applyAlignment="1">
      <alignment horizontal="center" wrapText="1"/>
    </xf>
    <xf numFmtId="164" fontId="15" fillId="0" borderId="4" xfId="41" applyFont="1" applyFill="1" applyBorder="1" applyAlignment="1">
      <alignment horizontal="center" wrapText="1"/>
    </xf>
    <xf numFmtId="164" fontId="15" fillId="0" borderId="0" xfId="41" applyFont="1" applyFill="1" applyBorder="1" applyAlignment="1">
      <alignment horizontal="center" wrapText="1"/>
    </xf>
    <xf numFmtId="164" fontId="20" fillId="0" borderId="0" xfId="41" applyFont="1" applyFill="1" applyBorder="1" applyAlignment="1">
      <alignment horizontal="center"/>
    </xf>
    <xf numFmtId="164" fontId="20" fillId="0" borderId="1" xfId="41" applyFont="1" applyFill="1" applyBorder="1" applyAlignment="1">
      <alignment wrapText="1"/>
    </xf>
    <xf numFmtId="164" fontId="16" fillId="0" borderId="1" xfId="41" applyFont="1" applyFill="1" applyBorder="1" applyAlignment="1">
      <alignment horizontal="center" wrapText="1"/>
    </xf>
    <xf numFmtId="164" fontId="16" fillId="0" borderId="4" xfId="41" applyFont="1" applyFill="1" applyBorder="1" applyAlignment="1">
      <alignment horizontal="center" wrapText="1"/>
    </xf>
    <xf numFmtId="164" fontId="16" fillId="0" borderId="0" xfId="41" applyFont="1" applyFill="1" applyBorder="1" applyAlignment="1">
      <alignment horizontal="center"/>
    </xf>
    <xf numFmtId="164" fontId="20" fillId="0" borderId="4" xfId="41" applyFont="1" applyFill="1" applyBorder="1" applyAlignment="1">
      <alignment wrapText="1"/>
    </xf>
    <xf numFmtId="164" fontId="7" fillId="0" borderId="0" xfId="41" applyFont="1" applyFill="1" applyBorder="1" applyAlignment="1">
      <alignment horizontal="center"/>
    </xf>
    <xf numFmtId="164" fontId="20" fillId="0" borderId="3" xfId="41" applyFont="1" applyFill="1" applyBorder="1" applyAlignment="1">
      <alignment wrapText="1"/>
    </xf>
    <xf numFmtId="164" fontId="16" fillId="0" borderId="3" xfId="41" applyFont="1" applyFill="1" applyBorder="1" applyAlignment="1">
      <alignment horizontal="center" wrapText="1"/>
    </xf>
    <xf numFmtId="164" fontId="16" fillId="0" borderId="0" xfId="41" applyFont="1" applyFill="1" applyBorder="1" applyAlignment="1"/>
    <xf numFmtId="164" fontId="16" fillId="0" borderId="3" xfId="41" applyFont="1" applyFill="1" applyBorder="1" applyAlignment="1">
      <alignment wrapText="1"/>
    </xf>
    <xf numFmtId="164" fontId="16" fillId="0" borderId="1" xfId="41" applyFont="1" applyFill="1" applyBorder="1" applyAlignment="1">
      <alignment wrapText="1"/>
    </xf>
    <xf numFmtId="164" fontId="16" fillId="0" borderId="4" xfId="41" applyFont="1" applyFill="1" applyBorder="1" applyAlignment="1">
      <alignment wrapText="1"/>
    </xf>
    <xf numFmtId="0" fontId="15" fillId="0" borderId="1" xfId="42" applyNumberFormat="1" applyFont="1" applyFill="1" applyBorder="1" applyAlignment="1">
      <alignment horizontal="right" wrapText="1"/>
    </xf>
    <xf numFmtId="0" fontId="14" fillId="0" borderId="0" xfId="42" applyNumberFormat="1" applyFont="1" applyFill="1"/>
    <xf numFmtId="164" fontId="17" fillId="0" borderId="0" xfId="41" applyFont="1"/>
    <xf numFmtId="0" fontId="15" fillId="4" borderId="1" xfId="10" applyFont="1" applyFill="1" applyBorder="1" applyAlignment="1">
      <alignment wrapText="1"/>
    </xf>
    <xf numFmtId="0" fontId="12" fillId="4" borderId="0" xfId="9" applyFill="1" applyAlignment="1">
      <alignment wrapText="1"/>
    </xf>
    <xf numFmtId="0" fontId="17" fillId="4" borderId="0" xfId="7" applyFill="1"/>
    <xf numFmtId="2" fontId="19" fillId="4" borderId="0" xfId="7" applyNumberFormat="1" applyFont="1" applyFill="1" applyAlignment="1">
      <alignment horizontal="center"/>
    </xf>
    <xf numFmtId="16" fontId="18" fillId="2" borderId="2" xfId="7" applyNumberFormat="1" applyFont="1" applyFill="1" applyBorder="1" applyAlignment="1">
      <alignment horizontal="center"/>
    </xf>
    <xf numFmtId="0" fontId="18" fillId="2" borderId="2" xfId="7" applyFont="1" applyFill="1" applyBorder="1" applyAlignment="1">
      <alignment horizontal="center"/>
    </xf>
  </cellXfs>
  <cellStyles count="45">
    <cellStyle name="Comma" xfId="1" builtinId="3"/>
    <cellStyle name="Comma [0]" xfId="41" builtinId="6"/>
    <cellStyle name="Comma [0] 2" xfId="3" xr:uid="{00000000-0005-0000-0000-000002000000}"/>
    <cellStyle name="Comma [0] 2 2" xfId="11" xr:uid="{00000000-0005-0000-0000-000003000000}"/>
    <cellStyle name="Comma [0] 3" xfId="12" xr:uid="{00000000-0005-0000-0000-000004000000}"/>
    <cellStyle name="Comma [0] 4" xfId="13" xr:uid="{00000000-0005-0000-0000-000005000000}"/>
    <cellStyle name="Comma [0] 5" xfId="14" xr:uid="{00000000-0005-0000-0000-000006000000}"/>
    <cellStyle name="Comma [0] 6" xfId="15" xr:uid="{00000000-0005-0000-0000-000007000000}"/>
    <cellStyle name="Comma 2" xfId="6" xr:uid="{00000000-0005-0000-0000-000008000000}"/>
    <cellStyle name="Comma 2 2" xfId="16" xr:uid="{00000000-0005-0000-0000-000009000000}"/>
    <cellStyle name="Comma 3" xfId="42" xr:uid="{00000000-0005-0000-0000-00000A000000}"/>
    <cellStyle name="Normal" xfId="0" builtinId="0"/>
    <cellStyle name="Normal 14" xfId="17" xr:uid="{00000000-0005-0000-0000-00000C000000}"/>
    <cellStyle name="Normal 2" xfId="2" xr:uid="{00000000-0005-0000-0000-00000D000000}"/>
    <cellStyle name="Normal 2 2" xfId="4" xr:uid="{00000000-0005-0000-0000-00000E000000}"/>
    <cellStyle name="Normal 2 2 2" xfId="18" xr:uid="{00000000-0005-0000-0000-00000F000000}"/>
    <cellStyle name="Normal 2 6" xfId="19" xr:uid="{00000000-0005-0000-0000-000010000000}"/>
    <cellStyle name="Normal 2 7" xfId="20" xr:uid="{00000000-0005-0000-0000-000011000000}"/>
    <cellStyle name="Normal 2 8" xfId="21" xr:uid="{00000000-0005-0000-0000-000012000000}"/>
    <cellStyle name="Normal 2 9" xfId="22" xr:uid="{00000000-0005-0000-0000-000013000000}"/>
    <cellStyle name="Normal 23" xfId="23" xr:uid="{00000000-0005-0000-0000-000014000000}"/>
    <cellStyle name="Normal 26" xfId="24" xr:uid="{00000000-0005-0000-0000-000015000000}"/>
    <cellStyle name="Normal 3" xfId="5" xr:uid="{00000000-0005-0000-0000-000016000000}"/>
    <cellStyle name="Normal 3 2" xfId="25" xr:uid="{00000000-0005-0000-0000-000017000000}"/>
    <cellStyle name="Normal 3 3" xfId="44" xr:uid="{00000000-0005-0000-0000-000018000000}"/>
    <cellStyle name="Normal 37" xfId="26" xr:uid="{00000000-0005-0000-0000-000019000000}"/>
    <cellStyle name="Normal 38" xfId="27" xr:uid="{00000000-0005-0000-0000-00001A000000}"/>
    <cellStyle name="Normal 4" xfId="28" xr:uid="{00000000-0005-0000-0000-00001B000000}"/>
    <cellStyle name="Normal 44" xfId="29" xr:uid="{00000000-0005-0000-0000-00001C000000}"/>
    <cellStyle name="Normal 45" xfId="30" xr:uid="{00000000-0005-0000-0000-00001D000000}"/>
    <cellStyle name="Normal 47" xfId="31" xr:uid="{00000000-0005-0000-0000-00001E000000}"/>
    <cellStyle name="Normal 48" xfId="32" xr:uid="{00000000-0005-0000-0000-00001F000000}"/>
    <cellStyle name="Normal 49" xfId="33" xr:uid="{00000000-0005-0000-0000-000020000000}"/>
    <cellStyle name="Normal 5" xfId="7" xr:uid="{00000000-0005-0000-0000-000021000000}"/>
    <cellStyle name="Normal 50" xfId="34" xr:uid="{00000000-0005-0000-0000-000022000000}"/>
    <cellStyle name="Normal 51" xfId="35" xr:uid="{00000000-0005-0000-0000-000023000000}"/>
    <cellStyle name="Normal 53" xfId="36" xr:uid="{00000000-0005-0000-0000-000024000000}"/>
    <cellStyle name="Normal 6" xfId="43" xr:uid="{00000000-0005-0000-0000-000025000000}"/>
    <cellStyle name="Normal 9" xfId="37" xr:uid="{00000000-0005-0000-0000-000026000000}"/>
    <cellStyle name="Normal_porsi 2" xfId="10" xr:uid="{00000000-0005-0000-0000-000027000000}"/>
    <cellStyle name="Normal_Sheet2" xfId="8" xr:uid="{00000000-0005-0000-0000-000028000000}"/>
    <cellStyle name="Normal_Sheet3" xfId="9" xr:uid="{00000000-0005-0000-0000-000029000000}"/>
    <cellStyle name="Percent 2" xfId="38" xr:uid="{00000000-0005-0000-0000-00002B000000}"/>
    <cellStyle name="Percent 2 2" xfId="39" xr:uid="{00000000-0005-0000-0000-00002C000000}"/>
    <cellStyle name="Percent 3" xfId="4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0"/>
  <sheetViews>
    <sheetView zoomScale="70" zoomScaleNormal="70" zoomScaleSheetLayoutView="105" workbookViewId="0">
      <pane ySplit="1" topLeftCell="A662" activePane="bottomLeft" state="frozen"/>
      <selection pane="bottomLeft" activeCell="F693" sqref="F693"/>
    </sheetView>
  </sheetViews>
  <sheetFormatPr defaultRowHeight="15" x14ac:dyDescent="0.25"/>
  <cols>
    <col min="1" max="2" width="12.28515625" style="4" customWidth="1"/>
    <col min="3" max="3" width="17.5703125" style="72" customWidth="1"/>
    <col min="4" max="4" width="14.7109375" style="41" customWidth="1"/>
    <col min="5" max="5" width="17" style="42" customWidth="1"/>
    <col min="6" max="6" width="13.28515625" style="43" customWidth="1"/>
    <col min="7" max="7" width="16" style="3" customWidth="1"/>
    <col min="8" max="8" width="15" style="3" customWidth="1"/>
    <col min="9" max="9" width="16.7109375" style="8" customWidth="1"/>
    <col min="10" max="10" width="14.42578125" style="65" bestFit="1" customWidth="1"/>
    <col min="11" max="11" width="16.5703125" style="65" customWidth="1"/>
    <col min="12" max="12" width="12.140625" style="65" customWidth="1"/>
    <col min="13" max="13" width="10.28515625" style="65" customWidth="1"/>
    <col min="14" max="14" width="11.28515625" style="65" bestFit="1" customWidth="1"/>
    <col min="15" max="15" width="10.7109375" style="65" bestFit="1" customWidth="1"/>
    <col min="16" max="16" width="10.5703125" style="65" bestFit="1" customWidth="1"/>
    <col min="17" max="17" width="9.140625" style="65"/>
    <col min="18" max="16384" width="9.140625" style="1"/>
  </cols>
  <sheetData>
    <row r="1" spans="1:14" ht="15" customHeight="1" x14ac:dyDescent="0.25">
      <c r="A1" s="54" t="s">
        <v>131</v>
      </c>
      <c r="B1" s="50" t="s">
        <v>132</v>
      </c>
      <c r="C1" s="85" t="s">
        <v>141</v>
      </c>
      <c r="D1" s="51" t="s">
        <v>142</v>
      </c>
      <c r="E1" s="52" t="s">
        <v>140</v>
      </c>
      <c r="F1" s="53"/>
      <c r="G1" s="53"/>
      <c r="H1" s="53"/>
      <c r="I1" s="48"/>
      <c r="J1" s="55"/>
      <c r="K1" s="60"/>
      <c r="L1" s="60"/>
      <c r="M1" s="62"/>
    </row>
    <row r="2" spans="1:14" ht="15" customHeight="1" x14ac:dyDescent="0.25">
      <c r="B2" s="1"/>
      <c r="C2" s="73"/>
      <c r="D2" s="44"/>
      <c r="E2" s="32"/>
      <c r="F2" s="34"/>
      <c r="G2" s="84"/>
      <c r="I2" s="29"/>
      <c r="J2" s="62"/>
      <c r="K2" s="58"/>
      <c r="L2" s="61"/>
      <c r="M2" s="61"/>
      <c r="N2" s="60"/>
    </row>
    <row r="3" spans="1:14" ht="15" customHeight="1" x14ac:dyDescent="0.25">
      <c r="A3" s="47">
        <v>45536</v>
      </c>
      <c r="B3" s="1" t="s">
        <v>140</v>
      </c>
      <c r="C3" s="65"/>
      <c r="D3" s="8"/>
      <c r="E3" s="8">
        <v>122000</v>
      </c>
      <c r="F3" s="49">
        <v>100000</v>
      </c>
      <c r="G3" s="103">
        <f>2-2</f>
        <v>0</v>
      </c>
      <c r="H3" s="3">
        <f>G3*F3</f>
        <v>0</v>
      </c>
      <c r="I3" s="29"/>
      <c r="J3" s="62"/>
      <c r="K3" s="67"/>
      <c r="L3" s="60"/>
      <c r="M3" s="60"/>
      <c r="N3" s="60"/>
    </row>
    <row r="4" spans="1:14" ht="15" customHeight="1" x14ac:dyDescent="0.25">
      <c r="A4" s="47">
        <v>45536</v>
      </c>
      <c r="B4" s="31" t="s">
        <v>138</v>
      </c>
      <c r="C4" s="73">
        <f>819000-14000</f>
        <v>805000</v>
      </c>
      <c r="D4" s="44"/>
      <c r="E4" s="32">
        <f>E3+C4-D4</f>
        <v>927000</v>
      </c>
      <c r="F4" s="3">
        <v>75000</v>
      </c>
      <c r="G4" s="103"/>
      <c r="H4" s="3">
        <f t="shared" ref="H4:H13" si="0">G4*F4</f>
        <v>0</v>
      </c>
      <c r="I4" s="29"/>
      <c r="J4" s="62"/>
      <c r="K4" s="67"/>
      <c r="L4" s="60"/>
      <c r="M4" s="60"/>
      <c r="N4" s="60"/>
    </row>
    <row r="5" spans="1:14" ht="15" customHeight="1" x14ac:dyDescent="0.25">
      <c r="A5" s="47">
        <v>45536</v>
      </c>
      <c r="B5" s="1" t="s">
        <v>155</v>
      </c>
      <c r="C5" s="73"/>
      <c r="D5" s="44"/>
      <c r="E5" s="32">
        <f t="shared" ref="E5:E23" si="1">E4+C5-D5</f>
        <v>927000</v>
      </c>
      <c r="F5" s="34">
        <v>50000</v>
      </c>
      <c r="G5" s="103">
        <f>9-6</f>
        <v>3</v>
      </c>
      <c r="H5" s="3">
        <f t="shared" si="0"/>
        <v>150000</v>
      </c>
      <c r="I5" s="29"/>
      <c r="J5" s="58"/>
      <c r="K5" s="58"/>
      <c r="L5" s="60"/>
      <c r="M5" s="60"/>
      <c r="N5" s="60"/>
    </row>
    <row r="6" spans="1:14" ht="15" customHeight="1" x14ac:dyDescent="0.25">
      <c r="A6" s="47">
        <v>45536</v>
      </c>
      <c r="B6" s="1" t="s">
        <v>156</v>
      </c>
      <c r="C6" s="73">
        <v>1771000</v>
      </c>
      <c r="D6" s="44"/>
      <c r="E6" s="32">
        <f t="shared" si="1"/>
        <v>2698000</v>
      </c>
      <c r="F6" s="34">
        <v>20000</v>
      </c>
      <c r="G6" s="103">
        <v>1</v>
      </c>
      <c r="H6" s="3">
        <f t="shared" si="0"/>
        <v>20000</v>
      </c>
      <c r="I6" s="29"/>
      <c r="J6" s="60"/>
      <c r="K6" s="62"/>
      <c r="L6" s="60"/>
      <c r="M6" s="60"/>
      <c r="N6" s="60"/>
    </row>
    <row r="7" spans="1:14" ht="15" customHeight="1" x14ac:dyDescent="0.25">
      <c r="A7" s="47">
        <v>45536</v>
      </c>
      <c r="B7" s="1" t="s">
        <v>133</v>
      </c>
      <c r="C7" s="73">
        <v>1216000</v>
      </c>
      <c r="D7" s="44"/>
      <c r="E7" s="32">
        <f t="shared" si="1"/>
        <v>3914000</v>
      </c>
      <c r="F7" s="34">
        <v>10000</v>
      </c>
      <c r="G7" s="103">
        <v>1</v>
      </c>
      <c r="H7" s="3">
        <f t="shared" si="0"/>
        <v>10000</v>
      </c>
      <c r="I7" s="29"/>
      <c r="J7" s="55"/>
      <c r="K7" s="62"/>
      <c r="L7" s="60"/>
      <c r="M7" s="60"/>
      <c r="N7" s="60"/>
    </row>
    <row r="8" spans="1:14" ht="15" customHeight="1" x14ac:dyDescent="0.25">
      <c r="A8" s="47">
        <v>45536</v>
      </c>
      <c r="B8" s="1" t="s">
        <v>150</v>
      </c>
      <c r="C8" s="73"/>
      <c r="D8" s="44"/>
      <c r="E8" s="32">
        <f t="shared" si="1"/>
        <v>3914000</v>
      </c>
      <c r="F8" s="34">
        <v>5000</v>
      </c>
      <c r="G8" s="103"/>
      <c r="H8" s="3">
        <f t="shared" si="0"/>
        <v>0</v>
      </c>
      <c r="I8" s="29"/>
      <c r="J8" s="55"/>
      <c r="K8" s="62"/>
      <c r="L8" s="60"/>
      <c r="M8" s="60"/>
      <c r="N8" s="60"/>
    </row>
    <row r="9" spans="1:14" ht="15" customHeight="1" x14ac:dyDescent="0.25">
      <c r="A9" s="47">
        <v>45536</v>
      </c>
      <c r="B9" s="1" t="s">
        <v>146</v>
      </c>
      <c r="C9" s="73">
        <v>5520500</v>
      </c>
      <c r="D9" s="44"/>
      <c r="E9" s="32">
        <f t="shared" si="1"/>
        <v>9434500</v>
      </c>
      <c r="F9" s="34">
        <v>2000</v>
      </c>
      <c r="G9" s="103"/>
      <c r="H9" s="3">
        <f t="shared" si="0"/>
        <v>0</v>
      </c>
      <c r="I9" s="29"/>
      <c r="J9" s="55"/>
      <c r="K9" s="62"/>
      <c r="L9" s="60"/>
      <c r="M9" s="60"/>
      <c r="N9" s="60"/>
    </row>
    <row r="10" spans="1:14" ht="15" customHeight="1" x14ac:dyDescent="0.25">
      <c r="A10" s="47">
        <v>45536</v>
      </c>
      <c r="B10" s="1" t="s">
        <v>157</v>
      </c>
      <c r="C10" s="86"/>
      <c r="D10" s="44"/>
      <c r="E10" s="32">
        <f t="shared" si="1"/>
        <v>9434500</v>
      </c>
      <c r="F10" s="34">
        <v>1000</v>
      </c>
      <c r="G10" s="103">
        <v>1</v>
      </c>
      <c r="H10" s="3">
        <f t="shared" si="0"/>
        <v>1000</v>
      </c>
      <c r="I10" s="29"/>
      <c r="J10" s="60"/>
      <c r="K10" s="60"/>
      <c r="L10" s="60"/>
      <c r="M10" s="60"/>
      <c r="N10" s="60"/>
    </row>
    <row r="11" spans="1:14" ht="15" customHeight="1" x14ac:dyDescent="0.25">
      <c r="A11" s="47">
        <v>45536</v>
      </c>
      <c r="B11" s="1" t="s">
        <v>159</v>
      </c>
      <c r="C11" s="86">
        <f>3523800+14000</f>
        <v>3537800</v>
      </c>
      <c r="D11" s="44">
        <f>3537800-C11</f>
        <v>0</v>
      </c>
      <c r="E11" s="32">
        <f t="shared" si="1"/>
        <v>12972300</v>
      </c>
      <c r="F11" s="34">
        <v>500</v>
      </c>
      <c r="G11" s="103">
        <v>1</v>
      </c>
      <c r="H11" s="3">
        <f t="shared" si="0"/>
        <v>500</v>
      </c>
      <c r="I11" s="29"/>
      <c r="J11" s="60"/>
      <c r="K11" s="60"/>
      <c r="L11" s="60"/>
      <c r="M11" s="60"/>
      <c r="N11" s="60"/>
    </row>
    <row r="12" spans="1:14" ht="15" customHeight="1" x14ac:dyDescent="0.25">
      <c r="A12" s="47">
        <v>45536</v>
      </c>
      <c r="B12" s="1" t="s">
        <v>145</v>
      </c>
      <c r="C12" s="86"/>
      <c r="D12" s="44"/>
      <c r="E12" s="32">
        <f t="shared" si="1"/>
        <v>12972300</v>
      </c>
      <c r="F12" s="34">
        <v>200</v>
      </c>
      <c r="G12" s="103"/>
      <c r="H12" s="3">
        <f t="shared" si="0"/>
        <v>0</v>
      </c>
      <c r="I12" s="29"/>
      <c r="J12" s="60"/>
      <c r="K12" s="60"/>
      <c r="L12" s="60"/>
      <c r="M12" s="60"/>
      <c r="N12" s="60"/>
    </row>
    <row r="13" spans="1:14" ht="15" customHeight="1" x14ac:dyDescent="0.25">
      <c r="A13" s="47">
        <v>45536</v>
      </c>
      <c r="B13" s="1" t="s">
        <v>143</v>
      </c>
      <c r="C13" s="86"/>
      <c r="D13" s="44">
        <f>SUM(C5:C13)</f>
        <v>12045300</v>
      </c>
      <c r="E13" s="32">
        <f t="shared" si="1"/>
        <v>927000</v>
      </c>
      <c r="F13" s="34">
        <v>100</v>
      </c>
      <c r="G13" s="104"/>
      <c r="H13" s="3">
        <f t="shared" si="0"/>
        <v>0</v>
      </c>
      <c r="I13" s="29"/>
      <c r="J13" s="55"/>
      <c r="K13" s="60"/>
      <c r="L13" s="60"/>
      <c r="M13" s="60"/>
      <c r="N13" s="60"/>
    </row>
    <row r="14" spans="1:14" ht="15" customHeight="1" x14ac:dyDescent="0.25">
      <c r="A14" s="47">
        <v>45536</v>
      </c>
      <c r="B14" s="1" t="s">
        <v>160</v>
      </c>
      <c r="C14" s="86"/>
      <c r="D14" s="46"/>
      <c r="E14" s="32">
        <f t="shared" si="1"/>
        <v>927000</v>
      </c>
      <c r="F14" s="1"/>
      <c r="G14" s="1"/>
      <c r="H14" s="1"/>
      <c r="I14" s="29"/>
      <c r="J14" s="55"/>
      <c r="K14" s="60"/>
      <c r="L14" s="60"/>
      <c r="M14" s="60"/>
      <c r="N14" s="60"/>
    </row>
    <row r="15" spans="1:14" ht="15" customHeight="1" x14ac:dyDescent="0.25">
      <c r="A15" s="47">
        <v>45536</v>
      </c>
      <c r="B15" s="1"/>
      <c r="C15" s="86"/>
      <c r="D15" s="44"/>
      <c r="E15" s="32">
        <f t="shared" si="1"/>
        <v>927000</v>
      </c>
      <c r="F15" s="3"/>
      <c r="G15" s="34"/>
      <c r="H15" s="34"/>
      <c r="I15" s="29"/>
      <c r="J15" s="64"/>
      <c r="K15" s="60"/>
      <c r="L15" s="60"/>
      <c r="M15" s="60"/>
      <c r="N15" s="60"/>
    </row>
    <row r="16" spans="1:14" ht="15" customHeight="1" x14ac:dyDescent="0.25">
      <c r="A16" s="47">
        <v>45536</v>
      </c>
      <c r="B16" s="31" t="s">
        <v>139</v>
      </c>
      <c r="C16" s="86"/>
      <c r="D16" s="44">
        <v>245500</v>
      </c>
      <c r="E16" s="32">
        <f t="shared" si="1"/>
        <v>681500</v>
      </c>
      <c r="F16" s="3"/>
      <c r="G16" s="34"/>
      <c r="H16" s="34"/>
      <c r="I16" s="29"/>
      <c r="J16" s="64"/>
      <c r="K16" s="60"/>
      <c r="L16" s="60"/>
      <c r="M16" s="60"/>
      <c r="N16" s="60"/>
    </row>
    <row r="17" spans="1:14" ht="15" customHeight="1" x14ac:dyDescent="0.25">
      <c r="A17" s="47">
        <v>45536</v>
      </c>
      <c r="B17" s="47"/>
      <c r="C17" s="87"/>
      <c r="D17" s="44"/>
      <c r="E17" s="32">
        <f t="shared" si="1"/>
        <v>681500</v>
      </c>
      <c r="F17" s="3"/>
      <c r="G17" s="34"/>
      <c r="H17" s="34"/>
      <c r="I17" s="29"/>
      <c r="J17" s="60"/>
      <c r="K17" s="60"/>
      <c r="L17" s="60"/>
      <c r="M17" s="60"/>
      <c r="N17" s="60"/>
    </row>
    <row r="18" spans="1:14" ht="15" customHeight="1" x14ac:dyDescent="0.25">
      <c r="A18" s="47">
        <v>45536</v>
      </c>
      <c r="B18" s="82"/>
      <c r="C18" s="87"/>
      <c r="D18" s="44"/>
      <c r="E18" s="32">
        <f t="shared" si="1"/>
        <v>681500</v>
      </c>
      <c r="F18" s="3"/>
      <c r="G18" s="34"/>
      <c r="H18" s="34"/>
      <c r="I18" s="29"/>
      <c r="J18" s="60"/>
      <c r="K18" s="60"/>
      <c r="L18" s="60"/>
      <c r="M18" s="60"/>
      <c r="N18" s="60"/>
    </row>
    <row r="19" spans="1:14" ht="15" customHeight="1" x14ac:dyDescent="0.25">
      <c r="A19" s="47">
        <v>45536</v>
      </c>
      <c r="B19" s="3"/>
      <c r="C19" s="87"/>
      <c r="D19" s="44"/>
      <c r="E19" s="32">
        <f t="shared" si="1"/>
        <v>681500</v>
      </c>
      <c r="F19" s="3"/>
      <c r="G19" s="34"/>
      <c r="H19" s="34"/>
      <c r="I19" s="29"/>
      <c r="J19" s="60"/>
      <c r="K19" s="60"/>
      <c r="L19" s="60"/>
      <c r="M19" s="60"/>
      <c r="N19" s="60"/>
    </row>
    <row r="20" spans="1:14" ht="15" customHeight="1" x14ac:dyDescent="0.25">
      <c r="A20" s="47">
        <v>45536</v>
      </c>
      <c r="B20" s="1"/>
      <c r="C20" s="88"/>
      <c r="D20" s="36"/>
      <c r="E20" s="32">
        <f t="shared" si="1"/>
        <v>681500</v>
      </c>
      <c r="F20" s="1"/>
      <c r="G20" s="34"/>
      <c r="I20" s="29"/>
      <c r="J20" s="60"/>
      <c r="K20" s="60"/>
      <c r="L20" s="60"/>
      <c r="M20" s="60"/>
      <c r="N20" s="60"/>
    </row>
    <row r="21" spans="1:14" ht="15" customHeight="1" x14ac:dyDescent="0.25">
      <c r="A21" s="47">
        <v>45536</v>
      </c>
      <c r="B21" s="1" t="s">
        <v>143</v>
      </c>
      <c r="C21" s="89"/>
      <c r="D21" s="44"/>
      <c r="E21" s="32">
        <f t="shared" si="1"/>
        <v>681500</v>
      </c>
      <c r="F21" s="1"/>
      <c r="G21" s="34"/>
      <c r="I21" s="29"/>
      <c r="J21" s="60"/>
      <c r="K21" s="60"/>
      <c r="L21" s="60"/>
      <c r="M21" s="60"/>
      <c r="N21" s="60"/>
    </row>
    <row r="22" spans="1:14" ht="15" customHeight="1" x14ac:dyDescent="0.25">
      <c r="A22" s="47">
        <v>45536</v>
      </c>
      <c r="B22" s="47"/>
      <c r="C22" s="90"/>
      <c r="D22" s="44"/>
      <c r="E22" s="32">
        <f t="shared" si="1"/>
        <v>681500</v>
      </c>
      <c r="G22" s="34"/>
      <c r="I22" s="29"/>
      <c r="J22" s="60"/>
      <c r="K22" s="60"/>
      <c r="L22" s="60"/>
      <c r="M22" s="60"/>
      <c r="N22" s="60"/>
    </row>
    <row r="23" spans="1:14" ht="15" customHeight="1" x14ac:dyDescent="0.25">
      <c r="A23" s="47">
        <v>45536</v>
      </c>
      <c r="B23" s="45" t="s">
        <v>136</v>
      </c>
      <c r="C23" s="86"/>
      <c r="D23" s="44">
        <v>500000</v>
      </c>
      <c r="E23" s="32">
        <f t="shared" si="1"/>
        <v>181500</v>
      </c>
      <c r="F23" s="3">
        <f>SUM(H3:H19)</f>
        <v>181500</v>
      </c>
      <c r="G23" s="49"/>
      <c r="I23" s="29"/>
      <c r="J23" s="60"/>
      <c r="K23" s="60"/>
      <c r="L23" s="60"/>
      <c r="M23" s="60"/>
      <c r="N23" s="60"/>
    </row>
    <row r="24" spans="1:14" ht="15" customHeight="1" x14ac:dyDescent="0.25">
      <c r="A24" s="47">
        <v>45536</v>
      </c>
      <c r="B24" s="4" t="s">
        <v>161</v>
      </c>
      <c r="C24" s="86">
        <f>SUM(C4:C23)</f>
        <v>12850300</v>
      </c>
      <c r="D24" s="33">
        <f>SUM(D5:D23)</f>
        <v>12790800</v>
      </c>
      <c r="E24" s="32"/>
      <c r="F24" s="25">
        <f>F23-E23</f>
        <v>0</v>
      </c>
      <c r="G24" s="34"/>
      <c r="I24" s="29"/>
      <c r="J24" s="60"/>
      <c r="K24" s="60"/>
      <c r="L24" s="60"/>
      <c r="M24" s="60"/>
      <c r="N24" s="60"/>
    </row>
    <row r="25" spans="1:14" ht="15" customHeight="1" x14ac:dyDescent="0.25">
      <c r="B25" s="30"/>
      <c r="C25" s="65"/>
      <c r="D25" s="8"/>
      <c r="E25" s="8"/>
      <c r="F25" s="34"/>
      <c r="G25" s="34"/>
      <c r="I25" s="29"/>
      <c r="J25" s="55"/>
      <c r="K25" s="60"/>
      <c r="L25" s="60"/>
      <c r="M25" s="60"/>
      <c r="N25" s="60"/>
    </row>
    <row r="26" spans="1:14" ht="15" customHeight="1" x14ac:dyDescent="0.25">
      <c r="A26" s="47">
        <v>45537</v>
      </c>
      <c r="B26" s="1" t="s">
        <v>140</v>
      </c>
      <c r="C26" s="65"/>
      <c r="D26" s="8"/>
      <c r="E26" s="8">
        <v>181500</v>
      </c>
      <c r="F26" s="49">
        <v>100000</v>
      </c>
      <c r="G26" s="103"/>
      <c r="H26" s="3">
        <f>G26*F26</f>
        <v>0</v>
      </c>
      <c r="I26" s="29"/>
      <c r="J26" s="55"/>
      <c r="K26" s="60"/>
      <c r="L26" s="60"/>
      <c r="M26" s="60"/>
      <c r="N26" s="60"/>
    </row>
    <row r="27" spans="1:14" ht="15" customHeight="1" x14ac:dyDescent="0.25">
      <c r="A27" s="47">
        <v>45537</v>
      </c>
      <c r="B27" s="31" t="s">
        <v>138</v>
      </c>
      <c r="C27" s="73">
        <v>186000</v>
      </c>
      <c r="D27" s="44"/>
      <c r="E27" s="32">
        <f>E26+C27-D27</f>
        <v>367500</v>
      </c>
      <c r="F27" s="3">
        <v>75000</v>
      </c>
      <c r="G27" s="103"/>
      <c r="H27" s="3">
        <f t="shared" ref="H27:H36" si="2">G27*F27</f>
        <v>0</v>
      </c>
      <c r="I27" s="29"/>
      <c r="J27" s="55"/>
      <c r="K27" s="60"/>
      <c r="L27" s="60"/>
      <c r="M27" s="60"/>
      <c r="N27" s="60"/>
    </row>
    <row r="28" spans="1:14" ht="15" customHeight="1" x14ac:dyDescent="0.25">
      <c r="A28" s="47">
        <v>45537</v>
      </c>
      <c r="B28" s="1" t="s">
        <v>155</v>
      </c>
      <c r="C28" s="73">
        <v>161000</v>
      </c>
      <c r="D28" s="44"/>
      <c r="E28" s="32">
        <f t="shared" ref="E28:E46" si="3">E27+C28-D28</f>
        <v>528500</v>
      </c>
      <c r="F28" s="34">
        <v>50000</v>
      </c>
      <c r="G28" s="103">
        <v>2</v>
      </c>
      <c r="H28" s="3">
        <f t="shared" si="2"/>
        <v>100000</v>
      </c>
      <c r="I28" s="29"/>
      <c r="J28" s="55"/>
      <c r="K28" s="60"/>
      <c r="L28" s="60"/>
      <c r="M28" s="60"/>
      <c r="N28" s="60"/>
    </row>
    <row r="29" spans="1:14" ht="15" customHeight="1" x14ac:dyDescent="0.25">
      <c r="A29" s="47">
        <v>45537</v>
      </c>
      <c r="B29" s="1" t="s">
        <v>156</v>
      </c>
      <c r="C29" s="73">
        <v>323000</v>
      </c>
      <c r="D29" s="44"/>
      <c r="E29" s="32">
        <f t="shared" si="3"/>
        <v>851500</v>
      </c>
      <c r="F29" s="34">
        <v>20000</v>
      </c>
      <c r="G29" s="103"/>
      <c r="H29" s="3">
        <f t="shared" si="2"/>
        <v>0</v>
      </c>
      <c r="I29" s="29"/>
      <c r="J29" s="55"/>
      <c r="K29" s="60"/>
      <c r="L29" s="60"/>
      <c r="M29" s="60"/>
      <c r="N29" s="60"/>
    </row>
    <row r="30" spans="1:14" ht="15" customHeight="1" x14ac:dyDescent="0.25">
      <c r="A30" s="47">
        <v>45537</v>
      </c>
      <c r="B30" s="1" t="s">
        <v>133</v>
      </c>
      <c r="C30" s="73">
        <v>2030500</v>
      </c>
      <c r="D30" s="44"/>
      <c r="E30" s="32">
        <f t="shared" si="3"/>
        <v>2882000</v>
      </c>
      <c r="F30" s="34">
        <v>10000</v>
      </c>
      <c r="G30" s="103">
        <v>1</v>
      </c>
      <c r="H30" s="3">
        <f t="shared" si="2"/>
        <v>10000</v>
      </c>
      <c r="I30" s="29"/>
      <c r="J30" s="55"/>
      <c r="K30" s="60"/>
      <c r="L30" s="60"/>
      <c r="M30" s="60"/>
      <c r="N30" s="60"/>
    </row>
    <row r="31" spans="1:14" ht="15" customHeight="1" x14ac:dyDescent="0.25">
      <c r="A31" s="47">
        <v>45537</v>
      </c>
      <c r="B31" s="1" t="s">
        <v>150</v>
      </c>
      <c r="C31" s="73"/>
      <c r="D31" s="44"/>
      <c r="E31" s="32">
        <f t="shared" si="3"/>
        <v>2882000</v>
      </c>
      <c r="F31" s="34">
        <v>5000</v>
      </c>
      <c r="G31" s="103">
        <v>1</v>
      </c>
      <c r="H31" s="3">
        <f t="shared" si="2"/>
        <v>5000</v>
      </c>
      <c r="I31" s="29"/>
      <c r="J31" s="55"/>
      <c r="K31" s="60"/>
      <c r="L31" s="60"/>
      <c r="M31" s="60"/>
      <c r="N31" s="60"/>
    </row>
    <row r="32" spans="1:14" ht="15" customHeight="1" x14ac:dyDescent="0.25">
      <c r="A32" s="47">
        <v>45537</v>
      </c>
      <c r="B32" s="1" t="s">
        <v>146</v>
      </c>
      <c r="C32" s="73">
        <v>4238000</v>
      </c>
      <c r="D32" s="44"/>
      <c r="E32" s="32">
        <f t="shared" si="3"/>
        <v>7120000</v>
      </c>
      <c r="F32" s="34">
        <v>2000</v>
      </c>
      <c r="G32" s="103">
        <v>1</v>
      </c>
      <c r="H32" s="3">
        <f t="shared" si="2"/>
        <v>2000</v>
      </c>
      <c r="I32" s="29"/>
      <c r="J32" s="55"/>
      <c r="K32" s="60"/>
      <c r="L32" s="60"/>
      <c r="M32" s="60"/>
      <c r="N32" s="60"/>
    </row>
    <row r="33" spans="1:15" ht="15" customHeight="1" x14ac:dyDescent="0.25">
      <c r="A33" s="47">
        <v>45537</v>
      </c>
      <c r="B33" s="1" t="s">
        <v>157</v>
      </c>
      <c r="C33" s="86"/>
      <c r="D33" s="44"/>
      <c r="E33" s="32">
        <f t="shared" si="3"/>
        <v>7120000</v>
      </c>
      <c r="F33" s="34">
        <v>1000</v>
      </c>
      <c r="G33" s="103">
        <v>1</v>
      </c>
      <c r="H33" s="3">
        <f t="shared" si="2"/>
        <v>1000</v>
      </c>
      <c r="I33" s="29"/>
      <c r="J33" s="55"/>
      <c r="K33" s="60"/>
      <c r="L33" s="60"/>
      <c r="M33" s="60"/>
      <c r="N33" s="60"/>
    </row>
    <row r="34" spans="1:15" ht="15" customHeight="1" x14ac:dyDescent="0.25">
      <c r="A34" s="47">
        <v>45537</v>
      </c>
      <c r="B34" s="1" t="s">
        <v>159</v>
      </c>
      <c r="C34" s="86">
        <v>2807000</v>
      </c>
      <c r="D34" s="44"/>
      <c r="E34" s="32">
        <f t="shared" si="3"/>
        <v>9927000</v>
      </c>
      <c r="F34" s="34">
        <v>500</v>
      </c>
      <c r="G34" s="103">
        <v>1</v>
      </c>
      <c r="H34" s="3">
        <f t="shared" si="2"/>
        <v>500</v>
      </c>
      <c r="I34" s="29"/>
      <c r="J34" s="55"/>
      <c r="K34" s="58"/>
      <c r="L34" s="58"/>
      <c r="M34" s="61"/>
      <c r="N34" s="60"/>
    </row>
    <row r="35" spans="1:15" ht="15" customHeight="1" x14ac:dyDescent="0.25">
      <c r="A35" s="47">
        <v>45537</v>
      </c>
      <c r="B35" s="1" t="s">
        <v>145</v>
      </c>
      <c r="C35" s="86">
        <v>148000</v>
      </c>
      <c r="D35" s="44"/>
      <c r="E35" s="32">
        <f t="shared" si="3"/>
        <v>10075000</v>
      </c>
      <c r="F35" s="34">
        <v>200</v>
      </c>
      <c r="G35" s="103"/>
      <c r="H35" s="3">
        <f t="shared" si="2"/>
        <v>0</v>
      </c>
      <c r="I35" s="29"/>
      <c r="J35" s="55"/>
      <c r="K35" s="60"/>
      <c r="L35" s="58"/>
      <c r="M35" s="62"/>
      <c r="N35" s="60"/>
    </row>
    <row r="36" spans="1:15" ht="15" customHeight="1" x14ac:dyDescent="0.25">
      <c r="A36" s="47">
        <v>45537</v>
      </c>
      <c r="B36" s="1" t="s">
        <v>143</v>
      </c>
      <c r="C36" s="86"/>
      <c r="D36" s="44">
        <f>SUM(C28:C36)</f>
        <v>9707500</v>
      </c>
      <c r="E36" s="32">
        <f t="shared" si="3"/>
        <v>367500</v>
      </c>
      <c r="F36" s="34">
        <v>100</v>
      </c>
      <c r="G36" s="104"/>
      <c r="H36" s="3">
        <f t="shared" si="2"/>
        <v>0</v>
      </c>
      <c r="I36" s="29"/>
      <c r="J36" s="55"/>
      <c r="K36" s="60"/>
      <c r="L36" s="58"/>
      <c r="M36" s="62"/>
      <c r="N36" s="60"/>
    </row>
    <row r="37" spans="1:15" ht="15" customHeight="1" x14ac:dyDescent="0.25">
      <c r="A37" s="47">
        <v>45537</v>
      </c>
      <c r="B37" s="1" t="s">
        <v>160</v>
      </c>
      <c r="C37" s="86">
        <v>-13000</v>
      </c>
      <c r="D37" s="46"/>
      <c r="E37" s="32">
        <f t="shared" si="3"/>
        <v>354500</v>
      </c>
      <c r="F37" s="1"/>
      <c r="G37" s="1"/>
      <c r="H37" s="1"/>
      <c r="I37" s="29"/>
      <c r="J37" s="55"/>
      <c r="K37" s="62"/>
      <c r="L37" s="58"/>
      <c r="M37" s="62"/>
      <c r="N37" s="60"/>
    </row>
    <row r="38" spans="1:15" ht="15" customHeight="1" x14ac:dyDescent="0.25">
      <c r="A38" s="47">
        <v>45537</v>
      </c>
      <c r="B38" s="1"/>
      <c r="C38" s="86"/>
      <c r="D38" s="44"/>
      <c r="E38" s="32">
        <f t="shared" si="3"/>
        <v>354500</v>
      </c>
      <c r="F38" s="3"/>
      <c r="G38" s="34"/>
      <c r="H38" s="34"/>
      <c r="I38" s="29"/>
      <c r="J38" s="55"/>
      <c r="K38" s="62"/>
      <c r="L38" s="58"/>
      <c r="M38" s="62"/>
      <c r="N38" s="60"/>
    </row>
    <row r="39" spans="1:15" ht="15" customHeight="1" x14ac:dyDescent="0.25">
      <c r="A39" s="47">
        <v>45537</v>
      </c>
      <c r="B39" s="31" t="s">
        <v>139</v>
      </c>
      <c r="C39" s="86">
        <v>100000</v>
      </c>
      <c r="D39" s="44">
        <f>349000-13000</f>
        <v>336000</v>
      </c>
      <c r="E39" s="32">
        <f t="shared" si="3"/>
        <v>118500</v>
      </c>
      <c r="F39" s="3"/>
      <c r="G39" s="34"/>
      <c r="H39" s="34"/>
      <c r="I39" s="29"/>
      <c r="J39" s="55"/>
      <c r="K39" s="62"/>
      <c r="L39" s="58"/>
      <c r="M39" s="62"/>
      <c r="N39" s="60"/>
    </row>
    <row r="40" spans="1:15" ht="15" customHeight="1" x14ac:dyDescent="0.25">
      <c r="A40" s="47">
        <v>45537</v>
      </c>
      <c r="B40" s="47"/>
      <c r="C40" s="87"/>
      <c r="D40" s="44"/>
      <c r="E40" s="32">
        <f t="shared" si="3"/>
        <v>118500</v>
      </c>
      <c r="F40" s="3"/>
      <c r="G40" s="34"/>
      <c r="H40" s="34"/>
      <c r="I40" s="29"/>
      <c r="J40" s="55"/>
      <c r="K40" s="62"/>
      <c r="L40" s="58"/>
      <c r="M40" s="62"/>
      <c r="N40" s="60"/>
    </row>
    <row r="41" spans="1:15" ht="15" customHeight="1" x14ac:dyDescent="0.25">
      <c r="A41" s="47">
        <v>45537</v>
      </c>
      <c r="B41" s="82"/>
      <c r="C41" s="87"/>
      <c r="D41" s="44"/>
      <c r="E41" s="32">
        <f t="shared" si="3"/>
        <v>118500</v>
      </c>
      <c r="F41" s="3"/>
      <c r="G41" s="34"/>
      <c r="H41" s="34"/>
      <c r="I41" s="29"/>
      <c r="J41" s="55"/>
      <c r="K41" s="62"/>
      <c r="L41" s="58"/>
      <c r="M41" s="62"/>
      <c r="N41" s="60"/>
    </row>
    <row r="42" spans="1:15" ht="15" customHeight="1" x14ac:dyDescent="0.25">
      <c r="A42" s="47">
        <v>45537</v>
      </c>
      <c r="B42" s="3"/>
      <c r="C42" s="87"/>
      <c r="D42" s="44"/>
      <c r="E42" s="32">
        <f t="shared" si="3"/>
        <v>118500</v>
      </c>
      <c r="F42" s="3"/>
      <c r="G42" s="34"/>
      <c r="H42" s="34"/>
      <c r="I42" s="29"/>
      <c r="J42" s="55"/>
      <c r="K42" s="58"/>
      <c r="L42" s="58"/>
      <c r="M42" s="58"/>
      <c r="N42" s="60"/>
    </row>
    <row r="43" spans="1:15" ht="15" customHeight="1" x14ac:dyDescent="0.25">
      <c r="A43" s="47">
        <v>45537</v>
      </c>
      <c r="B43" s="1"/>
      <c r="C43" s="88"/>
      <c r="D43" s="36"/>
      <c r="E43" s="32">
        <f t="shared" si="3"/>
        <v>118500</v>
      </c>
      <c r="F43" s="1"/>
      <c r="G43" s="34"/>
      <c r="I43" s="29"/>
      <c r="J43" s="55"/>
      <c r="K43" s="60"/>
      <c r="L43" s="60"/>
      <c r="M43" s="60"/>
      <c r="N43" s="60"/>
    </row>
    <row r="44" spans="1:15" ht="15" customHeight="1" x14ac:dyDescent="0.25">
      <c r="A44" s="47">
        <v>45537</v>
      </c>
      <c r="B44" s="1" t="s">
        <v>143</v>
      </c>
      <c r="C44" s="89"/>
      <c r="D44" s="44"/>
      <c r="E44" s="32">
        <f t="shared" si="3"/>
        <v>118500</v>
      </c>
      <c r="F44" s="1"/>
      <c r="G44" s="34"/>
      <c r="I44" s="29"/>
      <c r="J44" s="55"/>
      <c r="K44" s="60"/>
      <c r="L44" s="60"/>
      <c r="M44" s="60"/>
      <c r="N44" s="60"/>
    </row>
    <row r="45" spans="1:15" ht="15" customHeight="1" x14ac:dyDescent="0.25">
      <c r="A45" s="47">
        <v>45537</v>
      </c>
      <c r="B45" s="47"/>
      <c r="C45" s="90"/>
      <c r="D45" s="44"/>
      <c r="E45" s="32">
        <f t="shared" si="3"/>
        <v>118500</v>
      </c>
      <c r="G45" s="34"/>
      <c r="I45" s="29"/>
      <c r="J45" s="55"/>
      <c r="K45" s="60"/>
      <c r="L45" s="60"/>
      <c r="M45" s="60"/>
      <c r="N45" s="60"/>
      <c r="O45" s="60"/>
    </row>
    <row r="46" spans="1:15" ht="15" customHeight="1" x14ac:dyDescent="0.25">
      <c r="A46" s="47">
        <v>45537</v>
      </c>
      <c r="B46" s="45" t="s">
        <v>136</v>
      </c>
      <c r="C46" s="86"/>
      <c r="D46" s="44"/>
      <c r="E46" s="32">
        <f t="shared" si="3"/>
        <v>118500</v>
      </c>
      <c r="F46" s="3">
        <f>SUM(H26:H42)</f>
        <v>118500</v>
      </c>
      <c r="G46" s="49"/>
      <c r="I46" s="29"/>
      <c r="J46" s="55"/>
      <c r="K46" s="60"/>
      <c r="L46" s="60"/>
      <c r="M46" s="60"/>
      <c r="N46" s="60"/>
      <c r="O46" s="60"/>
    </row>
    <row r="47" spans="1:15" ht="15" customHeight="1" x14ac:dyDescent="0.25">
      <c r="A47" s="47">
        <v>45537</v>
      </c>
      <c r="B47" s="4" t="s">
        <v>161</v>
      </c>
      <c r="C47" s="86">
        <f>SUM(C27:C46)</f>
        <v>9980500</v>
      </c>
      <c r="D47" s="33">
        <f>SUM(D28:D46)</f>
        <v>10043500</v>
      </c>
      <c r="E47" s="32"/>
      <c r="F47" s="25">
        <f>F46-E46</f>
        <v>0</v>
      </c>
      <c r="G47" s="34"/>
      <c r="I47" s="29"/>
      <c r="J47" s="55"/>
      <c r="K47" s="60"/>
      <c r="L47" s="60"/>
      <c r="M47" s="60"/>
      <c r="N47" s="60"/>
      <c r="O47" s="60"/>
    </row>
    <row r="48" spans="1:15" ht="15" customHeight="1" x14ac:dyDescent="0.25">
      <c r="B48" s="30"/>
      <c r="C48" s="65"/>
      <c r="D48" s="8"/>
      <c r="E48" s="32"/>
      <c r="F48" s="34"/>
      <c r="G48" s="34"/>
      <c r="I48" s="29"/>
      <c r="J48" s="55"/>
      <c r="K48" s="60"/>
      <c r="L48" s="60"/>
      <c r="M48" s="60"/>
      <c r="N48" s="60"/>
      <c r="O48" s="60"/>
    </row>
    <row r="49" spans="1:17" ht="15" customHeight="1" x14ac:dyDescent="0.25">
      <c r="A49" s="47">
        <v>45538</v>
      </c>
      <c r="B49" s="1" t="s">
        <v>140</v>
      </c>
      <c r="C49" s="65"/>
      <c r="D49" s="8"/>
      <c r="E49" s="8">
        <v>118500</v>
      </c>
      <c r="F49" s="49">
        <v>100000</v>
      </c>
      <c r="G49" s="103">
        <f>9-9</f>
        <v>0</v>
      </c>
      <c r="H49" s="3">
        <f>G49*F49</f>
        <v>0</v>
      </c>
      <c r="I49" s="29"/>
      <c r="J49" s="55"/>
      <c r="K49" s="60"/>
      <c r="L49" s="60"/>
      <c r="M49" s="60"/>
      <c r="N49" s="60"/>
      <c r="O49" s="60"/>
    </row>
    <row r="50" spans="1:17" ht="15" customHeight="1" x14ac:dyDescent="0.25">
      <c r="A50" s="47">
        <v>45538</v>
      </c>
      <c r="B50" s="31" t="s">
        <v>138</v>
      </c>
      <c r="C50" s="73">
        <v>1304000</v>
      </c>
      <c r="D50" s="44"/>
      <c r="E50" s="32">
        <f>E49+C50-D50</f>
        <v>1422500</v>
      </c>
      <c r="F50" s="3">
        <v>75000</v>
      </c>
      <c r="G50" s="103"/>
      <c r="H50" s="3">
        <f t="shared" ref="H50:H59" si="4">G50*F50</f>
        <v>0</v>
      </c>
      <c r="I50" s="29"/>
      <c r="J50" s="55"/>
      <c r="K50" s="60"/>
      <c r="L50" s="60"/>
      <c r="M50" s="60"/>
      <c r="N50" s="60"/>
      <c r="O50" s="60"/>
    </row>
    <row r="51" spans="1:17" ht="15" customHeight="1" x14ac:dyDescent="0.25">
      <c r="A51" s="47">
        <v>45538</v>
      </c>
      <c r="B51" s="1" t="s">
        <v>155</v>
      </c>
      <c r="C51" s="73">
        <v>1010400</v>
      </c>
      <c r="D51" s="44"/>
      <c r="E51" s="32">
        <f t="shared" ref="E51:E69" si="5">E50+C51-D51</f>
        <v>2432900</v>
      </c>
      <c r="F51" s="34">
        <v>50000</v>
      </c>
      <c r="G51" s="103">
        <f>4-2</f>
        <v>2</v>
      </c>
      <c r="H51" s="3">
        <f t="shared" si="4"/>
        <v>100000</v>
      </c>
      <c r="I51" s="29"/>
      <c r="J51" s="55"/>
      <c r="K51" s="60"/>
      <c r="L51" s="60"/>
      <c r="M51" s="60"/>
      <c r="N51" s="60"/>
      <c r="O51" s="60"/>
    </row>
    <row r="52" spans="1:17" ht="15" customHeight="1" x14ac:dyDescent="0.25">
      <c r="A52" s="47">
        <v>45538</v>
      </c>
      <c r="B52" s="1" t="s">
        <v>156</v>
      </c>
      <c r="C52" s="73"/>
      <c r="D52" s="44"/>
      <c r="E52" s="32">
        <f t="shared" si="5"/>
        <v>2432900</v>
      </c>
      <c r="F52" s="34">
        <v>20000</v>
      </c>
      <c r="G52" s="103">
        <v>1</v>
      </c>
      <c r="H52" s="3">
        <f t="shared" si="4"/>
        <v>20000</v>
      </c>
      <c r="I52" s="29"/>
      <c r="J52" s="55"/>
      <c r="K52" s="60"/>
      <c r="L52" s="60"/>
      <c r="M52" s="60"/>
      <c r="N52" s="60"/>
      <c r="O52" s="60"/>
    </row>
    <row r="53" spans="1:17" ht="15" customHeight="1" x14ac:dyDescent="0.25">
      <c r="A53" s="47">
        <v>45538</v>
      </c>
      <c r="B53" s="1" t="s">
        <v>133</v>
      </c>
      <c r="C53" s="73">
        <v>685000</v>
      </c>
      <c r="D53" s="44"/>
      <c r="E53" s="32">
        <f t="shared" si="5"/>
        <v>3117900</v>
      </c>
      <c r="F53" s="34">
        <v>10000</v>
      </c>
      <c r="G53" s="103">
        <v>4</v>
      </c>
      <c r="H53" s="3">
        <f t="shared" si="4"/>
        <v>40000</v>
      </c>
      <c r="I53" s="29"/>
      <c r="J53" s="55"/>
      <c r="K53" s="60"/>
      <c r="L53" s="60"/>
      <c r="M53" s="60"/>
      <c r="N53" s="60"/>
      <c r="O53" s="60"/>
    </row>
    <row r="54" spans="1:17" ht="15" customHeight="1" x14ac:dyDescent="0.25">
      <c r="A54" s="47">
        <v>45538</v>
      </c>
      <c r="B54" s="1" t="s">
        <v>150</v>
      </c>
      <c r="C54" s="73"/>
      <c r="D54" s="44"/>
      <c r="E54" s="32">
        <f t="shared" si="5"/>
        <v>3117900</v>
      </c>
      <c r="F54" s="34">
        <v>5000</v>
      </c>
      <c r="G54" s="103"/>
      <c r="H54" s="3">
        <f t="shared" si="4"/>
        <v>0</v>
      </c>
      <c r="I54" s="29"/>
      <c r="J54" s="55"/>
      <c r="K54" s="60"/>
      <c r="L54" s="60"/>
      <c r="M54" s="60"/>
      <c r="N54" s="60"/>
      <c r="O54" s="60"/>
    </row>
    <row r="55" spans="1:17" ht="15" customHeight="1" x14ac:dyDescent="0.25">
      <c r="A55" s="47">
        <v>45538</v>
      </c>
      <c r="B55" s="1" t="s">
        <v>146</v>
      </c>
      <c r="C55" s="73">
        <f>348000+4611000</f>
        <v>4959000</v>
      </c>
      <c r="D55" s="44"/>
      <c r="E55" s="32">
        <f t="shared" si="5"/>
        <v>8076900</v>
      </c>
      <c r="F55" s="34">
        <v>2000</v>
      </c>
      <c r="G55" s="103">
        <v>1</v>
      </c>
      <c r="H55" s="3">
        <f t="shared" si="4"/>
        <v>2000</v>
      </c>
      <c r="I55" s="29"/>
      <c r="J55" s="55"/>
      <c r="K55" s="60"/>
      <c r="L55" s="60"/>
      <c r="M55" s="60"/>
      <c r="N55" s="60"/>
      <c r="O55" s="60"/>
    </row>
    <row r="56" spans="1:17" s="3" customFormat="1" ht="15" customHeight="1" x14ac:dyDescent="0.25">
      <c r="A56" s="47">
        <v>45538</v>
      </c>
      <c r="B56" s="1" t="s">
        <v>157</v>
      </c>
      <c r="C56" s="86"/>
      <c r="D56" s="44"/>
      <c r="E56" s="32">
        <f t="shared" si="5"/>
        <v>8076900</v>
      </c>
      <c r="F56" s="34">
        <v>1000</v>
      </c>
      <c r="G56" s="103">
        <v>1</v>
      </c>
      <c r="H56" s="3">
        <f t="shared" si="4"/>
        <v>1000</v>
      </c>
      <c r="I56" s="29"/>
      <c r="J56" s="55"/>
      <c r="K56" s="60"/>
      <c r="L56" s="60"/>
      <c r="M56" s="60"/>
      <c r="N56" s="60"/>
      <c r="O56" s="60"/>
      <c r="P56" s="60"/>
      <c r="Q56" s="60"/>
    </row>
    <row r="57" spans="1:17" s="3" customFormat="1" ht="15" customHeight="1" x14ac:dyDescent="0.25">
      <c r="A57" s="47">
        <v>45538</v>
      </c>
      <c r="B57" s="1" t="s">
        <v>159</v>
      </c>
      <c r="C57" s="86">
        <v>648000</v>
      </c>
      <c r="D57" s="44"/>
      <c r="E57" s="32">
        <f t="shared" si="5"/>
        <v>8724900</v>
      </c>
      <c r="F57" s="34">
        <v>500</v>
      </c>
      <c r="G57" s="103">
        <v>1</v>
      </c>
      <c r="H57" s="3">
        <f t="shared" si="4"/>
        <v>500</v>
      </c>
      <c r="I57" s="29"/>
      <c r="J57" s="55"/>
      <c r="K57" s="60"/>
      <c r="L57" s="60"/>
      <c r="M57" s="60"/>
      <c r="N57" s="60"/>
      <c r="O57" s="60"/>
      <c r="P57" s="60"/>
      <c r="Q57" s="60"/>
    </row>
    <row r="58" spans="1:17" s="3" customFormat="1" ht="15" customHeight="1" x14ac:dyDescent="0.25">
      <c r="A58" s="47">
        <v>45538</v>
      </c>
      <c r="B58" s="1" t="s">
        <v>145</v>
      </c>
      <c r="C58" s="86"/>
      <c r="D58" s="44"/>
      <c r="E58" s="32">
        <f t="shared" si="5"/>
        <v>8724900</v>
      </c>
      <c r="F58" s="34">
        <v>200</v>
      </c>
      <c r="G58" s="103">
        <v>2</v>
      </c>
      <c r="H58" s="3">
        <f t="shared" si="4"/>
        <v>400</v>
      </c>
      <c r="I58" s="29"/>
      <c r="J58" s="55"/>
      <c r="K58" s="60"/>
      <c r="L58" s="60"/>
      <c r="M58" s="60"/>
      <c r="N58" s="60"/>
      <c r="O58" s="60"/>
      <c r="P58" s="60"/>
      <c r="Q58" s="60"/>
    </row>
    <row r="59" spans="1:17" s="3" customFormat="1" ht="15" customHeight="1" x14ac:dyDescent="0.25">
      <c r="A59" s="47">
        <v>45538</v>
      </c>
      <c r="B59" s="1" t="s">
        <v>143</v>
      </c>
      <c r="C59" s="86"/>
      <c r="D59" s="44">
        <f>SUM(C51:C59)</f>
        <v>7302400</v>
      </c>
      <c r="E59" s="32">
        <f t="shared" si="5"/>
        <v>1422500</v>
      </c>
      <c r="F59" s="34">
        <v>100</v>
      </c>
      <c r="G59" s="104"/>
      <c r="H59" s="3">
        <f t="shared" si="4"/>
        <v>0</v>
      </c>
      <c r="I59" s="29"/>
      <c r="J59" s="55"/>
      <c r="K59" s="60"/>
      <c r="L59" s="60"/>
      <c r="M59" s="60"/>
      <c r="N59" s="60"/>
      <c r="O59" s="60"/>
      <c r="P59" s="60"/>
      <c r="Q59" s="60"/>
    </row>
    <row r="60" spans="1:17" s="3" customFormat="1" ht="15" customHeight="1" x14ac:dyDescent="0.25">
      <c r="A60" s="47">
        <v>45538</v>
      </c>
      <c r="B60" s="1" t="s">
        <v>160</v>
      </c>
      <c r="C60" s="86"/>
      <c r="D60" s="46"/>
      <c r="E60" s="32">
        <f t="shared" si="5"/>
        <v>1422500</v>
      </c>
      <c r="F60" s="1"/>
      <c r="G60" s="1"/>
      <c r="H60" s="1"/>
      <c r="I60" s="29"/>
      <c r="J60" s="55"/>
      <c r="K60" s="58"/>
      <c r="L60" s="58"/>
      <c r="M60" s="61"/>
      <c r="N60" s="60"/>
      <c r="O60" s="60"/>
      <c r="P60" s="60"/>
      <c r="Q60" s="60"/>
    </row>
    <row r="61" spans="1:17" s="3" customFormat="1" ht="15" customHeight="1" x14ac:dyDescent="0.25">
      <c r="A61" s="47">
        <v>45538</v>
      </c>
      <c r="B61" s="1"/>
      <c r="C61" s="86"/>
      <c r="D61" s="44"/>
      <c r="E61" s="32">
        <f t="shared" si="5"/>
        <v>1422500</v>
      </c>
      <c r="G61" s="34"/>
      <c r="H61" s="34"/>
      <c r="I61" s="29"/>
      <c r="J61" s="55"/>
      <c r="K61" s="60"/>
      <c r="L61" s="58"/>
      <c r="M61" s="62"/>
      <c r="N61" s="60"/>
      <c r="O61" s="60"/>
      <c r="P61" s="60"/>
      <c r="Q61" s="60"/>
    </row>
    <row r="62" spans="1:17" s="3" customFormat="1" ht="15" customHeight="1" x14ac:dyDescent="0.25">
      <c r="A62" s="47">
        <v>45538</v>
      </c>
      <c r="B62" s="31" t="s">
        <v>139</v>
      </c>
      <c r="C62" s="86"/>
      <c r="D62" s="44">
        <v>258600</v>
      </c>
      <c r="E62" s="32">
        <f t="shared" si="5"/>
        <v>1163900</v>
      </c>
      <c r="G62" s="34"/>
      <c r="H62" s="34"/>
      <c r="I62" s="29"/>
      <c r="J62" s="55"/>
      <c r="K62" s="60"/>
      <c r="L62" s="58"/>
      <c r="M62" s="62"/>
      <c r="N62" s="60"/>
      <c r="O62" s="60"/>
      <c r="P62" s="60"/>
      <c r="Q62" s="60"/>
    </row>
    <row r="63" spans="1:17" s="3" customFormat="1" ht="15" customHeight="1" x14ac:dyDescent="0.25">
      <c r="A63" s="47">
        <v>45538</v>
      </c>
      <c r="B63" s="47"/>
      <c r="C63" s="87"/>
      <c r="D63" s="44"/>
      <c r="E63" s="32">
        <f t="shared" si="5"/>
        <v>1163900</v>
      </c>
      <c r="G63" s="34"/>
      <c r="H63" s="34"/>
      <c r="I63" s="29"/>
      <c r="J63" s="55"/>
      <c r="K63" s="62"/>
      <c r="L63" s="58"/>
      <c r="M63" s="62"/>
      <c r="N63" s="60"/>
      <c r="O63" s="60"/>
      <c r="P63" s="60"/>
      <c r="Q63" s="60"/>
    </row>
    <row r="64" spans="1:17" s="3" customFormat="1" ht="15" customHeight="1" x14ac:dyDescent="0.25">
      <c r="A64" s="47">
        <v>45538</v>
      </c>
      <c r="B64" s="82"/>
      <c r="C64" s="87"/>
      <c r="D64" s="44"/>
      <c r="E64" s="32">
        <f t="shared" si="5"/>
        <v>1163900</v>
      </c>
      <c r="G64" s="34"/>
      <c r="H64" s="34"/>
      <c r="I64" s="29"/>
      <c r="J64" s="55"/>
      <c r="K64" s="62"/>
      <c r="L64" s="58"/>
      <c r="M64" s="62"/>
      <c r="N64" s="60"/>
      <c r="O64" s="60"/>
      <c r="P64" s="60"/>
      <c r="Q64" s="60"/>
    </row>
    <row r="65" spans="1:17" s="3" customFormat="1" ht="15" customHeight="1" x14ac:dyDescent="0.25">
      <c r="A65" s="47">
        <v>45538</v>
      </c>
      <c r="C65" s="87"/>
      <c r="D65" s="44"/>
      <c r="E65" s="32">
        <f t="shared" si="5"/>
        <v>1163900</v>
      </c>
      <c r="G65" s="34"/>
      <c r="H65" s="34"/>
      <c r="I65" s="29"/>
      <c r="J65" s="55"/>
      <c r="K65" s="62"/>
      <c r="L65" s="58"/>
      <c r="M65" s="62"/>
      <c r="N65" s="60"/>
      <c r="O65" s="60"/>
      <c r="P65" s="60"/>
      <c r="Q65" s="60"/>
    </row>
    <row r="66" spans="1:17" s="3" customFormat="1" ht="15" customHeight="1" x14ac:dyDescent="0.25">
      <c r="A66" s="47">
        <v>45538</v>
      </c>
      <c r="B66" s="1"/>
      <c r="C66" s="88"/>
      <c r="D66" s="36"/>
      <c r="E66" s="32">
        <f t="shared" si="5"/>
        <v>1163900</v>
      </c>
      <c r="F66" s="1"/>
      <c r="G66" s="34"/>
      <c r="I66" s="29"/>
      <c r="J66" s="55"/>
      <c r="K66" s="62"/>
      <c r="L66" s="58"/>
      <c r="M66" s="62"/>
      <c r="N66" s="60"/>
      <c r="O66" s="60"/>
      <c r="P66" s="60"/>
      <c r="Q66" s="60"/>
    </row>
    <row r="67" spans="1:17" s="3" customFormat="1" ht="15" customHeight="1" x14ac:dyDescent="0.25">
      <c r="A67" s="47">
        <v>45538</v>
      </c>
      <c r="B67" s="1" t="s">
        <v>143</v>
      </c>
      <c r="C67" s="89"/>
      <c r="D67" s="44"/>
      <c r="E67" s="32">
        <f t="shared" si="5"/>
        <v>1163900</v>
      </c>
      <c r="F67" s="1"/>
      <c r="G67" s="34"/>
      <c r="I67" s="29"/>
      <c r="J67" s="55"/>
      <c r="K67" s="62"/>
      <c r="L67" s="58"/>
      <c r="M67" s="62"/>
      <c r="N67" s="60"/>
      <c r="O67" s="60"/>
      <c r="P67" s="60"/>
      <c r="Q67" s="60"/>
    </row>
    <row r="68" spans="1:17" s="3" customFormat="1" ht="15" customHeight="1" x14ac:dyDescent="0.25">
      <c r="A68" s="47">
        <v>45538</v>
      </c>
      <c r="B68" s="47"/>
      <c r="C68" s="90"/>
      <c r="D68" s="44"/>
      <c r="E68" s="32">
        <f t="shared" si="5"/>
        <v>1163900</v>
      </c>
      <c r="F68" s="43"/>
      <c r="G68" s="34"/>
      <c r="I68" s="29"/>
      <c r="J68" s="55"/>
      <c r="K68" s="58"/>
      <c r="L68" s="58"/>
      <c r="M68" s="58"/>
      <c r="N68" s="60"/>
      <c r="O68" s="65"/>
      <c r="P68" s="60"/>
      <c r="Q68" s="60"/>
    </row>
    <row r="69" spans="1:17" s="3" customFormat="1" ht="15" customHeight="1" x14ac:dyDescent="0.25">
      <c r="A69" s="47">
        <v>45538</v>
      </c>
      <c r="B69" s="45" t="s">
        <v>136</v>
      </c>
      <c r="C69" s="86"/>
      <c r="D69" s="44">
        <v>1000000</v>
      </c>
      <c r="E69" s="32">
        <f t="shared" si="5"/>
        <v>163900</v>
      </c>
      <c r="F69" s="3">
        <f>SUM(H49:H65)</f>
        <v>163900</v>
      </c>
      <c r="G69" s="49"/>
      <c r="I69" s="29"/>
      <c r="J69" s="55"/>
      <c r="K69" s="60"/>
      <c r="L69" s="60"/>
      <c r="M69" s="60"/>
      <c r="N69" s="60"/>
      <c r="O69" s="60"/>
      <c r="P69" s="60"/>
      <c r="Q69" s="60"/>
    </row>
    <row r="70" spans="1:17" s="3" customFormat="1" ht="15" customHeight="1" x14ac:dyDescent="0.25">
      <c r="A70" s="47">
        <v>45538</v>
      </c>
      <c r="B70" s="4" t="s">
        <v>161</v>
      </c>
      <c r="C70" s="86">
        <f>SUM(C50:C69)</f>
        <v>8606400</v>
      </c>
      <c r="D70" s="33">
        <f>SUM(D51:D69)</f>
        <v>8561000</v>
      </c>
      <c r="E70" s="32"/>
      <c r="F70" s="25">
        <f>F69-E69</f>
        <v>0</v>
      </c>
      <c r="G70" s="34"/>
      <c r="I70" s="29"/>
      <c r="J70" s="55"/>
      <c r="K70" s="60"/>
      <c r="L70" s="60"/>
      <c r="M70" s="60"/>
      <c r="N70" s="60"/>
      <c r="O70" s="60"/>
      <c r="P70" s="60"/>
      <c r="Q70" s="60"/>
    </row>
    <row r="71" spans="1:17" s="3" customFormat="1" ht="15" customHeight="1" x14ac:dyDescent="0.25">
      <c r="B71" s="30"/>
      <c r="C71" s="65"/>
      <c r="D71" s="8"/>
      <c r="E71" s="8"/>
      <c r="F71" s="34"/>
      <c r="G71" s="34"/>
      <c r="I71" s="29"/>
      <c r="J71" s="55"/>
      <c r="K71" s="60"/>
      <c r="L71" s="60"/>
      <c r="M71" s="60"/>
      <c r="N71" s="60"/>
      <c r="O71" s="60"/>
      <c r="P71" s="60"/>
      <c r="Q71" s="60"/>
    </row>
    <row r="72" spans="1:17" s="3" customFormat="1" ht="15" customHeight="1" x14ac:dyDescent="0.25">
      <c r="A72" s="47">
        <v>45539</v>
      </c>
      <c r="B72" s="1" t="s">
        <v>140</v>
      </c>
      <c r="C72" s="65"/>
      <c r="D72" s="8"/>
      <c r="E72" s="8">
        <v>163900</v>
      </c>
      <c r="F72" s="49">
        <v>100000</v>
      </c>
      <c r="G72" s="103"/>
      <c r="H72" s="3">
        <f>G72*F72</f>
        <v>0</v>
      </c>
      <c r="I72" s="29"/>
      <c r="J72" s="55"/>
      <c r="K72" s="60"/>
      <c r="L72" s="60"/>
      <c r="M72" s="60"/>
      <c r="N72" s="60"/>
      <c r="O72" s="60"/>
      <c r="P72" s="60"/>
      <c r="Q72" s="60"/>
    </row>
    <row r="73" spans="1:17" s="3" customFormat="1" ht="15" customHeight="1" x14ac:dyDescent="0.25">
      <c r="A73" s="47">
        <v>45539</v>
      </c>
      <c r="B73" s="31" t="s">
        <v>138</v>
      </c>
      <c r="C73" s="73">
        <v>85000</v>
      </c>
      <c r="D73" s="44"/>
      <c r="E73" s="32">
        <f>E72+C73-D73</f>
        <v>248900</v>
      </c>
      <c r="F73" s="3">
        <v>75000</v>
      </c>
      <c r="G73" s="103"/>
      <c r="H73" s="3">
        <f t="shared" ref="H73:H82" si="6">G73*F73</f>
        <v>0</v>
      </c>
      <c r="I73" s="29"/>
      <c r="J73" s="55"/>
      <c r="K73" s="60"/>
      <c r="L73" s="60"/>
      <c r="M73" s="60"/>
      <c r="N73" s="60"/>
      <c r="O73" s="60"/>
      <c r="P73" s="60"/>
      <c r="Q73" s="60"/>
    </row>
    <row r="74" spans="1:17" s="3" customFormat="1" ht="15" customHeight="1" x14ac:dyDescent="0.25">
      <c r="A74" s="47">
        <v>45539</v>
      </c>
      <c r="B74" s="1" t="s">
        <v>155</v>
      </c>
      <c r="C74" s="73">
        <v>139000</v>
      </c>
      <c r="D74" s="44"/>
      <c r="E74" s="32">
        <f t="shared" ref="E74:E92" si="7">E73+C74-D74</f>
        <v>387900</v>
      </c>
      <c r="F74" s="34">
        <v>50000</v>
      </c>
      <c r="G74" s="103">
        <f>1-1</f>
        <v>0</v>
      </c>
      <c r="H74" s="3">
        <f t="shared" si="6"/>
        <v>0</v>
      </c>
      <c r="I74" s="29"/>
      <c r="J74" s="55"/>
      <c r="K74" s="60"/>
      <c r="L74" s="60"/>
      <c r="M74" s="60"/>
      <c r="N74" s="60"/>
      <c r="O74" s="60"/>
      <c r="P74" s="60"/>
      <c r="Q74" s="60"/>
    </row>
    <row r="75" spans="1:17" s="3" customFormat="1" ht="15" customHeight="1" x14ac:dyDescent="0.25">
      <c r="A75" s="47">
        <v>45539</v>
      </c>
      <c r="B75" s="1" t="s">
        <v>156</v>
      </c>
      <c r="C75" s="73">
        <v>783000</v>
      </c>
      <c r="D75" s="44"/>
      <c r="E75" s="32">
        <f t="shared" si="7"/>
        <v>1170900</v>
      </c>
      <c r="F75" s="34">
        <v>20000</v>
      </c>
      <c r="G75" s="103">
        <v>1</v>
      </c>
      <c r="H75" s="3">
        <f t="shared" si="6"/>
        <v>20000</v>
      </c>
      <c r="I75" s="29"/>
      <c r="J75" s="55"/>
      <c r="K75" s="60"/>
      <c r="L75" s="60"/>
      <c r="M75" s="60"/>
      <c r="N75" s="60"/>
      <c r="O75" s="60"/>
      <c r="P75" s="60"/>
      <c r="Q75" s="60"/>
    </row>
    <row r="76" spans="1:17" s="3" customFormat="1" ht="15" customHeight="1" x14ac:dyDescent="0.25">
      <c r="A76" s="47">
        <v>45539</v>
      </c>
      <c r="B76" s="1" t="s">
        <v>133</v>
      </c>
      <c r="C76" s="73">
        <v>1133500</v>
      </c>
      <c r="D76" s="44"/>
      <c r="E76" s="32">
        <f t="shared" si="7"/>
        <v>2304400</v>
      </c>
      <c r="F76" s="34">
        <v>10000</v>
      </c>
      <c r="G76" s="103">
        <v>2</v>
      </c>
      <c r="H76" s="3">
        <f t="shared" si="6"/>
        <v>20000</v>
      </c>
      <c r="I76" s="29"/>
      <c r="J76" s="55"/>
      <c r="K76" s="60"/>
      <c r="L76" s="60"/>
      <c r="M76" s="60"/>
      <c r="N76" s="60"/>
      <c r="O76" s="60"/>
      <c r="P76" s="60"/>
      <c r="Q76" s="60"/>
    </row>
    <row r="77" spans="1:17" s="3" customFormat="1" ht="15" customHeight="1" x14ac:dyDescent="0.25">
      <c r="A77" s="47">
        <v>45539</v>
      </c>
      <c r="B77" s="1" t="s">
        <v>150</v>
      </c>
      <c r="C77" s="73"/>
      <c r="D77" s="44"/>
      <c r="E77" s="32">
        <f t="shared" si="7"/>
        <v>2304400</v>
      </c>
      <c r="F77" s="34">
        <v>5000</v>
      </c>
      <c r="G77" s="103">
        <v>7</v>
      </c>
      <c r="H77" s="3">
        <f t="shared" si="6"/>
        <v>35000</v>
      </c>
      <c r="I77" s="29"/>
      <c r="J77" s="55"/>
      <c r="K77" s="60"/>
      <c r="L77" s="60"/>
      <c r="M77" s="60"/>
      <c r="N77" s="60"/>
      <c r="O77" s="60"/>
      <c r="P77" s="60"/>
      <c r="Q77" s="60"/>
    </row>
    <row r="78" spans="1:17" s="3" customFormat="1" ht="15" customHeight="1" x14ac:dyDescent="0.25">
      <c r="A78" s="47">
        <v>45539</v>
      </c>
      <c r="B78" s="1" t="s">
        <v>146</v>
      </c>
      <c r="C78" s="73">
        <v>4306000</v>
      </c>
      <c r="D78" s="44"/>
      <c r="E78" s="32">
        <f t="shared" si="7"/>
        <v>6610400</v>
      </c>
      <c r="F78" s="34">
        <v>2000</v>
      </c>
      <c r="G78" s="103">
        <v>4</v>
      </c>
      <c r="H78" s="3">
        <f t="shared" si="6"/>
        <v>8000</v>
      </c>
      <c r="I78" s="29"/>
      <c r="J78" s="55"/>
      <c r="K78" s="60"/>
      <c r="L78" s="60"/>
      <c r="M78" s="60"/>
      <c r="N78" s="60"/>
      <c r="O78" s="60"/>
      <c r="P78" s="60"/>
      <c r="Q78" s="60"/>
    </row>
    <row r="79" spans="1:17" s="3" customFormat="1" ht="15" customHeight="1" x14ac:dyDescent="0.25">
      <c r="A79" s="47">
        <v>45539</v>
      </c>
      <c r="B79" s="1" t="s">
        <v>157</v>
      </c>
      <c r="C79" s="86"/>
      <c r="D79" s="44"/>
      <c r="E79" s="32">
        <f t="shared" si="7"/>
        <v>6610400</v>
      </c>
      <c r="F79" s="34">
        <v>1000</v>
      </c>
      <c r="G79" s="103">
        <v>3</v>
      </c>
      <c r="H79" s="3">
        <f t="shared" si="6"/>
        <v>3000</v>
      </c>
      <c r="I79" s="29"/>
      <c r="J79" s="55"/>
      <c r="K79" s="60"/>
      <c r="L79" s="60"/>
      <c r="M79" s="60"/>
      <c r="N79" s="60"/>
      <c r="O79" s="60"/>
      <c r="P79" s="60"/>
      <c r="Q79" s="60"/>
    </row>
    <row r="80" spans="1:17" s="3" customFormat="1" ht="15" customHeight="1" x14ac:dyDescent="0.25">
      <c r="A80" s="47">
        <v>45539</v>
      </c>
      <c r="B80" s="1" t="s">
        <v>159</v>
      </c>
      <c r="C80" s="86">
        <v>1491000</v>
      </c>
      <c r="D80" s="44"/>
      <c r="E80" s="32">
        <f t="shared" si="7"/>
        <v>8101400</v>
      </c>
      <c r="F80" s="34">
        <v>500</v>
      </c>
      <c r="G80" s="103"/>
      <c r="H80" s="3">
        <f t="shared" si="6"/>
        <v>0</v>
      </c>
      <c r="I80" s="29"/>
      <c r="J80" s="55"/>
      <c r="K80" s="60"/>
      <c r="L80" s="60"/>
      <c r="M80" s="60"/>
      <c r="N80" s="60"/>
      <c r="O80" s="60"/>
      <c r="P80" s="60"/>
      <c r="Q80" s="60"/>
    </row>
    <row r="81" spans="1:17" s="3" customFormat="1" ht="15" customHeight="1" x14ac:dyDescent="0.25">
      <c r="A81" s="47">
        <v>45539</v>
      </c>
      <c r="B81" s="1" t="s">
        <v>145</v>
      </c>
      <c r="C81" s="86">
        <v>380000</v>
      </c>
      <c r="D81" s="44"/>
      <c r="E81" s="32">
        <f t="shared" si="7"/>
        <v>8481400</v>
      </c>
      <c r="F81" s="34">
        <v>200</v>
      </c>
      <c r="G81" s="103"/>
      <c r="H81" s="3">
        <f t="shared" si="6"/>
        <v>0</v>
      </c>
      <c r="I81" s="29"/>
      <c r="J81" s="55"/>
      <c r="K81" s="60"/>
      <c r="L81" s="60"/>
      <c r="M81" s="60"/>
      <c r="N81" s="60"/>
      <c r="O81" s="60"/>
      <c r="P81" s="60"/>
      <c r="Q81" s="60"/>
    </row>
    <row r="82" spans="1:17" s="3" customFormat="1" ht="15" customHeight="1" x14ac:dyDescent="0.25">
      <c r="A82" s="47">
        <v>45539</v>
      </c>
      <c r="B82" s="1" t="s">
        <v>143</v>
      </c>
      <c r="C82" s="86"/>
      <c r="D82" s="44">
        <f>SUM(C74:C82)</f>
        <v>8232500</v>
      </c>
      <c r="E82" s="32">
        <f t="shared" si="7"/>
        <v>248900</v>
      </c>
      <c r="F82" s="34">
        <v>100</v>
      </c>
      <c r="G82" s="104"/>
      <c r="H82" s="3">
        <f t="shared" si="6"/>
        <v>0</v>
      </c>
      <c r="I82" s="29"/>
      <c r="J82" s="55"/>
      <c r="K82" s="60"/>
      <c r="L82" s="60"/>
      <c r="M82" s="60"/>
      <c r="N82" s="60"/>
      <c r="O82" s="60"/>
      <c r="P82" s="60"/>
      <c r="Q82" s="60"/>
    </row>
    <row r="83" spans="1:17" s="3" customFormat="1" ht="15" customHeight="1" x14ac:dyDescent="0.25">
      <c r="A83" s="47">
        <v>45539</v>
      </c>
      <c r="B83" s="1" t="s">
        <v>160</v>
      </c>
      <c r="C83" s="86"/>
      <c r="D83" s="46"/>
      <c r="E83" s="32">
        <f t="shared" si="7"/>
        <v>248900</v>
      </c>
      <c r="F83" s="1"/>
      <c r="G83" s="1"/>
      <c r="H83" s="1"/>
      <c r="I83" s="29"/>
      <c r="J83" s="55"/>
      <c r="K83" s="60"/>
      <c r="L83" s="60"/>
      <c r="M83" s="60"/>
      <c r="N83" s="60"/>
      <c r="O83" s="60"/>
      <c r="P83" s="60"/>
      <c r="Q83" s="60"/>
    </row>
    <row r="84" spans="1:17" s="3" customFormat="1" ht="15" customHeight="1" x14ac:dyDescent="0.25">
      <c r="A84" s="47">
        <v>45539</v>
      </c>
      <c r="B84" s="1"/>
      <c r="C84" s="86"/>
      <c r="D84" s="44"/>
      <c r="E84" s="32">
        <f t="shared" si="7"/>
        <v>248900</v>
      </c>
      <c r="G84" s="34"/>
      <c r="H84" s="34"/>
      <c r="I84" s="29"/>
      <c r="J84" s="55"/>
      <c r="K84" s="60"/>
      <c r="L84" s="60"/>
      <c r="M84" s="60"/>
      <c r="N84" s="60"/>
      <c r="O84" s="60"/>
      <c r="P84" s="60"/>
      <c r="Q84" s="60"/>
    </row>
    <row r="85" spans="1:17" s="3" customFormat="1" ht="15" customHeight="1" x14ac:dyDescent="0.25">
      <c r="A85" s="47">
        <v>45539</v>
      </c>
      <c r="B85" s="31" t="s">
        <v>139</v>
      </c>
      <c r="C85" s="86"/>
      <c r="D85" s="44">
        <v>163000</v>
      </c>
      <c r="E85" s="32">
        <f t="shared" si="7"/>
        <v>85900</v>
      </c>
      <c r="G85" s="34"/>
      <c r="H85" s="34"/>
      <c r="I85" s="29"/>
      <c r="J85" s="55"/>
      <c r="K85" s="60"/>
      <c r="L85" s="60"/>
      <c r="M85" s="60"/>
      <c r="N85" s="65"/>
      <c r="O85" s="60"/>
      <c r="P85" s="60"/>
      <c r="Q85" s="60"/>
    </row>
    <row r="86" spans="1:17" s="3" customFormat="1" ht="15" customHeight="1" x14ac:dyDescent="0.25">
      <c r="A86" s="47">
        <v>45539</v>
      </c>
      <c r="B86" s="47"/>
      <c r="C86" s="87"/>
      <c r="D86" s="44"/>
      <c r="E86" s="32">
        <f t="shared" si="7"/>
        <v>85900</v>
      </c>
      <c r="G86" s="34"/>
      <c r="H86" s="34"/>
      <c r="I86" s="29"/>
      <c r="J86" s="55"/>
      <c r="K86" s="60"/>
      <c r="L86" s="60"/>
      <c r="M86" s="60"/>
      <c r="N86" s="65"/>
      <c r="O86" s="60"/>
      <c r="P86" s="60"/>
      <c r="Q86" s="60"/>
    </row>
    <row r="87" spans="1:17" s="3" customFormat="1" ht="15" customHeight="1" x14ac:dyDescent="0.25">
      <c r="A87" s="47">
        <v>45539</v>
      </c>
      <c r="B87" s="82"/>
      <c r="C87" s="87"/>
      <c r="D87" s="44"/>
      <c r="E87" s="32">
        <f t="shared" si="7"/>
        <v>85900</v>
      </c>
      <c r="G87" s="34"/>
      <c r="H87" s="34"/>
      <c r="I87" s="29"/>
      <c r="J87" s="55"/>
      <c r="K87" s="60"/>
      <c r="L87" s="60"/>
      <c r="M87" s="60"/>
      <c r="N87" s="65"/>
      <c r="O87" s="60"/>
      <c r="P87" s="60"/>
      <c r="Q87" s="60"/>
    </row>
    <row r="88" spans="1:17" s="3" customFormat="1" ht="15" customHeight="1" x14ac:dyDescent="0.25">
      <c r="A88" s="47">
        <v>45539</v>
      </c>
      <c r="C88" s="87"/>
      <c r="D88" s="44"/>
      <c r="E88" s="32">
        <f t="shared" si="7"/>
        <v>85900</v>
      </c>
      <c r="G88" s="34"/>
      <c r="H88" s="34"/>
      <c r="I88" s="29"/>
      <c r="J88" s="55"/>
      <c r="K88" s="60"/>
      <c r="L88" s="60"/>
      <c r="M88" s="60"/>
      <c r="N88" s="65"/>
      <c r="O88" s="60"/>
      <c r="P88" s="60"/>
      <c r="Q88" s="60"/>
    </row>
    <row r="89" spans="1:17" s="3" customFormat="1" ht="15" customHeight="1" x14ac:dyDescent="0.25">
      <c r="A89" s="47">
        <v>45539</v>
      </c>
      <c r="B89" s="1"/>
      <c r="C89" s="88"/>
      <c r="D89" s="36"/>
      <c r="E89" s="32">
        <f t="shared" si="7"/>
        <v>85900</v>
      </c>
      <c r="F89" s="1"/>
      <c r="G89" s="34"/>
      <c r="I89" s="29"/>
      <c r="J89" s="55"/>
      <c r="K89" s="60"/>
      <c r="L89" s="60"/>
      <c r="M89" s="60"/>
      <c r="N89" s="65"/>
      <c r="O89" s="60"/>
      <c r="P89" s="60"/>
      <c r="Q89" s="60"/>
    </row>
    <row r="90" spans="1:17" s="3" customFormat="1" ht="15" customHeight="1" x14ac:dyDescent="0.25">
      <c r="A90" s="47">
        <v>45539</v>
      </c>
      <c r="B90" s="1" t="s">
        <v>143</v>
      </c>
      <c r="C90" s="89"/>
      <c r="D90" s="44"/>
      <c r="E90" s="32">
        <f t="shared" si="7"/>
        <v>85900</v>
      </c>
      <c r="F90" s="1"/>
      <c r="G90" s="34"/>
      <c r="I90" s="29"/>
      <c r="J90" s="55"/>
      <c r="K90" s="60"/>
      <c r="L90" s="60"/>
      <c r="M90" s="60"/>
      <c r="N90" s="65"/>
      <c r="O90" s="60"/>
      <c r="P90" s="60"/>
      <c r="Q90" s="60"/>
    </row>
    <row r="91" spans="1:17" s="3" customFormat="1" ht="15" customHeight="1" x14ac:dyDescent="0.25">
      <c r="A91" s="47">
        <v>45539</v>
      </c>
      <c r="B91" s="47"/>
      <c r="C91" s="90"/>
      <c r="D91" s="44"/>
      <c r="E91" s="32">
        <f t="shared" si="7"/>
        <v>85900</v>
      </c>
      <c r="F91" s="43"/>
      <c r="G91" s="34"/>
      <c r="I91" s="29"/>
      <c r="J91" s="55"/>
      <c r="K91" s="60"/>
      <c r="L91" s="60"/>
      <c r="M91" s="60"/>
      <c r="N91" s="65"/>
      <c r="O91" s="60"/>
      <c r="P91" s="60"/>
      <c r="Q91" s="60"/>
    </row>
    <row r="92" spans="1:17" s="3" customFormat="1" ht="15" customHeight="1" x14ac:dyDescent="0.25">
      <c r="A92" s="47">
        <v>45539</v>
      </c>
      <c r="B92" s="45" t="s">
        <v>136</v>
      </c>
      <c r="C92" s="86"/>
      <c r="D92" s="44"/>
      <c r="E92" s="32">
        <f t="shared" si="7"/>
        <v>85900</v>
      </c>
      <c r="F92" s="3">
        <f>SUM(H72:H88)</f>
        <v>86000</v>
      </c>
      <c r="G92" s="49"/>
      <c r="I92" s="29"/>
      <c r="J92" s="55"/>
      <c r="K92" s="60"/>
      <c r="L92" s="60"/>
      <c r="M92" s="60"/>
      <c r="N92" s="65"/>
      <c r="O92" s="60"/>
      <c r="P92" s="60"/>
      <c r="Q92" s="60"/>
    </row>
    <row r="93" spans="1:17" s="3" customFormat="1" ht="15" customHeight="1" x14ac:dyDescent="0.25">
      <c r="A93" s="47">
        <v>45539</v>
      </c>
      <c r="B93" s="4" t="s">
        <v>161</v>
      </c>
      <c r="C93" s="86">
        <f>SUM(C73:C92)</f>
        <v>8317500</v>
      </c>
      <c r="D93" s="33">
        <f>SUM(D74:D92)</f>
        <v>8395500</v>
      </c>
      <c r="E93" s="32"/>
      <c r="F93" s="25">
        <f>F92-E92</f>
        <v>100</v>
      </c>
      <c r="G93" s="34"/>
      <c r="I93" s="29"/>
      <c r="J93" s="55"/>
      <c r="K93" s="60"/>
      <c r="L93" s="60"/>
      <c r="M93" s="60"/>
      <c r="N93" s="65"/>
      <c r="O93" s="60"/>
      <c r="P93" s="60"/>
      <c r="Q93" s="60"/>
    </row>
    <row r="94" spans="1:17" s="3" customFormat="1" ht="15" customHeight="1" x14ac:dyDescent="0.25">
      <c r="B94" s="30"/>
      <c r="C94" s="65"/>
      <c r="D94" s="8"/>
      <c r="E94" s="8"/>
      <c r="F94" s="34"/>
      <c r="G94" s="34"/>
      <c r="I94" s="29"/>
      <c r="J94" s="55"/>
      <c r="K94" s="60"/>
      <c r="L94" s="60"/>
      <c r="M94" s="60"/>
      <c r="N94" s="65"/>
      <c r="O94" s="60"/>
      <c r="P94" s="60"/>
      <c r="Q94" s="60"/>
    </row>
    <row r="95" spans="1:17" s="3" customFormat="1" ht="15" customHeight="1" x14ac:dyDescent="0.25">
      <c r="A95" s="47">
        <v>45540</v>
      </c>
      <c r="B95" s="1" t="s">
        <v>140</v>
      </c>
      <c r="C95" s="65"/>
      <c r="D95" s="8"/>
      <c r="E95" s="8">
        <v>85900</v>
      </c>
      <c r="F95" s="49">
        <v>100000</v>
      </c>
      <c r="G95" s="103"/>
      <c r="H95" s="3">
        <f>G95*F95</f>
        <v>0</v>
      </c>
      <c r="I95" s="29"/>
      <c r="J95" s="55"/>
      <c r="K95" s="60"/>
      <c r="L95" s="60"/>
      <c r="M95" s="60"/>
      <c r="N95" s="65"/>
      <c r="O95" s="60"/>
      <c r="P95" s="60"/>
      <c r="Q95" s="60"/>
    </row>
    <row r="96" spans="1:17" s="3" customFormat="1" ht="15" customHeight="1" x14ac:dyDescent="0.25">
      <c r="A96" s="47">
        <v>45540</v>
      </c>
      <c r="B96" s="31" t="s">
        <v>138</v>
      </c>
      <c r="C96" s="73">
        <v>505000</v>
      </c>
      <c r="D96" s="44"/>
      <c r="E96" s="32">
        <f>E95+C96-D96</f>
        <v>590900</v>
      </c>
      <c r="F96" s="3">
        <v>75000</v>
      </c>
      <c r="G96" s="103"/>
      <c r="H96" s="3">
        <f t="shared" ref="H96:H105" si="8">G96*F96</f>
        <v>0</v>
      </c>
      <c r="I96" s="29"/>
      <c r="J96" s="55"/>
      <c r="K96" s="60"/>
      <c r="L96" s="60"/>
      <c r="M96" s="60"/>
      <c r="N96" s="65"/>
      <c r="O96" s="60"/>
      <c r="P96" s="60"/>
      <c r="Q96" s="60"/>
    </row>
    <row r="97" spans="1:17" s="3" customFormat="1" ht="15" customHeight="1" x14ac:dyDescent="0.25">
      <c r="A97" s="47">
        <v>45540</v>
      </c>
      <c r="B97" s="1" t="s">
        <v>155</v>
      </c>
      <c r="C97" s="73">
        <v>595000</v>
      </c>
      <c r="D97" s="44"/>
      <c r="E97" s="32">
        <f t="shared" ref="E97:E115" si="9">E96+C97-D97</f>
        <v>1185900</v>
      </c>
      <c r="F97" s="34">
        <v>50000</v>
      </c>
      <c r="G97" s="103">
        <f>7-1-4</f>
        <v>2</v>
      </c>
      <c r="H97" s="3">
        <f t="shared" si="8"/>
        <v>100000</v>
      </c>
      <c r="I97" s="29"/>
      <c r="J97" s="55"/>
      <c r="K97" s="60"/>
      <c r="L97" s="60"/>
      <c r="M97" s="60"/>
      <c r="N97" s="65"/>
      <c r="O97" s="60"/>
      <c r="P97" s="60"/>
      <c r="Q97" s="60"/>
    </row>
    <row r="98" spans="1:17" s="3" customFormat="1" ht="15" customHeight="1" x14ac:dyDescent="0.25">
      <c r="A98" s="47">
        <v>45540</v>
      </c>
      <c r="B98" s="1" t="s">
        <v>156</v>
      </c>
      <c r="C98" s="73">
        <v>888000</v>
      </c>
      <c r="D98" s="44"/>
      <c r="E98" s="32">
        <f t="shared" si="9"/>
        <v>2073900</v>
      </c>
      <c r="F98" s="34">
        <v>20000</v>
      </c>
      <c r="G98" s="103">
        <v>1</v>
      </c>
      <c r="H98" s="3">
        <f t="shared" si="8"/>
        <v>20000</v>
      </c>
      <c r="I98" s="29"/>
      <c r="J98" s="55"/>
      <c r="K98" s="60"/>
      <c r="L98" s="60"/>
      <c r="M98" s="60"/>
      <c r="N98" s="65"/>
      <c r="O98" s="60"/>
      <c r="P98" s="60"/>
      <c r="Q98" s="60"/>
    </row>
    <row r="99" spans="1:17" s="3" customFormat="1" ht="15" customHeight="1" x14ac:dyDescent="0.25">
      <c r="A99" s="47">
        <v>45540</v>
      </c>
      <c r="B99" s="1" t="s">
        <v>133</v>
      </c>
      <c r="C99" s="73">
        <v>1241000</v>
      </c>
      <c r="D99" s="44"/>
      <c r="E99" s="32">
        <f t="shared" si="9"/>
        <v>3314900</v>
      </c>
      <c r="F99" s="34">
        <v>10000</v>
      </c>
      <c r="G99" s="103">
        <v>2</v>
      </c>
      <c r="H99" s="3">
        <f t="shared" si="8"/>
        <v>20000</v>
      </c>
      <c r="I99" s="29"/>
      <c r="J99" s="55"/>
      <c r="K99" s="60"/>
      <c r="L99" s="60"/>
      <c r="M99" s="60"/>
      <c r="N99" s="65"/>
      <c r="O99" s="60"/>
      <c r="P99" s="60"/>
      <c r="Q99" s="60"/>
    </row>
    <row r="100" spans="1:17" s="3" customFormat="1" ht="15" customHeight="1" x14ac:dyDescent="0.25">
      <c r="A100" s="47">
        <v>45540</v>
      </c>
      <c r="B100" s="1" t="s">
        <v>150</v>
      </c>
      <c r="C100" s="73"/>
      <c r="D100" s="44"/>
      <c r="E100" s="32">
        <f t="shared" si="9"/>
        <v>3314900</v>
      </c>
      <c r="F100" s="34">
        <v>5000</v>
      </c>
      <c r="G100" s="103">
        <v>4</v>
      </c>
      <c r="H100" s="3">
        <f t="shared" si="8"/>
        <v>20000</v>
      </c>
      <c r="I100" s="29"/>
      <c r="J100" s="55"/>
      <c r="K100" s="60"/>
      <c r="L100" s="60"/>
      <c r="M100" s="60"/>
      <c r="N100" s="65"/>
      <c r="O100" s="60"/>
      <c r="P100" s="60"/>
      <c r="Q100" s="60"/>
    </row>
    <row r="101" spans="1:17" s="3" customFormat="1" ht="15" customHeight="1" x14ac:dyDescent="0.25">
      <c r="A101" s="47">
        <v>45540</v>
      </c>
      <c r="B101" s="1" t="s">
        <v>146</v>
      </c>
      <c r="C101" s="73">
        <v>4435000</v>
      </c>
      <c r="D101" s="44"/>
      <c r="E101" s="32">
        <f t="shared" si="9"/>
        <v>7749900</v>
      </c>
      <c r="F101" s="34">
        <v>2000</v>
      </c>
      <c r="G101" s="103">
        <v>1</v>
      </c>
      <c r="H101" s="3">
        <f t="shared" si="8"/>
        <v>2000</v>
      </c>
      <c r="I101" s="29"/>
      <c r="J101" s="55"/>
      <c r="K101" s="60"/>
      <c r="L101" s="64"/>
      <c r="M101" s="60"/>
      <c r="N101" s="65"/>
      <c r="O101" s="60"/>
      <c r="P101" s="60"/>
      <c r="Q101" s="60"/>
    </row>
    <row r="102" spans="1:17" s="3" customFormat="1" ht="15" customHeight="1" x14ac:dyDescent="0.25">
      <c r="A102" s="47">
        <v>45540</v>
      </c>
      <c r="B102" s="1" t="s">
        <v>157</v>
      </c>
      <c r="C102" s="86"/>
      <c r="D102" s="44"/>
      <c r="E102" s="32">
        <f t="shared" si="9"/>
        <v>7749900</v>
      </c>
      <c r="F102" s="34">
        <v>1000</v>
      </c>
      <c r="G102" s="103">
        <v>1</v>
      </c>
      <c r="H102" s="3">
        <f t="shared" si="8"/>
        <v>1000</v>
      </c>
      <c r="I102" s="29"/>
      <c r="J102" s="55"/>
      <c r="K102" s="60"/>
      <c r="L102" s="64"/>
      <c r="M102" s="60"/>
      <c r="N102" s="65"/>
      <c r="O102" s="60"/>
      <c r="P102" s="60"/>
      <c r="Q102" s="60"/>
    </row>
    <row r="103" spans="1:17" s="3" customFormat="1" ht="15" customHeight="1" x14ac:dyDescent="0.25">
      <c r="A103" s="47">
        <v>45540</v>
      </c>
      <c r="B103" s="1" t="s">
        <v>159</v>
      </c>
      <c r="C103" s="86">
        <f>1639000+119000</f>
        <v>1758000</v>
      </c>
      <c r="D103" s="44"/>
      <c r="E103" s="32">
        <f t="shared" si="9"/>
        <v>9507900</v>
      </c>
      <c r="F103" s="34">
        <v>500</v>
      </c>
      <c r="G103" s="103">
        <v>4</v>
      </c>
      <c r="H103" s="3">
        <f t="shared" si="8"/>
        <v>2000</v>
      </c>
      <c r="I103" s="29"/>
      <c r="J103" s="55"/>
      <c r="K103" s="60"/>
      <c r="L103" s="64"/>
      <c r="M103" s="60"/>
      <c r="N103" s="65"/>
      <c r="O103" s="60"/>
      <c r="P103" s="60"/>
      <c r="Q103" s="60"/>
    </row>
    <row r="104" spans="1:17" s="3" customFormat="1" ht="15" customHeight="1" x14ac:dyDescent="0.25">
      <c r="A104" s="47">
        <v>45540</v>
      </c>
      <c r="B104" s="1" t="s">
        <v>145</v>
      </c>
      <c r="C104" s="86"/>
      <c r="D104" s="44"/>
      <c r="E104" s="32">
        <f t="shared" si="9"/>
        <v>9507900</v>
      </c>
      <c r="F104" s="34">
        <v>200</v>
      </c>
      <c r="G104" s="103"/>
      <c r="H104" s="3">
        <f t="shared" si="8"/>
        <v>0</v>
      </c>
      <c r="I104" s="29"/>
      <c r="J104" s="55"/>
      <c r="K104" s="60"/>
      <c r="L104" s="60"/>
      <c r="M104" s="60"/>
      <c r="N104" s="65"/>
      <c r="O104" s="60"/>
      <c r="P104" s="60"/>
      <c r="Q104" s="60"/>
    </row>
    <row r="105" spans="1:17" s="3" customFormat="1" ht="15" customHeight="1" x14ac:dyDescent="0.25">
      <c r="A105" s="47">
        <v>45540</v>
      </c>
      <c r="B105" s="1" t="s">
        <v>143</v>
      </c>
      <c r="C105" s="86"/>
      <c r="D105" s="44">
        <f>SUM(C97:C105)</f>
        <v>8917000</v>
      </c>
      <c r="E105" s="32">
        <f t="shared" si="9"/>
        <v>590900</v>
      </c>
      <c r="F105" s="34">
        <v>100</v>
      </c>
      <c r="G105" s="104"/>
      <c r="H105" s="3">
        <f t="shared" si="8"/>
        <v>0</v>
      </c>
      <c r="I105" s="29"/>
      <c r="J105" s="55"/>
      <c r="K105" s="60"/>
      <c r="L105" s="60"/>
      <c r="M105" s="60"/>
      <c r="N105" s="65"/>
      <c r="O105" s="60"/>
      <c r="P105" s="60"/>
      <c r="Q105" s="60"/>
    </row>
    <row r="106" spans="1:17" s="3" customFormat="1" ht="15" customHeight="1" x14ac:dyDescent="0.25">
      <c r="A106" s="47">
        <v>45540</v>
      </c>
      <c r="B106" s="1" t="s">
        <v>160</v>
      </c>
      <c r="C106" s="86">
        <v>-13000</v>
      </c>
      <c r="D106" s="46"/>
      <c r="E106" s="32">
        <f t="shared" si="9"/>
        <v>577900</v>
      </c>
      <c r="F106" s="1"/>
      <c r="G106" s="1"/>
      <c r="H106" s="1"/>
      <c r="I106" s="29"/>
      <c r="J106" s="55"/>
      <c r="K106" s="63"/>
      <c r="L106" s="60"/>
      <c r="M106" s="60"/>
      <c r="N106" s="65"/>
      <c r="O106" s="60"/>
      <c r="P106" s="60"/>
      <c r="Q106" s="60"/>
    </row>
    <row r="107" spans="1:17" s="3" customFormat="1" ht="15" customHeight="1" x14ac:dyDescent="0.25">
      <c r="A107" s="47">
        <v>45540</v>
      </c>
      <c r="B107" s="1"/>
      <c r="C107" s="86"/>
      <c r="D107" s="44"/>
      <c r="E107" s="32">
        <f t="shared" si="9"/>
        <v>577900</v>
      </c>
      <c r="G107" s="34"/>
      <c r="H107" s="34"/>
      <c r="I107" s="29"/>
      <c r="J107" s="55"/>
      <c r="K107" s="60"/>
      <c r="L107" s="60"/>
      <c r="M107" s="60"/>
      <c r="N107" s="65"/>
      <c r="O107" s="60"/>
      <c r="P107" s="60"/>
      <c r="Q107" s="60"/>
    </row>
    <row r="108" spans="1:17" s="3" customFormat="1" ht="15" customHeight="1" x14ac:dyDescent="0.25">
      <c r="A108" s="47">
        <v>45540</v>
      </c>
      <c r="B108" s="31" t="s">
        <v>139</v>
      </c>
      <c r="C108" s="86"/>
      <c r="D108" s="44">
        <f>226000-13000</f>
        <v>213000</v>
      </c>
      <c r="E108" s="32">
        <f t="shared" si="9"/>
        <v>364900</v>
      </c>
      <c r="G108" s="34"/>
      <c r="H108" s="34"/>
      <c r="I108" s="29"/>
      <c r="J108" s="55"/>
      <c r="K108" s="60"/>
      <c r="L108" s="60"/>
      <c r="M108" s="60"/>
      <c r="N108" s="65"/>
      <c r="O108" s="60"/>
      <c r="P108" s="60"/>
      <c r="Q108" s="60"/>
    </row>
    <row r="109" spans="1:17" s="3" customFormat="1" ht="15" customHeight="1" x14ac:dyDescent="0.25">
      <c r="A109" s="47">
        <v>45540</v>
      </c>
      <c r="B109" s="47"/>
      <c r="C109" s="87"/>
      <c r="D109" s="44"/>
      <c r="E109" s="32">
        <f t="shared" si="9"/>
        <v>364900</v>
      </c>
      <c r="G109" s="34"/>
      <c r="H109" s="34"/>
      <c r="I109" s="29"/>
      <c r="J109" s="55"/>
      <c r="K109" s="60"/>
      <c r="L109" s="63"/>
      <c r="M109" s="60"/>
      <c r="N109" s="65"/>
      <c r="O109" s="60"/>
      <c r="P109" s="60"/>
      <c r="Q109" s="60"/>
    </row>
    <row r="110" spans="1:17" s="3" customFormat="1" ht="15" customHeight="1" x14ac:dyDescent="0.25">
      <c r="A110" s="47">
        <v>45540</v>
      </c>
      <c r="B110" s="82"/>
      <c r="C110" s="87"/>
      <c r="D110" s="44"/>
      <c r="E110" s="32">
        <f t="shared" si="9"/>
        <v>364900</v>
      </c>
      <c r="G110" s="34"/>
      <c r="H110" s="34"/>
      <c r="I110" s="29"/>
      <c r="J110" s="55"/>
      <c r="K110" s="63"/>
      <c r="L110" s="60"/>
      <c r="M110" s="60"/>
      <c r="N110" s="65"/>
      <c r="O110" s="60"/>
      <c r="P110" s="60"/>
      <c r="Q110" s="60"/>
    </row>
    <row r="111" spans="1:17" s="3" customFormat="1" ht="15" customHeight="1" x14ac:dyDescent="0.25">
      <c r="A111" s="47">
        <v>45540</v>
      </c>
      <c r="C111" s="87"/>
      <c r="D111" s="44"/>
      <c r="E111" s="32">
        <f t="shared" si="9"/>
        <v>364900</v>
      </c>
      <c r="G111" s="34"/>
      <c r="H111" s="34"/>
      <c r="I111" s="29"/>
      <c r="J111" s="55"/>
      <c r="K111" s="63"/>
      <c r="L111" s="60"/>
      <c r="M111" s="60"/>
      <c r="N111" s="65"/>
      <c r="O111" s="60"/>
      <c r="P111" s="60"/>
      <c r="Q111" s="60"/>
    </row>
    <row r="112" spans="1:17" s="3" customFormat="1" ht="15" customHeight="1" x14ac:dyDescent="0.25">
      <c r="A112" s="47">
        <v>45540</v>
      </c>
      <c r="B112" s="1"/>
      <c r="C112" s="88"/>
      <c r="D112" s="36"/>
      <c r="E112" s="32">
        <f t="shared" si="9"/>
        <v>364900</v>
      </c>
      <c r="F112" s="1"/>
      <c r="G112" s="34"/>
      <c r="I112" s="29"/>
      <c r="J112" s="55"/>
      <c r="K112" s="63"/>
      <c r="L112" s="60"/>
      <c r="M112" s="60"/>
      <c r="N112" s="65"/>
      <c r="O112" s="60"/>
      <c r="P112" s="60"/>
      <c r="Q112" s="60"/>
    </row>
    <row r="113" spans="1:17" s="3" customFormat="1" ht="15" customHeight="1" x14ac:dyDescent="0.25">
      <c r="A113" s="47">
        <v>45540</v>
      </c>
      <c r="B113" s="1" t="s">
        <v>143</v>
      </c>
      <c r="C113" s="89"/>
      <c r="D113" s="44"/>
      <c r="E113" s="32">
        <f t="shared" si="9"/>
        <v>364900</v>
      </c>
      <c r="F113" s="1"/>
      <c r="G113" s="34"/>
      <c r="I113" s="29"/>
      <c r="J113" s="55"/>
      <c r="K113" s="60"/>
      <c r="L113" s="60"/>
      <c r="M113" s="60"/>
      <c r="N113" s="65"/>
      <c r="O113" s="60"/>
      <c r="P113" s="60"/>
      <c r="Q113" s="60"/>
    </row>
    <row r="114" spans="1:17" s="3" customFormat="1" ht="15" customHeight="1" x14ac:dyDescent="0.25">
      <c r="A114" s="47">
        <v>45540</v>
      </c>
      <c r="B114" s="47"/>
      <c r="C114" s="90"/>
      <c r="D114" s="44"/>
      <c r="E114" s="32">
        <f t="shared" si="9"/>
        <v>364900</v>
      </c>
      <c r="F114" s="43"/>
      <c r="G114" s="34"/>
      <c r="I114" s="29"/>
      <c r="J114" s="55"/>
      <c r="K114" s="60"/>
      <c r="L114" s="60"/>
      <c r="M114" s="60"/>
      <c r="N114" s="65"/>
      <c r="O114" s="60"/>
      <c r="P114" s="60"/>
      <c r="Q114" s="60"/>
    </row>
    <row r="115" spans="1:17" s="3" customFormat="1" ht="15" customHeight="1" x14ac:dyDescent="0.25">
      <c r="A115" s="47">
        <v>45540</v>
      </c>
      <c r="B115" s="45" t="s">
        <v>136</v>
      </c>
      <c r="C115" s="86"/>
      <c r="D115" s="44">
        <v>200000</v>
      </c>
      <c r="E115" s="32">
        <f t="shared" si="9"/>
        <v>164900</v>
      </c>
      <c r="F115" s="3">
        <f>SUM(H95:H111)</f>
        <v>165000</v>
      </c>
      <c r="G115" s="49"/>
      <c r="I115" s="29"/>
      <c r="J115" s="55"/>
      <c r="K115" s="60"/>
      <c r="L115" s="60"/>
      <c r="M115" s="60"/>
      <c r="N115" s="65"/>
      <c r="O115" s="60"/>
      <c r="P115" s="60"/>
      <c r="Q115" s="60"/>
    </row>
    <row r="116" spans="1:17" s="3" customFormat="1" ht="15" customHeight="1" x14ac:dyDescent="0.25">
      <c r="A116" s="47">
        <v>45540</v>
      </c>
      <c r="B116" s="4" t="s">
        <v>161</v>
      </c>
      <c r="C116" s="86">
        <f>SUM(C96:C115)</f>
        <v>9409000</v>
      </c>
      <c r="D116" s="33">
        <f>SUM(D97:D115)</f>
        <v>9330000</v>
      </c>
      <c r="E116" s="32"/>
      <c r="F116" s="25">
        <f>F115-E115</f>
        <v>100</v>
      </c>
      <c r="G116" s="34"/>
      <c r="I116" s="29"/>
      <c r="J116" s="55"/>
      <c r="K116" s="60"/>
      <c r="L116" s="60"/>
      <c r="M116" s="60"/>
      <c r="N116" s="60"/>
      <c r="O116" s="60"/>
      <c r="P116" s="60"/>
      <c r="Q116" s="60"/>
    </row>
    <row r="117" spans="1:17" s="3" customFormat="1" ht="15" customHeight="1" x14ac:dyDescent="0.25">
      <c r="B117" s="30"/>
      <c r="C117" s="65"/>
      <c r="D117" s="8"/>
      <c r="E117" s="8"/>
      <c r="F117" s="34"/>
      <c r="G117" s="34"/>
      <c r="I117" s="29"/>
      <c r="J117" s="55"/>
      <c r="K117" s="60"/>
      <c r="L117" s="60"/>
      <c r="M117" s="60"/>
      <c r="N117" s="60"/>
      <c r="O117" s="60"/>
      <c r="P117" s="60"/>
      <c r="Q117" s="60"/>
    </row>
    <row r="118" spans="1:17" s="3" customFormat="1" ht="15" customHeight="1" x14ac:dyDescent="0.25">
      <c r="A118" s="47">
        <v>45541</v>
      </c>
      <c r="B118" s="1" t="s">
        <v>140</v>
      </c>
      <c r="C118" s="65"/>
      <c r="D118" s="8"/>
      <c r="E118" s="8">
        <v>164900</v>
      </c>
      <c r="F118" s="49">
        <v>100000</v>
      </c>
      <c r="G118" s="103"/>
      <c r="H118" s="3">
        <f>G118*F118</f>
        <v>0</v>
      </c>
      <c r="I118" s="29"/>
      <c r="J118" s="55"/>
      <c r="K118" s="55"/>
      <c r="L118" s="60"/>
      <c r="M118" s="60">
        <v>4</v>
      </c>
      <c r="N118" s="60"/>
      <c r="O118" s="60"/>
      <c r="P118" s="60"/>
      <c r="Q118" s="60"/>
    </row>
    <row r="119" spans="1:17" s="3" customFormat="1" ht="15" customHeight="1" x14ac:dyDescent="0.25">
      <c r="A119" s="47">
        <v>45541</v>
      </c>
      <c r="B119" s="31" t="s">
        <v>138</v>
      </c>
      <c r="C119" s="73">
        <v>134000</v>
      </c>
      <c r="D119" s="44"/>
      <c r="E119" s="32">
        <f>E118+C119-D119</f>
        <v>298900</v>
      </c>
      <c r="F119" s="3">
        <v>75000</v>
      </c>
      <c r="G119" s="103"/>
      <c r="H119" s="3">
        <f t="shared" ref="H119:H128" si="10">G119*F119</f>
        <v>0</v>
      </c>
      <c r="I119" s="29"/>
      <c r="J119" s="55"/>
      <c r="K119" s="60"/>
      <c r="L119" s="60"/>
      <c r="M119" s="60"/>
      <c r="N119" s="60"/>
      <c r="O119" s="60"/>
      <c r="P119" s="60"/>
      <c r="Q119" s="60"/>
    </row>
    <row r="120" spans="1:17" s="3" customFormat="1" ht="15" customHeight="1" x14ac:dyDescent="0.25">
      <c r="A120" s="47">
        <v>45541</v>
      </c>
      <c r="B120" s="1" t="s">
        <v>155</v>
      </c>
      <c r="C120" s="73">
        <v>511000</v>
      </c>
      <c r="D120" s="44"/>
      <c r="E120" s="32">
        <f t="shared" ref="E120:E138" si="11">E119+C120-D120</f>
        <v>809900</v>
      </c>
      <c r="F120" s="34">
        <v>50000</v>
      </c>
      <c r="G120" s="103">
        <v>1</v>
      </c>
      <c r="H120" s="3">
        <f t="shared" si="10"/>
        <v>50000</v>
      </c>
      <c r="I120" s="29"/>
      <c r="J120" s="55"/>
      <c r="K120" s="60"/>
      <c r="L120" s="60"/>
      <c r="M120" s="60"/>
      <c r="N120" s="60"/>
      <c r="O120" s="60"/>
      <c r="P120" s="60"/>
      <c r="Q120" s="60"/>
    </row>
    <row r="121" spans="1:17" s="3" customFormat="1" ht="15" customHeight="1" x14ac:dyDescent="0.25">
      <c r="A121" s="47">
        <v>45541</v>
      </c>
      <c r="B121" s="1" t="s">
        <v>156</v>
      </c>
      <c r="C121" s="73">
        <v>955000</v>
      </c>
      <c r="D121" s="44"/>
      <c r="E121" s="32">
        <f t="shared" si="11"/>
        <v>1764900</v>
      </c>
      <c r="F121" s="34">
        <v>20000</v>
      </c>
      <c r="G121" s="103"/>
      <c r="H121" s="3">
        <f t="shared" si="10"/>
        <v>0</v>
      </c>
      <c r="I121" s="29"/>
      <c r="J121" s="55"/>
      <c r="K121" s="60"/>
      <c r="L121" s="60"/>
      <c r="M121" s="60"/>
      <c r="N121" s="60"/>
      <c r="O121" s="60"/>
      <c r="P121" s="60"/>
      <c r="Q121" s="60"/>
    </row>
    <row r="122" spans="1:17" s="3" customFormat="1" ht="15" customHeight="1" x14ac:dyDescent="0.25">
      <c r="A122" s="47">
        <v>45541</v>
      </c>
      <c r="B122" s="1" t="s">
        <v>133</v>
      </c>
      <c r="C122" s="73">
        <v>769000</v>
      </c>
      <c r="D122" s="44"/>
      <c r="E122" s="32">
        <f t="shared" si="11"/>
        <v>2533900</v>
      </c>
      <c r="F122" s="34">
        <v>10000</v>
      </c>
      <c r="G122" s="103">
        <v>3</v>
      </c>
      <c r="H122" s="3">
        <f t="shared" si="10"/>
        <v>30000</v>
      </c>
      <c r="I122" s="29"/>
      <c r="J122" s="55"/>
      <c r="K122" s="60"/>
      <c r="L122" s="60"/>
      <c r="M122" s="60"/>
      <c r="N122" s="60"/>
      <c r="O122" s="60"/>
      <c r="P122" s="60"/>
      <c r="Q122" s="60"/>
    </row>
    <row r="123" spans="1:17" s="3" customFormat="1" ht="15" customHeight="1" x14ac:dyDescent="0.25">
      <c r="A123" s="47">
        <v>45541</v>
      </c>
      <c r="B123" s="1" t="s">
        <v>150</v>
      </c>
      <c r="C123" s="73"/>
      <c r="D123" s="44"/>
      <c r="E123" s="32">
        <f t="shared" si="11"/>
        <v>2533900</v>
      </c>
      <c r="F123" s="34">
        <v>5000</v>
      </c>
      <c r="G123" s="103">
        <v>4</v>
      </c>
      <c r="H123" s="3">
        <f t="shared" si="10"/>
        <v>20000</v>
      </c>
      <c r="I123" s="29"/>
      <c r="J123" s="55"/>
      <c r="K123" s="63"/>
      <c r="L123" s="60"/>
      <c r="M123" s="60"/>
      <c r="N123" s="60"/>
      <c r="O123" s="60"/>
      <c r="P123" s="60"/>
      <c r="Q123" s="60"/>
    </row>
    <row r="124" spans="1:17" s="3" customFormat="1" ht="15" customHeight="1" x14ac:dyDescent="0.25">
      <c r="A124" s="47">
        <v>45541</v>
      </c>
      <c r="B124" s="1" t="s">
        <v>146</v>
      </c>
      <c r="C124" s="73">
        <v>2398000</v>
      </c>
      <c r="D124" s="44"/>
      <c r="E124" s="32">
        <f t="shared" si="11"/>
        <v>4931900</v>
      </c>
      <c r="F124" s="34">
        <v>2000</v>
      </c>
      <c r="G124" s="103">
        <v>4</v>
      </c>
      <c r="H124" s="3">
        <f t="shared" si="10"/>
        <v>8000</v>
      </c>
      <c r="I124" s="29"/>
      <c r="J124" s="55"/>
      <c r="K124" s="61"/>
      <c r="L124" s="61"/>
      <c r="M124" s="61"/>
      <c r="N124" s="60"/>
      <c r="O124" s="60"/>
      <c r="P124" s="60"/>
      <c r="Q124" s="60"/>
    </row>
    <row r="125" spans="1:17" s="3" customFormat="1" ht="15" customHeight="1" x14ac:dyDescent="0.25">
      <c r="A125" s="47">
        <v>45541</v>
      </c>
      <c r="B125" s="1" t="s">
        <v>157</v>
      </c>
      <c r="C125" s="86"/>
      <c r="D125" s="44"/>
      <c r="E125" s="32">
        <f t="shared" si="11"/>
        <v>4931900</v>
      </c>
      <c r="F125" s="34">
        <v>1000</v>
      </c>
      <c r="G125" s="103"/>
      <c r="H125" s="3">
        <f t="shared" si="10"/>
        <v>0</v>
      </c>
      <c r="I125" s="29"/>
      <c r="J125" s="55"/>
      <c r="K125" s="60"/>
      <c r="L125" s="60"/>
      <c r="M125" s="62"/>
      <c r="N125" s="60"/>
      <c r="O125" s="60"/>
      <c r="P125" s="60"/>
      <c r="Q125" s="60"/>
    </row>
    <row r="126" spans="1:17" s="3" customFormat="1" ht="15" customHeight="1" x14ac:dyDescent="0.25">
      <c r="A126" s="47">
        <v>45541</v>
      </c>
      <c r="B126" s="1" t="s">
        <v>159</v>
      </c>
      <c r="C126" s="86">
        <f>2671000+53000</f>
        <v>2724000</v>
      </c>
      <c r="D126" s="44">
        <f>2724000-C126</f>
        <v>0</v>
      </c>
      <c r="E126" s="32">
        <f t="shared" si="11"/>
        <v>7655900</v>
      </c>
      <c r="F126" s="34">
        <v>500</v>
      </c>
      <c r="G126" s="103"/>
      <c r="H126" s="3">
        <f t="shared" si="10"/>
        <v>0</v>
      </c>
      <c r="I126" s="29"/>
      <c r="J126" s="55"/>
      <c r="K126" s="60"/>
      <c r="L126" s="60"/>
      <c r="M126" s="62"/>
      <c r="N126" s="60"/>
      <c r="O126" s="60"/>
      <c r="P126" s="60"/>
      <c r="Q126" s="60"/>
    </row>
    <row r="127" spans="1:17" s="3" customFormat="1" ht="15" customHeight="1" x14ac:dyDescent="0.25">
      <c r="A127" s="47">
        <v>45541</v>
      </c>
      <c r="B127" s="1" t="s">
        <v>145</v>
      </c>
      <c r="C127" s="86"/>
      <c r="D127" s="44"/>
      <c r="E127" s="32">
        <f t="shared" si="11"/>
        <v>7655900</v>
      </c>
      <c r="F127" s="34">
        <v>200</v>
      </c>
      <c r="G127" s="103"/>
      <c r="H127" s="3">
        <f t="shared" si="10"/>
        <v>0</v>
      </c>
      <c r="I127" s="29"/>
      <c r="J127" s="55"/>
      <c r="K127" s="62"/>
      <c r="L127" s="60"/>
      <c r="M127" s="62"/>
      <c r="N127" s="60"/>
      <c r="O127" s="60"/>
      <c r="P127" s="60"/>
      <c r="Q127" s="60"/>
    </row>
    <row r="128" spans="1:17" s="3" customFormat="1" ht="15" customHeight="1" x14ac:dyDescent="0.25">
      <c r="A128" s="47">
        <v>45541</v>
      </c>
      <c r="B128" s="1" t="s">
        <v>143</v>
      </c>
      <c r="C128" s="86"/>
      <c r="D128" s="44">
        <f>SUM(C120:C128)</f>
        <v>7357000</v>
      </c>
      <c r="E128" s="32">
        <f t="shared" si="11"/>
        <v>298900</v>
      </c>
      <c r="F128" s="34">
        <v>100</v>
      </c>
      <c r="G128" s="104"/>
      <c r="H128" s="3">
        <f t="shared" si="10"/>
        <v>0</v>
      </c>
      <c r="I128" s="29"/>
      <c r="J128" s="55"/>
      <c r="K128" s="62"/>
      <c r="L128" s="62"/>
      <c r="M128" s="62"/>
      <c r="N128" s="60"/>
      <c r="O128" s="60"/>
      <c r="P128" s="60"/>
      <c r="Q128" s="60"/>
    </row>
    <row r="129" spans="1:17" s="3" customFormat="1" ht="15" customHeight="1" x14ac:dyDescent="0.25">
      <c r="A129" s="47">
        <v>45541</v>
      </c>
      <c r="B129" s="1" t="s">
        <v>160</v>
      </c>
      <c r="C129" s="86"/>
      <c r="D129" s="46"/>
      <c r="E129" s="32">
        <f t="shared" si="11"/>
        <v>298900</v>
      </c>
      <c r="F129" s="1"/>
      <c r="G129" s="1"/>
      <c r="H129" s="1"/>
      <c r="I129" s="29"/>
      <c r="J129" s="55"/>
      <c r="K129" s="60"/>
      <c r="L129" s="60"/>
      <c r="M129" s="60"/>
      <c r="N129" s="60"/>
      <c r="O129" s="60"/>
      <c r="P129" s="60"/>
      <c r="Q129" s="60"/>
    </row>
    <row r="130" spans="1:17" s="3" customFormat="1" ht="15" customHeight="1" x14ac:dyDescent="0.25">
      <c r="A130" s="47">
        <v>45541</v>
      </c>
      <c r="B130" s="1"/>
      <c r="C130" s="86"/>
      <c r="D130" s="44"/>
      <c r="E130" s="32">
        <f t="shared" si="11"/>
        <v>298900</v>
      </c>
      <c r="G130" s="34"/>
      <c r="H130" s="34"/>
      <c r="I130" s="29"/>
      <c r="J130" s="55"/>
      <c r="K130" s="60"/>
      <c r="L130" s="60"/>
      <c r="M130" s="60"/>
      <c r="N130" s="60"/>
      <c r="O130" s="60"/>
      <c r="P130" s="60"/>
      <c r="Q130" s="60"/>
    </row>
    <row r="131" spans="1:17" s="3" customFormat="1" ht="15" customHeight="1" x14ac:dyDescent="0.25">
      <c r="A131" s="47">
        <v>45541</v>
      </c>
      <c r="B131" s="31" t="s">
        <v>139</v>
      </c>
      <c r="C131" s="86"/>
      <c r="D131" s="44">
        <v>192000</v>
      </c>
      <c r="E131" s="32">
        <f t="shared" si="11"/>
        <v>106900</v>
      </c>
      <c r="G131" s="34"/>
      <c r="H131" s="34"/>
      <c r="I131" s="29"/>
      <c r="J131" s="55"/>
      <c r="K131" s="60"/>
      <c r="L131" s="60"/>
      <c r="M131" s="60"/>
      <c r="N131" s="60"/>
      <c r="O131" s="60"/>
      <c r="P131" s="60"/>
      <c r="Q131" s="60"/>
    </row>
    <row r="132" spans="1:17" s="3" customFormat="1" ht="15" customHeight="1" x14ac:dyDescent="0.25">
      <c r="A132" s="47">
        <v>45541</v>
      </c>
      <c r="B132" s="47"/>
      <c r="C132" s="87"/>
      <c r="D132" s="44"/>
      <c r="E132" s="32">
        <f t="shared" si="11"/>
        <v>106900</v>
      </c>
      <c r="G132" s="34"/>
      <c r="H132" s="34"/>
      <c r="I132" s="29"/>
      <c r="J132" s="55"/>
      <c r="K132" s="60"/>
      <c r="L132" s="60"/>
      <c r="M132" s="60"/>
      <c r="N132" s="60"/>
      <c r="O132" s="60"/>
      <c r="P132" s="60"/>
      <c r="Q132" s="60"/>
    </row>
    <row r="133" spans="1:17" s="3" customFormat="1" ht="15" customHeight="1" x14ac:dyDescent="0.25">
      <c r="A133" s="47">
        <v>45541</v>
      </c>
      <c r="B133" s="82"/>
      <c r="C133" s="87"/>
      <c r="D133" s="44"/>
      <c r="E133" s="32">
        <f t="shared" si="11"/>
        <v>106900</v>
      </c>
      <c r="G133" s="34"/>
      <c r="H133" s="34"/>
      <c r="I133" s="29"/>
      <c r="J133" s="55"/>
      <c r="K133" s="60"/>
      <c r="L133" s="61"/>
      <c r="M133" s="61"/>
      <c r="N133" s="60"/>
      <c r="O133" s="60"/>
      <c r="P133" s="60"/>
      <c r="Q133" s="60"/>
    </row>
    <row r="134" spans="1:17" s="3" customFormat="1" ht="15" customHeight="1" x14ac:dyDescent="0.25">
      <c r="A134" s="47">
        <v>45541</v>
      </c>
      <c r="C134" s="87"/>
      <c r="D134" s="44"/>
      <c r="E134" s="32">
        <f t="shared" si="11"/>
        <v>106900</v>
      </c>
      <c r="G134" s="34"/>
      <c r="H134" s="34"/>
      <c r="I134" s="29"/>
      <c r="J134" s="55"/>
      <c r="K134" s="60"/>
      <c r="L134" s="63"/>
      <c r="M134" s="62"/>
      <c r="N134" s="60"/>
      <c r="O134" s="60"/>
      <c r="P134" s="60"/>
      <c r="Q134" s="60"/>
    </row>
    <row r="135" spans="1:17" s="3" customFormat="1" ht="15" customHeight="1" x14ac:dyDescent="0.25">
      <c r="A135" s="47">
        <v>45541</v>
      </c>
      <c r="B135" s="1"/>
      <c r="C135" s="88"/>
      <c r="D135" s="36"/>
      <c r="E135" s="32">
        <f t="shared" si="11"/>
        <v>106900</v>
      </c>
      <c r="F135" s="1"/>
      <c r="G135" s="34"/>
      <c r="I135" s="29"/>
      <c r="J135" s="55"/>
      <c r="K135" s="60"/>
      <c r="L135" s="60"/>
      <c r="M135" s="62"/>
      <c r="N135" s="60"/>
      <c r="O135" s="60"/>
      <c r="P135" s="60"/>
      <c r="Q135" s="60"/>
    </row>
    <row r="136" spans="1:17" s="3" customFormat="1" ht="15" customHeight="1" x14ac:dyDescent="0.25">
      <c r="A136" s="47">
        <v>45541</v>
      </c>
      <c r="B136" s="1" t="s">
        <v>143</v>
      </c>
      <c r="C136" s="89"/>
      <c r="D136" s="44"/>
      <c r="E136" s="32">
        <f t="shared" si="11"/>
        <v>106900</v>
      </c>
      <c r="F136" s="1"/>
      <c r="G136" s="34"/>
      <c r="I136" s="29"/>
      <c r="J136" s="55"/>
      <c r="K136" s="62"/>
      <c r="L136" s="60"/>
      <c r="M136" s="62"/>
      <c r="N136" s="60"/>
      <c r="O136" s="60"/>
      <c r="P136" s="60"/>
      <c r="Q136" s="60"/>
    </row>
    <row r="137" spans="1:17" s="3" customFormat="1" ht="15" customHeight="1" x14ac:dyDescent="0.25">
      <c r="A137" s="47">
        <v>45541</v>
      </c>
      <c r="B137" s="47"/>
      <c r="C137" s="90"/>
      <c r="D137" s="44"/>
      <c r="E137" s="32">
        <f t="shared" si="11"/>
        <v>106900</v>
      </c>
      <c r="F137" s="43"/>
      <c r="G137" s="34"/>
      <c r="I137" s="29"/>
      <c r="J137" s="55"/>
      <c r="K137" s="68"/>
      <c r="L137" s="62"/>
      <c r="M137" s="62"/>
      <c r="N137" s="60"/>
      <c r="O137" s="60"/>
      <c r="P137" s="60"/>
      <c r="Q137" s="60"/>
    </row>
    <row r="138" spans="1:17" s="3" customFormat="1" ht="15" customHeight="1" x14ac:dyDescent="0.25">
      <c r="A138" s="47">
        <v>45541</v>
      </c>
      <c r="B138" s="45" t="s">
        <v>136</v>
      </c>
      <c r="C138" s="86"/>
      <c r="D138" s="44"/>
      <c r="E138" s="32">
        <f t="shared" si="11"/>
        <v>106900</v>
      </c>
      <c r="F138" s="3">
        <f>SUM(H118:H134)</f>
        <v>108000</v>
      </c>
      <c r="G138" s="49"/>
      <c r="I138" s="29"/>
      <c r="J138" s="55"/>
      <c r="K138" s="60"/>
      <c r="L138" s="60"/>
      <c r="M138" s="60"/>
      <c r="N138" s="60"/>
      <c r="O138" s="60"/>
      <c r="P138" s="60"/>
      <c r="Q138" s="60"/>
    </row>
    <row r="139" spans="1:17" s="3" customFormat="1" ht="15" customHeight="1" x14ac:dyDescent="0.25">
      <c r="A139" s="47">
        <v>45541</v>
      </c>
      <c r="B139" s="4" t="s">
        <v>161</v>
      </c>
      <c r="C139" s="86">
        <f>SUM(C119:C138)</f>
        <v>7491000</v>
      </c>
      <c r="D139" s="33">
        <f>SUM(D120:D138)</f>
        <v>7549000</v>
      </c>
      <c r="E139" s="32"/>
      <c r="F139" s="25">
        <f>F138-E138</f>
        <v>1100</v>
      </c>
      <c r="G139" s="34"/>
      <c r="I139" s="29"/>
      <c r="J139" s="55"/>
      <c r="K139" s="60"/>
      <c r="L139" s="60"/>
      <c r="M139" s="60"/>
      <c r="N139" s="60"/>
      <c r="O139" s="60"/>
      <c r="P139" s="60"/>
      <c r="Q139" s="60"/>
    </row>
    <row r="140" spans="1:17" s="3" customFormat="1" ht="15" customHeight="1" x14ac:dyDescent="0.25">
      <c r="B140" s="30"/>
      <c r="C140" s="65"/>
      <c r="D140" s="8"/>
      <c r="E140" s="8"/>
      <c r="F140" s="34"/>
      <c r="G140" s="34"/>
      <c r="I140" s="29"/>
      <c r="J140" s="55"/>
      <c r="K140" s="60"/>
      <c r="L140" s="60"/>
      <c r="M140" s="60"/>
      <c r="N140" s="60"/>
      <c r="O140" s="60"/>
      <c r="P140" s="60"/>
      <c r="Q140" s="60"/>
    </row>
    <row r="141" spans="1:17" s="3" customFormat="1" ht="15" customHeight="1" x14ac:dyDescent="0.25">
      <c r="A141" s="47">
        <v>45542</v>
      </c>
      <c r="B141" s="1" t="s">
        <v>140</v>
      </c>
      <c r="C141" s="65"/>
      <c r="D141" s="8"/>
      <c r="E141" s="8">
        <v>106900</v>
      </c>
      <c r="F141" s="49">
        <v>100000</v>
      </c>
      <c r="G141" s="103">
        <f>5-4</f>
        <v>1</v>
      </c>
      <c r="H141" s="3">
        <f>G141*F141</f>
        <v>100000</v>
      </c>
      <c r="I141" s="29"/>
      <c r="J141" s="55"/>
      <c r="K141" s="60"/>
      <c r="L141" s="60"/>
      <c r="M141" s="60"/>
      <c r="N141" s="60"/>
      <c r="O141" s="60"/>
      <c r="P141" s="60"/>
      <c r="Q141" s="60"/>
    </row>
    <row r="142" spans="1:17" s="3" customFormat="1" ht="15" customHeight="1" x14ac:dyDescent="0.25">
      <c r="A142" s="47">
        <v>45542</v>
      </c>
      <c r="B142" s="31" t="s">
        <v>138</v>
      </c>
      <c r="C142" s="73">
        <f>935000+7000</f>
        <v>942000</v>
      </c>
      <c r="D142" s="44"/>
      <c r="E142" s="32">
        <f>E141+C142-D142</f>
        <v>1048900</v>
      </c>
      <c r="F142" s="3">
        <v>75000</v>
      </c>
      <c r="G142" s="103"/>
      <c r="H142" s="3">
        <f t="shared" ref="H142:H151" si="12">G142*F142</f>
        <v>0</v>
      </c>
      <c r="I142" s="29"/>
      <c r="J142" s="55"/>
      <c r="K142" s="60"/>
      <c r="L142" s="60"/>
      <c r="M142" s="60"/>
      <c r="N142" s="60"/>
      <c r="O142" s="60"/>
      <c r="P142" s="60"/>
      <c r="Q142" s="60"/>
    </row>
    <row r="143" spans="1:17" s="3" customFormat="1" ht="15" customHeight="1" x14ac:dyDescent="0.25">
      <c r="A143" s="47">
        <v>45542</v>
      </c>
      <c r="B143" s="1" t="s">
        <v>155</v>
      </c>
      <c r="C143" s="73">
        <v>40000</v>
      </c>
      <c r="D143" s="44"/>
      <c r="E143" s="32">
        <f t="shared" ref="E143:E161" si="13">E142+C143-D143</f>
        <v>1088900</v>
      </c>
      <c r="F143" s="34">
        <v>50000</v>
      </c>
      <c r="G143" s="103"/>
      <c r="H143" s="3">
        <f t="shared" si="12"/>
        <v>0</v>
      </c>
      <c r="I143" s="29"/>
      <c r="J143" s="55"/>
      <c r="K143" s="60"/>
      <c r="L143" s="60"/>
      <c r="M143" s="60"/>
      <c r="N143" s="60"/>
      <c r="O143" s="60"/>
      <c r="P143" s="60"/>
      <c r="Q143" s="60"/>
    </row>
    <row r="144" spans="1:17" s="3" customFormat="1" ht="15" customHeight="1" x14ac:dyDescent="0.25">
      <c r="A144" s="47">
        <v>45542</v>
      </c>
      <c r="B144" s="1" t="s">
        <v>156</v>
      </c>
      <c r="C144" s="73">
        <v>529000</v>
      </c>
      <c r="D144" s="44"/>
      <c r="E144" s="32">
        <f t="shared" si="13"/>
        <v>1617900</v>
      </c>
      <c r="F144" s="34">
        <v>20000</v>
      </c>
      <c r="G144" s="103">
        <v>2</v>
      </c>
      <c r="H144" s="3">
        <f t="shared" si="12"/>
        <v>40000</v>
      </c>
      <c r="I144" s="29"/>
      <c r="J144" s="55"/>
      <c r="K144" s="60"/>
      <c r="L144" s="60"/>
      <c r="M144" s="60"/>
      <c r="N144" s="60"/>
      <c r="O144" s="60"/>
      <c r="P144" s="60"/>
      <c r="Q144" s="60"/>
    </row>
    <row r="145" spans="1:17" s="3" customFormat="1" ht="15" customHeight="1" x14ac:dyDescent="0.25">
      <c r="A145" s="47">
        <v>45542</v>
      </c>
      <c r="B145" s="1" t="s">
        <v>133</v>
      </c>
      <c r="C145" s="73">
        <v>1103000</v>
      </c>
      <c r="D145" s="44"/>
      <c r="E145" s="32">
        <f t="shared" si="13"/>
        <v>2720900</v>
      </c>
      <c r="F145" s="34">
        <v>10000</v>
      </c>
      <c r="G145" s="103"/>
      <c r="H145" s="3">
        <f t="shared" si="12"/>
        <v>0</v>
      </c>
      <c r="I145" s="29"/>
      <c r="J145" s="55"/>
      <c r="K145" s="29"/>
      <c r="L145" s="60"/>
      <c r="M145" s="60"/>
      <c r="N145" s="60"/>
      <c r="O145" s="60"/>
      <c r="P145" s="60"/>
      <c r="Q145" s="60"/>
    </row>
    <row r="146" spans="1:17" s="3" customFormat="1" ht="15" customHeight="1" x14ac:dyDescent="0.25">
      <c r="A146" s="47">
        <v>45542</v>
      </c>
      <c r="B146" s="1" t="s">
        <v>150</v>
      </c>
      <c r="C146" s="73"/>
      <c r="D146" s="44"/>
      <c r="E146" s="32">
        <f t="shared" si="13"/>
        <v>2720900</v>
      </c>
      <c r="F146" s="34">
        <v>5000</v>
      </c>
      <c r="G146" s="103"/>
      <c r="H146" s="3">
        <f t="shared" si="12"/>
        <v>0</v>
      </c>
      <c r="I146" s="29"/>
      <c r="J146" s="55"/>
      <c r="K146" s="60"/>
      <c r="L146" s="60"/>
      <c r="M146" s="60"/>
      <c r="N146" s="60"/>
      <c r="O146" s="60"/>
      <c r="P146" s="60"/>
      <c r="Q146" s="60"/>
    </row>
    <row r="147" spans="1:17" s="3" customFormat="1" ht="15" customHeight="1" x14ac:dyDescent="0.25">
      <c r="A147" s="47">
        <v>45542</v>
      </c>
      <c r="B147" s="1" t="s">
        <v>146</v>
      </c>
      <c r="C147" s="73">
        <f>6135500+154000</f>
        <v>6289500</v>
      </c>
      <c r="D147" s="44"/>
      <c r="E147" s="32">
        <f t="shared" si="13"/>
        <v>9010400</v>
      </c>
      <c r="F147" s="34">
        <v>2000</v>
      </c>
      <c r="G147" s="103"/>
      <c r="H147" s="3">
        <f t="shared" si="12"/>
        <v>0</v>
      </c>
      <c r="I147" s="29"/>
      <c r="J147" s="55"/>
      <c r="K147" s="60"/>
      <c r="L147" s="60"/>
      <c r="M147" s="60"/>
      <c r="N147" s="60"/>
      <c r="O147" s="60"/>
      <c r="P147" s="60"/>
      <c r="Q147" s="60"/>
    </row>
    <row r="148" spans="1:17" s="3" customFormat="1" ht="15" customHeight="1" x14ac:dyDescent="0.25">
      <c r="A148" s="47">
        <v>45542</v>
      </c>
      <c r="B148" s="1" t="s">
        <v>157</v>
      </c>
      <c r="C148" s="86"/>
      <c r="D148" s="44"/>
      <c r="E148" s="32">
        <f t="shared" si="13"/>
        <v>9010400</v>
      </c>
      <c r="F148" s="34">
        <v>1000</v>
      </c>
      <c r="G148" s="103">
        <v>1</v>
      </c>
      <c r="H148" s="3">
        <f t="shared" si="12"/>
        <v>1000</v>
      </c>
      <c r="I148" s="29"/>
      <c r="J148" s="55"/>
      <c r="K148" s="60"/>
      <c r="L148" s="60"/>
      <c r="M148" s="60"/>
      <c r="N148" s="60"/>
      <c r="O148" s="60"/>
      <c r="P148" s="60"/>
      <c r="Q148" s="60"/>
    </row>
    <row r="149" spans="1:17" s="3" customFormat="1" ht="15" customHeight="1" x14ac:dyDescent="0.25">
      <c r="A149" s="47">
        <v>45542</v>
      </c>
      <c r="B149" s="1" t="s">
        <v>159</v>
      </c>
      <c r="C149" s="86">
        <v>2862000</v>
      </c>
      <c r="D149" s="44"/>
      <c r="E149" s="32">
        <f t="shared" si="13"/>
        <v>11872400</v>
      </c>
      <c r="F149" s="34">
        <v>500</v>
      </c>
      <c r="G149" s="103">
        <v>4</v>
      </c>
      <c r="H149" s="3">
        <f t="shared" si="12"/>
        <v>2000</v>
      </c>
      <c r="I149" s="29"/>
      <c r="J149" s="55"/>
      <c r="K149" s="69"/>
      <c r="L149" s="59"/>
      <c r="M149" s="59"/>
      <c r="N149" s="60"/>
      <c r="O149" s="60"/>
      <c r="P149" s="60"/>
      <c r="Q149" s="60"/>
    </row>
    <row r="150" spans="1:17" s="3" customFormat="1" ht="15" customHeight="1" x14ac:dyDescent="0.25">
      <c r="A150" s="47">
        <v>45542</v>
      </c>
      <c r="B150" s="1" t="s">
        <v>145</v>
      </c>
      <c r="C150" s="86">
        <v>106000</v>
      </c>
      <c r="D150" s="44"/>
      <c r="E150" s="32">
        <f t="shared" si="13"/>
        <v>11978400</v>
      </c>
      <c r="F150" s="34">
        <v>200</v>
      </c>
      <c r="G150" s="103">
        <v>6</v>
      </c>
      <c r="H150" s="3">
        <f t="shared" si="12"/>
        <v>1200</v>
      </c>
      <c r="I150" s="29"/>
      <c r="J150" s="55"/>
      <c r="K150" s="58"/>
      <c r="L150" s="60"/>
      <c r="M150" s="60"/>
      <c r="N150" s="60"/>
      <c r="O150" s="60"/>
      <c r="P150" s="60"/>
      <c r="Q150" s="60"/>
    </row>
    <row r="151" spans="1:17" s="3" customFormat="1" ht="15" customHeight="1" x14ac:dyDescent="0.25">
      <c r="A151" s="47">
        <v>45542</v>
      </c>
      <c r="B151" s="1" t="s">
        <v>143</v>
      </c>
      <c r="C151" s="86"/>
      <c r="D151" s="44">
        <f>SUM(C143:C151)</f>
        <v>10929500</v>
      </c>
      <c r="E151" s="32">
        <f t="shared" si="13"/>
        <v>1048900</v>
      </c>
      <c r="F151" s="34">
        <v>100</v>
      </c>
      <c r="G151" s="104"/>
      <c r="H151" s="3">
        <f t="shared" si="12"/>
        <v>0</v>
      </c>
      <c r="I151" s="29"/>
      <c r="J151" s="55"/>
      <c r="K151" s="59"/>
      <c r="L151" s="59"/>
      <c r="M151" s="60"/>
      <c r="N151" s="60"/>
      <c r="O151" s="60"/>
      <c r="P151" s="60"/>
      <c r="Q151" s="60"/>
    </row>
    <row r="152" spans="1:17" s="3" customFormat="1" ht="15" customHeight="1" x14ac:dyDescent="0.25">
      <c r="A152" s="47">
        <v>45542</v>
      </c>
      <c r="B152" s="1" t="s">
        <v>160</v>
      </c>
      <c r="C152" s="86">
        <v>-37000</v>
      </c>
      <c r="D152" s="46"/>
      <c r="E152" s="32">
        <f t="shared" si="13"/>
        <v>1011900</v>
      </c>
      <c r="F152" s="1"/>
      <c r="G152" s="1"/>
      <c r="H152" s="1"/>
      <c r="I152" s="29"/>
      <c r="J152" s="55"/>
      <c r="K152" s="58"/>
      <c r="L152" s="61"/>
      <c r="M152" s="61"/>
      <c r="N152" s="60"/>
      <c r="O152" s="60"/>
      <c r="P152" s="60"/>
      <c r="Q152" s="60"/>
    </row>
    <row r="153" spans="1:17" s="3" customFormat="1" ht="15" customHeight="1" x14ac:dyDescent="0.25">
      <c r="A153" s="47">
        <v>45542</v>
      </c>
      <c r="B153" s="1"/>
      <c r="C153" s="86"/>
      <c r="D153" s="44"/>
      <c r="E153" s="32">
        <f t="shared" si="13"/>
        <v>1011900</v>
      </c>
      <c r="G153" s="34"/>
      <c r="H153" s="34"/>
      <c r="I153" s="29"/>
      <c r="J153" s="55"/>
      <c r="K153" s="60"/>
      <c r="L153" s="60"/>
      <c r="M153" s="60"/>
      <c r="N153" s="60"/>
      <c r="O153" s="60"/>
      <c r="P153" s="60"/>
      <c r="Q153" s="60"/>
    </row>
    <row r="154" spans="1:17" s="3" customFormat="1" ht="15" customHeight="1" x14ac:dyDescent="0.25">
      <c r="A154" s="47">
        <v>45542</v>
      </c>
      <c r="B154" s="31" t="s">
        <v>139</v>
      </c>
      <c r="C154" s="86"/>
      <c r="D154" s="44">
        <f>299800+205000-37000</f>
        <v>467800</v>
      </c>
      <c r="E154" s="32">
        <f t="shared" si="13"/>
        <v>544100</v>
      </c>
      <c r="G154" s="34"/>
      <c r="H154" s="34"/>
      <c r="I154" s="29"/>
      <c r="J154" s="55"/>
      <c r="K154" s="60"/>
      <c r="L154" s="60"/>
      <c r="M154" s="59"/>
      <c r="N154" s="60"/>
      <c r="O154" s="60"/>
      <c r="P154" s="60"/>
      <c r="Q154" s="60"/>
    </row>
    <row r="155" spans="1:17" s="3" customFormat="1" ht="15" customHeight="1" x14ac:dyDescent="0.25">
      <c r="A155" s="47">
        <v>45542</v>
      </c>
      <c r="B155" s="47"/>
      <c r="C155" s="87"/>
      <c r="D155" s="44"/>
      <c r="E155" s="32">
        <f t="shared" si="13"/>
        <v>544100</v>
      </c>
      <c r="G155" s="34"/>
      <c r="H155" s="34"/>
      <c r="I155" s="29"/>
      <c r="J155" s="55"/>
      <c r="K155" s="59"/>
      <c r="L155" s="60"/>
      <c r="M155" s="59"/>
      <c r="N155" s="60"/>
      <c r="O155" s="60"/>
      <c r="P155" s="60"/>
      <c r="Q155" s="60"/>
    </row>
    <row r="156" spans="1:17" s="3" customFormat="1" ht="15" customHeight="1" x14ac:dyDescent="0.25">
      <c r="A156" s="47">
        <v>45542</v>
      </c>
      <c r="B156" s="82"/>
      <c r="C156" s="87"/>
      <c r="D156" s="44"/>
      <c r="E156" s="32">
        <f t="shared" si="13"/>
        <v>544100</v>
      </c>
      <c r="G156" s="34"/>
      <c r="H156" s="34"/>
      <c r="I156" s="29"/>
      <c r="J156" s="55"/>
      <c r="K156" s="59"/>
      <c r="L156" s="59"/>
      <c r="M156" s="70"/>
      <c r="N156" s="65"/>
      <c r="O156" s="60"/>
      <c r="P156" s="60"/>
      <c r="Q156" s="60"/>
    </row>
    <row r="157" spans="1:17" s="3" customFormat="1" ht="15" customHeight="1" x14ac:dyDescent="0.25">
      <c r="A157" s="47">
        <v>45542</v>
      </c>
      <c r="C157" s="87"/>
      <c r="D157" s="44"/>
      <c r="E157" s="32">
        <f t="shared" si="13"/>
        <v>544100</v>
      </c>
      <c r="G157" s="34"/>
      <c r="H157" s="34"/>
      <c r="I157" s="29"/>
      <c r="J157" s="55"/>
      <c r="K157" s="60"/>
      <c r="L157" s="60"/>
      <c r="M157" s="60"/>
      <c r="N157" s="60"/>
      <c r="O157" s="60"/>
      <c r="P157" s="60"/>
      <c r="Q157" s="60"/>
    </row>
    <row r="158" spans="1:17" s="3" customFormat="1" ht="15" customHeight="1" x14ac:dyDescent="0.25">
      <c r="A158" s="47">
        <v>45542</v>
      </c>
      <c r="B158" s="1"/>
      <c r="C158" s="88"/>
      <c r="D158" s="36"/>
      <c r="E158" s="32">
        <f t="shared" si="13"/>
        <v>544100</v>
      </c>
      <c r="F158" s="1"/>
      <c r="G158" s="34"/>
      <c r="I158" s="29"/>
      <c r="J158" s="55"/>
      <c r="K158" s="60"/>
      <c r="L158" s="60"/>
      <c r="M158" s="60"/>
      <c r="N158" s="65"/>
      <c r="O158" s="60"/>
      <c r="P158" s="60"/>
      <c r="Q158" s="60"/>
    </row>
    <row r="159" spans="1:17" s="3" customFormat="1" ht="15" customHeight="1" x14ac:dyDescent="0.25">
      <c r="A159" s="47">
        <v>45542</v>
      </c>
      <c r="B159" s="1" t="s">
        <v>143</v>
      </c>
      <c r="C159" s="89"/>
      <c r="D159" s="44"/>
      <c r="E159" s="32">
        <f t="shared" si="13"/>
        <v>544100</v>
      </c>
      <c r="F159" s="1"/>
      <c r="G159" s="34"/>
      <c r="I159" s="29"/>
      <c r="J159" s="55"/>
      <c r="K159" s="60"/>
      <c r="L159" s="60"/>
      <c r="M159" s="60"/>
      <c r="N159" s="65"/>
      <c r="O159" s="60"/>
      <c r="P159" s="60"/>
      <c r="Q159" s="60"/>
    </row>
    <row r="160" spans="1:17" s="3" customFormat="1" ht="15" customHeight="1" x14ac:dyDescent="0.25">
      <c r="A160" s="47">
        <v>45542</v>
      </c>
      <c r="B160" s="47"/>
      <c r="C160" s="90"/>
      <c r="D160" s="44"/>
      <c r="E160" s="32">
        <f t="shared" si="13"/>
        <v>544100</v>
      </c>
      <c r="F160" s="43"/>
      <c r="G160" s="34"/>
      <c r="I160" s="29"/>
      <c r="J160" s="55"/>
      <c r="K160" s="60"/>
      <c r="L160" s="60"/>
      <c r="M160" s="60"/>
      <c r="N160" s="65"/>
      <c r="O160" s="60"/>
      <c r="P160" s="60"/>
      <c r="Q160" s="60"/>
    </row>
    <row r="161" spans="1:17" s="3" customFormat="1" ht="15" customHeight="1" x14ac:dyDescent="0.25">
      <c r="A161" s="47">
        <v>45542</v>
      </c>
      <c r="B161" s="45" t="s">
        <v>136</v>
      </c>
      <c r="C161" s="86"/>
      <c r="D161" s="44">
        <v>400000</v>
      </c>
      <c r="E161" s="32">
        <f t="shared" si="13"/>
        <v>144100</v>
      </c>
      <c r="F161" s="3">
        <f>SUM(H141:H157)</f>
        <v>144200</v>
      </c>
      <c r="G161" s="49"/>
      <c r="I161" s="29"/>
      <c r="J161" s="55"/>
      <c r="K161" s="60"/>
      <c r="L161" s="60"/>
      <c r="M161" s="60"/>
      <c r="N161" s="65"/>
      <c r="O161" s="60"/>
      <c r="P161" s="60"/>
      <c r="Q161" s="60"/>
    </row>
    <row r="162" spans="1:17" s="3" customFormat="1" ht="15" customHeight="1" x14ac:dyDescent="0.25">
      <c r="A162" s="47">
        <v>45542</v>
      </c>
      <c r="B162" s="4" t="s">
        <v>161</v>
      </c>
      <c r="C162" s="86">
        <f>SUM(C142:C161)</f>
        <v>11834500</v>
      </c>
      <c r="D162" s="33">
        <f>SUM(D143:D161)</f>
        <v>11797300</v>
      </c>
      <c r="E162" s="32"/>
      <c r="F162" s="25">
        <f>F161-E161</f>
        <v>100</v>
      </c>
      <c r="G162" s="34"/>
      <c r="I162" s="29"/>
      <c r="J162" s="55"/>
      <c r="K162" s="60"/>
      <c r="L162" s="60"/>
      <c r="M162" s="60"/>
      <c r="N162" s="65"/>
      <c r="O162" s="60"/>
      <c r="P162" s="60"/>
      <c r="Q162" s="60"/>
    </row>
    <row r="163" spans="1:17" s="3" customFormat="1" ht="15" customHeight="1" x14ac:dyDescent="0.25">
      <c r="B163" s="30"/>
      <c r="C163" s="65"/>
      <c r="D163" s="8"/>
      <c r="E163" s="8"/>
      <c r="F163" s="34"/>
      <c r="G163" s="34"/>
      <c r="I163" s="29"/>
      <c r="J163" s="55"/>
      <c r="K163" s="60"/>
      <c r="L163" s="60"/>
      <c r="M163" s="60"/>
      <c r="N163" s="65"/>
      <c r="O163" s="60"/>
      <c r="P163" s="60"/>
      <c r="Q163" s="60"/>
    </row>
    <row r="164" spans="1:17" s="3" customFormat="1" ht="15" customHeight="1" x14ac:dyDescent="0.25">
      <c r="A164" s="47">
        <v>45543</v>
      </c>
      <c r="B164" s="1" t="s">
        <v>140</v>
      </c>
      <c r="C164" s="65"/>
      <c r="D164" s="8"/>
      <c r="E164" s="8">
        <v>144100</v>
      </c>
      <c r="F164" s="49">
        <v>100000</v>
      </c>
      <c r="G164" s="103">
        <f>2-2</f>
        <v>0</v>
      </c>
      <c r="H164" s="3">
        <f>G164*F164</f>
        <v>0</v>
      </c>
      <c r="I164" s="29"/>
      <c r="J164" s="55"/>
      <c r="K164" s="60"/>
      <c r="L164" s="60"/>
      <c r="M164" s="60"/>
      <c r="N164" s="65"/>
      <c r="O164" s="60"/>
      <c r="P164" s="60"/>
      <c r="Q164" s="60"/>
    </row>
    <row r="165" spans="1:17" s="3" customFormat="1" ht="15" customHeight="1" x14ac:dyDescent="0.25">
      <c r="A165" s="47">
        <v>45543</v>
      </c>
      <c r="B165" s="31" t="s">
        <v>138</v>
      </c>
      <c r="C165" s="73">
        <f>808000-3000</f>
        <v>805000</v>
      </c>
      <c r="D165" s="44"/>
      <c r="E165" s="32">
        <f>E164+C165-D165</f>
        <v>949100</v>
      </c>
      <c r="F165" s="3">
        <v>75000</v>
      </c>
      <c r="G165" s="103"/>
      <c r="H165" s="3">
        <f t="shared" ref="H165:H174" si="14">G165*F165</f>
        <v>0</v>
      </c>
      <c r="I165" s="29"/>
      <c r="J165" s="55"/>
      <c r="K165" s="60"/>
      <c r="L165" s="60"/>
      <c r="M165" s="60"/>
      <c r="N165" s="60"/>
      <c r="O165" s="71"/>
      <c r="P165" s="60"/>
      <c r="Q165" s="60"/>
    </row>
    <row r="166" spans="1:17" s="3" customFormat="1" ht="15" customHeight="1" x14ac:dyDescent="0.25">
      <c r="A166" s="47">
        <v>45543</v>
      </c>
      <c r="B166" s="1" t="s">
        <v>155</v>
      </c>
      <c r="C166" s="73">
        <v>1003000</v>
      </c>
      <c r="D166" s="44"/>
      <c r="E166" s="32">
        <f t="shared" ref="E166:E184" si="15">E165+C166-D166</f>
        <v>1952100</v>
      </c>
      <c r="F166" s="34">
        <v>50000</v>
      </c>
      <c r="G166" s="103">
        <f>8-5</f>
        <v>3</v>
      </c>
      <c r="H166" s="3">
        <f t="shared" si="14"/>
        <v>150000</v>
      </c>
      <c r="I166" s="29"/>
      <c r="J166" s="55"/>
      <c r="K166" s="60"/>
      <c r="L166" s="60"/>
      <c r="M166" s="60"/>
      <c r="N166" s="60"/>
      <c r="O166" s="60"/>
      <c r="P166" s="60"/>
      <c r="Q166" s="60"/>
    </row>
    <row r="167" spans="1:17" s="3" customFormat="1" ht="15" customHeight="1" x14ac:dyDescent="0.25">
      <c r="A167" s="47">
        <v>45543</v>
      </c>
      <c r="B167" s="1" t="s">
        <v>156</v>
      </c>
      <c r="C167" s="73">
        <v>237000</v>
      </c>
      <c r="D167" s="44"/>
      <c r="E167" s="32">
        <f t="shared" si="15"/>
        <v>2189100</v>
      </c>
      <c r="F167" s="34">
        <v>20000</v>
      </c>
      <c r="G167" s="103">
        <v>1</v>
      </c>
      <c r="H167" s="3">
        <f t="shared" si="14"/>
        <v>20000</v>
      </c>
      <c r="I167" s="29"/>
      <c r="J167" s="55"/>
      <c r="K167" s="58"/>
      <c r="L167" s="58"/>
      <c r="M167" s="58"/>
      <c r="N167" s="60"/>
      <c r="O167" s="60"/>
      <c r="P167" s="60"/>
      <c r="Q167" s="60"/>
    </row>
    <row r="168" spans="1:17" s="3" customFormat="1" ht="15" customHeight="1" x14ac:dyDescent="0.25">
      <c r="A168" s="47">
        <v>45543</v>
      </c>
      <c r="B168" s="1" t="s">
        <v>133</v>
      </c>
      <c r="C168" s="73">
        <v>1172000</v>
      </c>
      <c r="D168" s="44"/>
      <c r="E168" s="32">
        <f t="shared" si="15"/>
        <v>3361100</v>
      </c>
      <c r="F168" s="34">
        <v>10000</v>
      </c>
      <c r="G168" s="103"/>
      <c r="H168" s="3">
        <f t="shared" si="14"/>
        <v>0</v>
      </c>
      <c r="I168" s="29"/>
      <c r="J168" s="55"/>
      <c r="K168" s="60"/>
      <c r="L168" s="60"/>
      <c r="M168" s="62"/>
      <c r="N168" s="60"/>
      <c r="O168" s="71"/>
      <c r="P168" s="60"/>
      <c r="Q168" s="60"/>
    </row>
    <row r="169" spans="1:17" s="3" customFormat="1" ht="15" customHeight="1" x14ac:dyDescent="0.25">
      <c r="A169" s="47">
        <v>45543</v>
      </c>
      <c r="B169" s="1" t="s">
        <v>150</v>
      </c>
      <c r="C169" s="73"/>
      <c r="D169" s="44"/>
      <c r="E169" s="32">
        <f t="shared" si="15"/>
        <v>3361100</v>
      </c>
      <c r="F169" s="34">
        <v>5000</v>
      </c>
      <c r="G169" s="103">
        <v>1</v>
      </c>
      <c r="H169" s="3">
        <f t="shared" si="14"/>
        <v>5000</v>
      </c>
      <c r="I169" s="29"/>
      <c r="J169" s="55"/>
      <c r="K169" s="60"/>
      <c r="L169" s="60"/>
      <c r="M169" s="62"/>
      <c r="N169" s="60"/>
      <c r="O169" s="60"/>
      <c r="P169" s="60"/>
      <c r="Q169" s="60"/>
    </row>
    <row r="170" spans="1:17" s="3" customFormat="1" ht="15" customHeight="1" x14ac:dyDescent="0.25">
      <c r="A170" s="47">
        <v>45543</v>
      </c>
      <c r="B170" s="1" t="s">
        <v>146</v>
      </c>
      <c r="C170" s="73">
        <v>7063000</v>
      </c>
      <c r="D170" s="44"/>
      <c r="E170" s="32">
        <f t="shared" si="15"/>
        <v>10424100</v>
      </c>
      <c r="F170" s="34">
        <v>2000</v>
      </c>
      <c r="G170" s="103"/>
      <c r="H170" s="3">
        <f t="shared" si="14"/>
        <v>0</v>
      </c>
      <c r="I170" s="29"/>
      <c r="J170" s="55"/>
      <c r="K170" s="62"/>
      <c r="L170" s="60"/>
      <c r="M170" s="62"/>
      <c r="N170" s="60"/>
      <c r="O170" s="60"/>
      <c r="P170" s="60"/>
      <c r="Q170" s="60"/>
    </row>
    <row r="171" spans="1:17" s="3" customFormat="1" ht="15" customHeight="1" x14ac:dyDescent="0.25">
      <c r="A171" s="47">
        <v>45543</v>
      </c>
      <c r="B171" s="1" t="s">
        <v>157</v>
      </c>
      <c r="C171" s="86"/>
      <c r="D171" s="44"/>
      <c r="E171" s="32">
        <f t="shared" si="15"/>
        <v>10424100</v>
      </c>
      <c r="F171" s="34">
        <v>1000</v>
      </c>
      <c r="G171" s="103"/>
      <c r="H171" s="3">
        <f t="shared" si="14"/>
        <v>0</v>
      </c>
      <c r="I171" s="29"/>
      <c r="J171" s="55"/>
      <c r="K171" s="62"/>
      <c r="L171" s="62"/>
      <c r="M171" s="60"/>
      <c r="N171" s="60"/>
      <c r="O171" s="60"/>
      <c r="P171" s="60"/>
      <c r="Q171" s="60"/>
    </row>
    <row r="172" spans="1:17" s="3" customFormat="1" ht="15" customHeight="1" x14ac:dyDescent="0.25">
      <c r="A172" s="47">
        <v>45543</v>
      </c>
      <c r="B172" s="1" t="s">
        <v>159</v>
      </c>
      <c r="C172" s="86">
        <v>1619200</v>
      </c>
      <c r="D172" s="44"/>
      <c r="E172" s="32">
        <f t="shared" si="15"/>
        <v>12043300</v>
      </c>
      <c r="F172" s="34">
        <v>500</v>
      </c>
      <c r="G172" s="103"/>
      <c r="H172" s="3">
        <f t="shared" si="14"/>
        <v>0</v>
      </c>
      <c r="I172" s="29"/>
      <c r="J172" s="55"/>
      <c r="K172" s="60"/>
      <c r="L172" s="60"/>
      <c r="M172" s="60"/>
      <c r="N172" s="60"/>
      <c r="O172" s="60"/>
      <c r="P172" s="60"/>
      <c r="Q172" s="60"/>
    </row>
    <row r="173" spans="1:17" s="3" customFormat="1" ht="15" customHeight="1" x14ac:dyDescent="0.25">
      <c r="A173" s="47">
        <v>45543</v>
      </c>
      <c r="B173" s="1" t="s">
        <v>145</v>
      </c>
      <c r="C173" s="86"/>
      <c r="D173" s="44"/>
      <c r="E173" s="32">
        <f t="shared" si="15"/>
        <v>12043300</v>
      </c>
      <c r="F173" s="34">
        <v>200</v>
      </c>
      <c r="G173" s="103">
        <v>4</v>
      </c>
      <c r="H173" s="3">
        <f t="shared" si="14"/>
        <v>800</v>
      </c>
      <c r="I173" s="29"/>
      <c r="J173" s="55"/>
      <c r="K173" s="60"/>
      <c r="L173" s="60"/>
      <c r="M173" s="60"/>
      <c r="N173" s="60"/>
      <c r="O173" s="60"/>
      <c r="P173" s="60"/>
      <c r="Q173" s="60"/>
    </row>
    <row r="174" spans="1:17" s="3" customFormat="1" ht="15" customHeight="1" x14ac:dyDescent="0.25">
      <c r="A174" s="47">
        <v>45543</v>
      </c>
      <c r="B174" s="1" t="s">
        <v>143</v>
      </c>
      <c r="C174" s="86"/>
      <c r="D174" s="44">
        <f>SUM(C166:C174)</f>
        <v>11094200</v>
      </c>
      <c r="E174" s="32">
        <f t="shared" si="15"/>
        <v>949100</v>
      </c>
      <c r="F174" s="34">
        <v>100</v>
      </c>
      <c r="G174" s="104"/>
      <c r="H174" s="3">
        <f t="shared" si="14"/>
        <v>0</v>
      </c>
      <c r="I174" s="29"/>
      <c r="J174" s="55"/>
      <c r="K174" s="60"/>
      <c r="L174" s="60"/>
      <c r="M174" s="60"/>
      <c r="N174" s="60"/>
      <c r="O174" s="60"/>
      <c r="P174" s="60"/>
      <c r="Q174" s="60"/>
    </row>
    <row r="175" spans="1:17" s="3" customFormat="1" ht="15" customHeight="1" x14ac:dyDescent="0.25">
      <c r="A175" s="47">
        <v>45543</v>
      </c>
      <c r="B175" s="1" t="s">
        <v>160</v>
      </c>
      <c r="C175" s="86"/>
      <c r="D175" s="46"/>
      <c r="E175" s="32">
        <f t="shared" si="15"/>
        <v>949100</v>
      </c>
      <c r="F175" s="1"/>
      <c r="G175" s="1"/>
      <c r="H175" s="1"/>
      <c r="I175" s="29"/>
      <c r="J175" s="55"/>
      <c r="K175" s="64"/>
      <c r="L175" s="60"/>
      <c r="M175" s="60"/>
      <c r="N175" s="60"/>
      <c r="O175" s="60"/>
      <c r="P175" s="60"/>
      <c r="Q175" s="60"/>
    </row>
    <row r="176" spans="1:17" s="3" customFormat="1" ht="15" customHeight="1" x14ac:dyDescent="0.25">
      <c r="A176" s="47">
        <v>45543</v>
      </c>
      <c r="B176" s="1"/>
      <c r="C176" s="86"/>
      <c r="D176" s="44"/>
      <c r="E176" s="32">
        <f t="shared" si="15"/>
        <v>949100</v>
      </c>
      <c r="G176" s="34"/>
      <c r="H176" s="34"/>
      <c r="I176" s="29"/>
      <c r="J176" s="55"/>
      <c r="K176" s="58"/>
      <c r="L176" s="61"/>
      <c r="M176" s="61"/>
      <c r="N176" s="60"/>
      <c r="O176" s="60"/>
      <c r="P176" s="60"/>
      <c r="Q176" s="60"/>
    </row>
    <row r="177" spans="1:17" s="3" customFormat="1" ht="15" customHeight="1" x14ac:dyDescent="0.25">
      <c r="A177" s="47">
        <v>45543</v>
      </c>
      <c r="B177" s="31" t="s">
        <v>139</v>
      </c>
      <c r="C177" s="86"/>
      <c r="D177" s="44">
        <v>324400</v>
      </c>
      <c r="E177" s="32">
        <f t="shared" si="15"/>
        <v>624700</v>
      </c>
      <c r="G177" s="34"/>
      <c r="H177" s="34"/>
      <c r="I177" s="29"/>
      <c r="J177" s="55"/>
      <c r="K177" s="60"/>
      <c r="L177" s="60"/>
      <c r="M177" s="62"/>
      <c r="N177" s="60"/>
      <c r="O177" s="60"/>
      <c r="P177" s="60"/>
      <c r="Q177" s="60"/>
    </row>
    <row r="178" spans="1:17" s="3" customFormat="1" ht="15" customHeight="1" x14ac:dyDescent="0.25">
      <c r="A178" s="47">
        <v>45543</v>
      </c>
      <c r="B178" s="47"/>
      <c r="C178" s="87"/>
      <c r="D178" s="44"/>
      <c r="E178" s="32">
        <f t="shared" si="15"/>
        <v>624700</v>
      </c>
      <c r="G178" s="34"/>
      <c r="H178" s="34"/>
      <c r="I178" s="29"/>
      <c r="J178" s="55"/>
      <c r="K178" s="60"/>
      <c r="L178" s="60"/>
      <c r="M178" s="62"/>
      <c r="N178" s="60"/>
      <c r="O178" s="60"/>
      <c r="P178" s="60"/>
      <c r="Q178" s="60"/>
    </row>
    <row r="179" spans="1:17" s="3" customFormat="1" ht="15" customHeight="1" x14ac:dyDescent="0.25">
      <c r="A179" s="47">
        <v>45543</v>
      </c>
      <c r="B179" s="82"/>
      <c r="C179" s="87"/>
      <c r="D179" s="44"/>
      <c r="E179" s="32">
        <f t="shared" si="15"/>
        <v>624700</v>
      </c>
      <c r="G179" s="34"/>
      <c r="H179" s="34"/>
      <c r="I179" s="29"/>
      <c r="J179" s="55"/>
      <c r="K179" s="60"/>
      <c r="L179" s="60"/>
      <c r="M179" s="62"/>
      <c r="N179" s="60"/>
      <c r="O179" s="60"/>
      <c r="P179" s="60"/>
      <c r="Q179" s="60"/>
    </row>
    <row r="180" spans="1:17" s="3" customFormat="1" ht="15" customHeight="1" x14ac:dyDescent="0.25">
      <c r="A180" s="47">
        <v>45543</v>
      </c>
      <c r="C180" s="87"/>
      <c r="D180" s="44"/>
      <c r="E180" s="32">
        <f t="shared" si="15"/>
        <v>624700</v>
      </c>
      <c r="G180" s="34"/>
      <c r="H180" s="34"/>
      <c r="I180" s="29"/>
      <c r="J180" s="55"/>
      <c r="K180" s="62"/>
      <c r="L180" s="60"/>
      <c r="M180" s="62"/>
      <c r="N180" s="60"/>
      <c r="O180" s="60"/>
      <c r="P180" s="60"/>
      <c r="Q180" s="60"/>
    </row>
    <row r="181" spans="1:17" s="3" customFormat="1" ht="15" customHeight="1" x14ac:dyDescent="0.25">
      <c r="A181" s="47">
        <v>45543</v>
      </c>
      <c r="B181" s="1"/>
      <c r="C181" s="88"/>
      <c r="D181" s="36"/>
      <c r="E181" s="32">
        <f t="shared" si="15"/>
        <v>624700</v>
      </c>
      <c r="F181" s="1"/>
      <c r="G181" s="34"/>
      <c r="I181" s="29"/>
      <c r="J181" s="55"/>
      <c r="K181" s="62"/>
      <c r="L181" s="62"/>
      <c r="M181" s="62"/>
      <c r="N181" s="60"/>
      <c r="O181" s="60"/>
      <c r="P181" s="60"/>
      <c r="Q181" s="60"/>
    </row>
    <row r="182" spans="1:17" s="3" customFormat="1" ht="15" customHeight="1" x14ac:dyDescent="0.25">
      <c r="A182" s="47">
        <v>45543</v>
      </c>
      <c r="B182" s="1" t="s">
        <v>143</v>
      </c>
      <c r="C182" s="89"/>
      <c r="D182" s="44"/>
      <c r="E182" s="32">
        <f t="shared" si="15"/>
        <v>624700</v>
      </c>
      <c r="F182" s="1"/>
      <c r="G182" s="34"/>
      <c r="I182" s="29"/>
      <c r="J182" s="55"/>
      <c r="K182" s="60"/>
      <c r="L182" s="60"/>
      <c r="M182" s="60"/>
      <c r="N182" s="60"/>
      <c r="O182" s="60"/>
      <c r="P182" s="60"/>
      <c r="Q182" s="60"/>
    </row>
    <row r="183" spans="1:17" s="3" customFormat="1" ht="15" customHeight="1" x14ac:dyDescent="0.25">
      <c r="A183" s="47">
        <v>45543</v>
      </c>
      <c r="B183" s="47"/>
      <c r="C183" s="90"/>
      <c r="D183" s="44"/>
      <c r="E183" s="32">
        <f t="shared" si="15"/>
        <v>624700</v>
      </c>
      <c r="F183" s="43"/>
      <c r="G183" s="34"/>
      <c r="I183" s="29"/>
      <c r="J183" s="55"/>
      <c r="K183" s="60"/>
      <c r="L183" s="60"/>
      <c r="M183" s="60"/>
      <c r="N183" s="60"/>
      <c r="O183" s="60"/>
      <c r="P183" s="60"/>
      <c r="Q183" s="60"/>
    </row>
    <row r="184" spans="1:17" s="3" customFormat="1" ht="15" customHeight="1" x14ac:dyDescent="0.25">
      <c r="A184" s="47">
        <v>45543</v>
      </c>
      <c r="B184" s="45" t="s">
        <v>136</v>
      </c>
      <c r="C184" s="86"/>
      <c r="D184" s="44">
        <v>450000</v>
      </c>
      <c r="E184" s="32">
        <f t="shared" si="15"/>
        <v>174700</v>
      </c>
      <c r="F184" s="3">
        <f>SUM(H164:H180)</f>
        <v>175800</v>
      </c>
      <c r="G184" s="49"/>
      <c r="I184" s="29"/>
      <c r="J184" s="55"/>
      <c r="K184" s="60"/>
      <c r="L184" s="60"/>
      <c r="M184" s="60"/>
      <c r="N184" s="60"/>
      <c r="O184" s="60"/>
      <c r="P184" s="60"/>
      <c r="Q184" s="60"/>
    </row>
    <row r="185" spans="1:17" s="3" customFormat="1" ht="15" customHeight="1" x14ac:dyDescent="0.25">
      <c r="A185" s="47">
        <v>45543</v>
      </c>
      <c r="B185" s="4" t="s">
        <v>161</v>
      </c>
      <c r="C185" s="86">
        <f>SUM(C165:C184)</f>
        <v>11899200</v>
      </c>
      <c r="D185" s="33">
        <f>SUM(D166:D184)</f>
        <v>11868600</v>
      </c>
      <c r="E185" s="32"/>
      <c r="F185" s="25">
        <f>F184-E184</f>
        <v>1100</v>
      </c>
      <c r="G185" s="34"/>
      <c r="I185" s="29"/>
      <c r="J185" s="55"/>
      <c r="K185" s="60"/>
      <c r="L185" s="60"/>
      <c r="M185" s="60"/>
      <c r="N185" s="60"/>
      <c r="O185" s="60"/>
      <c r="P185" s="60"/>
      <c r="Q185" s="60"/>
    </row>
    <row r="186" spans="1:17" s="3" customFormat="1" ht="15" customHeight="1" x14ac:dyDescent="0.25">
      <c r="B186" s="45"/>
      <c r="C186" s="86"/>
      <c r="D186" s="44"/>
      <c r="E186" s="32"/>
      <c r="G186" s="49"/>
      <c r="I186" s="29"/>
      <c r="J186" s="55"/>
      <c r="K186" s="60"/>
      <c r="L186" s="60"/>
      <c r="M186" s="60"/>
      <c r="N186" s="60"/>
      <c r="O186" s="60"/>
      <c r="P186" s="60"/>
      <c r="Q186" s="60"/>
    </row>
    <row r="187" spans="1:17" s="3" customFormat="1" ht="15" customHeight="1" x14ac:dyDescent="0.25">
      <c r="A187" s="47">
        <v>45544</v>
      </c>
      <c r="B187" s="1" t="s">
        <v>140</v>
      </c>
      <c r="C187" s="65"/>
      <c r="D187" s="8"/>
      <c r="E187" s="8">
        <v>174700</v>
      </c>
      <c r="F187" s="49">
        <v>100000</v>
      </c>
      <c r="G187" s="103"/>
      <c r="H187" s="3">
        <f>G187*F187</f>
        <v>0</v>
      </c>
      <c r="I187" s="29"/>
      <c r="J187" s="55"/>
      <c r="K187" s="60"/>
      <c r="L187" s="60"/>
      <c r="M187" s="60"/>
      <c r="N187" s="60"/>
      <c r="O187" s="60"/>
      <c r="P187" s="60"/>
      <c r="Q187" s="60"/>
    </row>
    <row r="188" spans="1:17" s="3" customFormat="1" ht="15" customHeight="1" x14ac:dyDescent="0.25">
      <c r="A188" s="47">
        <v>45544</v>
      </c>
      <c r="B188" s="31" t="s">
        <v>138</v>
      </c>
      <c r="C188" s="73"/>
      <c r="D188" s="44"/>
      <c r="E188" s="32">
        <f>E187+C188-D188</f>
        <v>174700</v>
      </c>
      <c r="F188" s="3">
        <v>75000</v>
      </c>
      <c r="G188" s="103"/>
      <c r="H188" s="3">
        <f t="shared" ref="H188:H197" si="16">G188*F188</f>
        <v>0</v>
      </c>
      <c r="I188" s="29"/>
      <c r="J188" s="55"/>
      <c r="K188" s="60"/>
      <c r="L188" s="60"/>
      <c r="M188" s="60"/>
      <c r="N188" s="60"/>
      <c r="O188" s="60"/>
      <c r="P188" s="60"/>
      <c r="Q188" s="60"/>
    </row>
    <row r="189" spans="1:17" s="3" customFormat="1" ht="15" customHeight="1" x14ac:dyDescent="0.25">
      <c r="A189" s="47">
        <v>45544</v>
      </c>
      <c r="B189" s="1" t="s">
        <v>155</v>
      </c>
      <c r="C189" s="73">
        <v>657000</v>
      </c>
      <c r="D189" s="44"/>
      <c r="E189" s="32">
        <f t="shared" ref="E189:E207" si="17">E188+C189-D189</f>
        <v>831700</v>
      </c>
      <c r="F189" s="34">
        <v>50000</v>
      </c>
      <c r="G189" s="103"/>
      <c r="H189" s="3">
        <f t="shared" si="16"/>
        <v>0</v>
      </c>
      <c r="I189" s="29"/>
      <c r="J189" s="55"/>
      <c r="K189" s="61"/>
      <c r="L189" s="61"/>
      <c r="M189" s="61"/>
      <c r="N189" s="65"/>
      <c r="O189" s="60"/>
      <c r="P189" s="60"/>
      <c r="Q189" s="60"/>
    </row>
    <row r="190" spans="1:17" s="3" customFormat="1" ht="15" customHeight="1" x14ac:dyDescent="0.25">
      <c r="A190" s="47">
        <v>45544</v>
      </c>
      <c r="B190" s="1" t="s">
        <v>156</v>
      </c>
      <c r="C190" s="73"/>
      <c r="D190" s="44"/>
      <c r="E190" s="32">
        <f t="shared" si="17"/>
        <v>831700</v>
      </c>
      <c r="F190" s="34">
        <v>20000</v>
      </c>
      <c r="G190" s="103"/>
      <c r="H190" s="3">
        <f t="shared" si="16"/>
        <v>0</v>
      </c>
      <c r="I190" s="29"/>
      <c r="J190" s="55"/>
      <c r="K190" s="60"/>
      <c r="L190" s="60"/>
      <c r="M190" s="59"/>
      <c r="N190" s="65"/>
      <c r="O190" s="60"/>
      <c r="P190" s="60"/>
      <c r="Q190" s="60"/>
    </row>
    <row r="191" spans="1:17" s="3" customFormat="1" ht="15" customHeight="1" x14ac:dyDescent="0.25">
      <c r="A191" s="47">
        <v>45544</v>
      </c>
      <c r="B191" s="1" t="s">
        <v>133</v>
      </c>
      <c r="C191" s="73">
        <v>705500</v>
      </c>
      <c r="D191" s="44"/>
      <c r="E191" s="32">
        <f t="shared" si="17"/>
        <v>1537200</v>
      </c>
      <c r="F191" s="34">
        <v>10000</v>
      </c>
      <c r="G191" s="103">
        <v>4</v>
      </c>
      <c r="H191" s="3">
        <f t="shared" si="16"/>
        <v>40000</v>
      </c>
      <c r="I191" s="29"/>
      <c r="J191" s="55"/>
      <c r="K191" s="60"/>
      <c r="L191" s="60"/>
      <c r="M191" s="59"/>
      <c r="N191" s="65"/>
      <c r="O191" s="60"/>
      <c r="P191" s="60"/>
      <c r="Q191" s="60"/>
    </row>
    <row r="192" spans="1:17" s="3" customFormat="1" ht="15" customHeight="1" x14ac:dyDescent="0.25">
      <c r="A192" s="47">
        <v>45544</v>
      </c>
      <c r="B192" s="1" t="s">
        <v>150</v>
      </c>
      <c r="C192" s="73">
        <f>6819000+154000</f>
        <v>6973000</v>
      </c>
      <c r="D192" s="44"/>
      <c r="E192" s="32">
        <f t="shared" si="17"/>
        <v>8510200</v>
      </c>
      <c r="F192" s="34">
        <v>5000</v>
      </c>
      <c r="G192" s="103">
        <v>8</v>
      </c>
      <c r="H192" s="3">
        <f t="shared" si="16"/>
        <v>40000</v>
      </c>
      <c r="I192" s="29"/>
      <c r="J192" s="55"/>
      <c r="K192" s="59"/>
      <c r="L192" s="60"/>
      <c r="M192" s="59"/>
      <c r="N192" s="65"/>
      <c r="O192" s="60"/>
      <c r="P192" s="60"/>
      <c r="Q192" s="60"/>
    </row>
    <row r="193" spans="1:17" s="3" customFormat="1" ht="15" customHeight="1" x14ac:dyDescent="0.25">
      <c r="A193" s="47">
        <v>45544</v>
      </c>
      <c r="B193" s="1" t="s">
        <v>146</v>
      </c>
      <c r="C193" s="73">
        <f>123200</f>
        <v>123200</v>
      </c>
      <c r="D193" s="44"/>
      <c r="E193" s="32">
        <f t="shared" si="17"/>
        <v>8633400</v>
      </c>
      <c r="F193" s="34">
        <v>2000</v>
      </c>
      <c r="G193" s="103">
        <v>1</v>
      </c>
      <c r="H193" s="3">
        <f t="shared" si="16"/>
        <v>2000</v>
      </c>
      <c r="I193" s="29"/>
      <c r="J193" s="55"/>
      <c r="K193" s="59"/>
      <c r="L193" s="59"/>
      <c r="M193" s="59"/>
      <c r="N193" s="65"/>
      <c r="O193" s="60"/>
      <c r="P193" s="60"/>
      <c r="Q193" s="60"/>
    </row>
    <row r="194" spans="1:17" s="3" customFormat="1" ht="15" customHeight="1" x14ac:dyDescent="0.25">
      <c r="A194" s="47">
        <v>45544</v>
      </c>
      <c r="B194" s="1" t="s">
        <v>157</v>
      </c>
      <c r="C194" s="86"/>
      <c r="D194" s="44"/>
      <c r="E194" s="32">
        <f t="shared" si="17"/>
        <v>8633400</v>
      </c>
      <c r="F194" s="34">
        <v>1000</v>
      </c>
      <c r="G194" s="103">
        <v>1</v>
      </c>
      <c r="H194" s="3">
        <f t="shared" si="16"/>
        <v>1000</v>
      </c>
      <c r="I194" s="29"/>
      <c r="J194" s="55"/>
      <c r="K194" s="60"/>
      <c r="L194" s="60"/>
      <c r="M194" s="60"/>
      <c r="N194" s="65"/>
      <c r="O194" s="60"/>
      <c r="P194" s="60"/>
      <c r="Q194" s="60"/>
    </row>
    <row r="195" spans="1:17" s="3" customFormat="1" ht="15" customHeight="1" x14ac:dyDescent="0.25">
      <c r="A195" s="47">
        <v>45544</v>
      </c>
      <c r="B195" s="1" t="s">
        <v>159</v>
      </c>
      <c r="C195" s="86">
        <v>1324000</v>
      </c>
      <c r="D195" s="44"/>
      <c r="E195" s="32">
        <f t="shared" si="17"/>
        <v>9957400</v>
      </c>
      <c r="F195" s="34">
        <v>500</v>
      </c>
      <c r="G195" s="103"/>
      <c r="H195" s="3">
        <f t="shared" si="16"/>
        <v>0</v>
      </c>
      <c r="I195" s="29"/>
      <c r="J195" s="55"/>
      <c r="K195" s="60"/>
      <c r="L195" s="60"/>
      <c r="M195" s="60"/>
      <c r="N195" s="65"/>
      <c r="O195" s="60"/>
      <c r="P195" s="60"/>
      <c r="Q195" s="60"/>
    </row>
    <row r="196" spans="1:17" s="3" customFormat="1" ht="15" customHeight="1" x14ac:dyDescent="0.25">
      <c r="A196" s="47">
        <v>45544</v>
      </c>
      <c r="B196" s="1" t="s">
        <v>145</v>
      </c>
      <c r="C196" s="86"/>
      <c r="D196" s="44"/>
      <c r="E196" s="32">
        <f t="shared" si="17"/>
        <v>9957400</v>
      </c>
      <c r="F196" s="34">
        <v>200</v>
      </c>
      <c r="G196" s="103">
        <v>4</v>
      </c>
      <c r="H196" s="3">
        <f t="shared" si="16"/>
        <v>800</v>
      </c>
      <c r="I196" s="29"/>
      <c r="J196" s="55"/>
      <c r="K196" s="60"/>
      <c r="L196" s="60"/>
      <c r="M196" s="60"/>
      <c r="N196" s="65"/>
      <c r="O196" s="60"/>
      <c r="P196" s="60"/>
      <c r="Q196" s="60"/>
    </row>
    <row r="197" spans="1:17" s="3" customFormat="1" ht="15" customHeight="1" x14ac:dyDescent="0.25">
      <c r="A197" s="47">
        <v>45544</v>
      </c>
      <c r="B197" s="1" t="s">
        <v>143</v>
      </c>
      <c r="C197" s="86"/>
      <c r="D197" s="44">
        <f>SUM(C189:C197)</f>
        <v>9782700</v>
      </c>
      <c r="E197" s="32">
        <f t="shared" si="17"/>
        <v>174700</v>
      </c>
      <c r="F197" s="34">
        <v>100</v>
      </c>
      <c r="G197" s="104"/>
      <c r="H197" s="3">
        <f t="shared" si="16"/>
        <v>0</v>
      </c>
      <c r="I197" s="29"/>
      <c r="J197" s="55"/>
      <c r="K197" s="60"/>
      <c r="L197" s="60"/>
      <c r="M197" s="60"/>
      <c r="N197" s="65"/>
      <c r="O197" s="60"/>
      <c r="P197" s="60"/>
      <c r="Q197" s="60"/>
    </row>
    <row r="198" spans="1:17" s="3" customFormat="1" ht="15" customHeight="1" x14ac:dyDescent="0.25">
      <c r="A198" s="47">
        <v>45544</v>
      </c>
      <c r="B198" s="1" t="s">
        <v>160</v>
      </c>
      <c r="C198" s="86"/>
      <c r="D198" s="46"/>
      <c r="E198" s="32">
        <f t="shared" si="17"/>
        <v>174700</v>
      </c>
      <c r="F198" s="1"/>
      <c r="G198" s="1"/>
      <c r="H198" s="1"/>
      <c r="I198" s="29"/>
      <c r="J198" s="55"/>
      <c r="K198" s="60"/>
      <c r="L198" s="60"/>
      <c r="M198" s="60"/>
      <c r="N198" s="65"/>
      <c r="O198" s="60"/>
      <c r="P198" s="60"/>
      <c r="Q198" s="60"/>
    </row>
    <row r="199" spans="1:17" s="3" customFormat="1" ht="15" customHeight="1" x14ac:dyDescent="0.25">
      <c r="A199" s="47">
        <v>45544</v>
      </c>
      <c r="B199" s="1"/>
      <c r="C199" s="86"/>
      <c r="D199" s="44"/>
      <c r="E199" s="32">
        <f t="shared" si="17"/>
        <v>174700</v>
      </c>
      <c r="G199" s="34"/>
      <c r="H199" s="34"/>
      <c r="I199" s="29"/>
      <c r="J199" s="55"/>
      <c r="K199" s="60"/>
      <c r="L199" s="60"/>
      <c r="M199" s="60"/>
      <c r="N199" s="65"/>
      <c r="O199" s="60"/>
      <c r="P199" s="60"/>
      <c r="Q199" s="60"/>
    </row>
    <row r="200" spans="1:17" s="3" customFormat="1" ht="15" customHeight="1" x14ac:dyDescent="0.25">
      <c r="A200" s="47">
        <v>45544</v>
      </c>
      <c r="B200" s="31" t="s">
        <v>139</v>
      </c>
      <c r="C200" s="86">
        <v>250000</v>
      </c>
      <c r="D200" s="44">
        <v>341000</v>
      </c>
      <c r="E200" s="32">
        <f t="shared" si="17"/>
        <v>83700</v>
      </c>
      <c r="G200" s="34"/>
      <c r="H200" s="34"/>
      <c r="I200" s="29"/>
      <c r="J200" s="55"/>
      <c r="K200" s="60"/>
      <c r="L200" s="60"/>
      <c r="M200" s="60"/>
      <c r="N200" s="65"/>
      <c r="O200" s="60"/>
      <c r="P200" s="60"/>
      <c r="Q200" s="60"/>
    </row>
    <row r="201" spans="1:17" s="3" customFormat="1" ht="15" customHeight="1" x14ac:dyDescent="0.25">
      <c r="A201" s="47">
        <v>45544</v>
      </c>
      <c r="B201" s="47"/>
      <c r="C201" s="87"/>
      <c r="D201" s="44"/>
      <c r="E201" s="32">
        <f t="shared" si="17"/>
        <v>83700</v>
      </c>
      <c r="G201" s="34"/>
      <c r="H201" s="34"/>
      <c r="I201" s="29"/>
      <c r="J201" s="55"/>
      <c r="K201" s="60"/>
      <c r="L201" s="60"/>
      <c r="M201" s="60"/>
      <c r="N201" s="65"/>
      <c r="O201" s="60"/>
      <c r="P201" s="60"/>
      <c r="Q201" s="60"/>
    </row>
    <row r="202" spans="1:17" s="3" customFormat="1" ht="15" customHeight="1" x14ac:dyDescent="0.25">
      <c r="A202" s="47">
        <v>45544</v>
      </c>
      <c r="B202" s="82"/>
      <c r="C202" s="87"/>
      <c r="D202" s="44"/>
      <c r="E202" s="32">
        <f t="shared" si="17"/>
        <v>83700</v>
      </c>
      <c r="G202" s="34"/>
      <c r="H202" s="34"/>
      <c r="I202" s="29"/>
      <c r="J202" s="55"/>
      <c r="K202" s="60"/>
      <c r="L202" s="60"/>
      <c r="M202" s="60"/>
      <c r="N202" s="65"/>
      <c r="O202" s="60"/>
      <c r="P202" s="60"/>
      <c r="Q202" s="60"/>
    </row>
    <row r="203" spans="1:17" s="3" customFormat="1" ht="15" customHeight="1" x14ac:dyDescent="0.25">
      <c r="A203" s="47">
        <v>45544</v>
      </c>
      <c r="C203" s="87"/>
      <c r="D203" s="44"/>
      <c r="E203" s="32">
        <f t="shared" si="17"/>
        <v>83700</v>
      </c>
      <c r="G203" s="34"/>
      <c r="H203" s="34"/>
      <c r="I203" s="29"/>
      <c r="J203" s="55"/>
      <c r="K203" s="60"/>
      <c r="L203" s="60"/>
      <c r="M203" s="60"/>
      <c r="N203" s="65"/>
      <c r="O203" s="60"/>
      <c r="P203" s="60"/>
      <c r="Q203" s="60"/>
    </row>
    <row r="204" spans="1:17" s="3" customFormat="1" ht="15" customHeight="1" x14ac:dyDescent="0.25">
      <c r="A204" s="47">
        <v>45544</v>
      </c>
      <c r="B204" s="1"/>
      <c r="C204" s="88"/>
      <c r="D204" s="36"/>
      <c r="E204" s="32">
        <f t="shared" si="17"/>
        <v>83700</v>
      </c>
      <c r="F204" s="1"/>
      <c r="G204" s="34"/>
      <c r="I204" s="29"/>
      <c r="J204" s="55"/>
      <c r="K204" s="60"/>
      <c r="L204" s="60"/>
      <c r="M204" s="60"/>
      <c r="N204" s="65"/>
      <c r="O204" s="60"/>
      <c r="P204" s="60"/>
      <c r="Q204" s="60"/>
    </row>
    <row r="205" spans="1:17" s="3" customFormat="1" ht="15" customHeight="1" x14ac:dyDescent="0.25">
      <c r="A205" s="47">
        <v>45544</v>
      </c>
      <c r="B205" s="1" t="s">
        <v>143</v>
      </c>
      <c r="C205" s="89"/>
      <c r="D205" s="44"/>
      <c r="E205" s="32">
        <f t="shared" si="17"/>
        <v>83700</v>
      </c>
      <c r="F205" s="1"/>
      <c r="G205" s="34"/>
      <c r="I205" s="29"/>
      <c r="J205" s="55"/>
      <c r="K205" s="60"/>
      <c r="L205" s="60"/>
      <c r="M205" s="60"/>
      <c r="N205" s="65"/>
      <c r="O205" s="60"/>
      <c r="P205" s="60"/>
      <c r="Q205" s="60"/>
    </row>
    <row r="206" spans="1:17" s="3" customFormat="1" ht="15" customHeight="1" x14ac:dyDescent="0.25">
      <c r="A206" s="47">
        <v>45544</v>
      </c>
      <c r="B206" s="47"/>
      <c r="C206" s="90"/>
      <c r="D206" s="44"/>
      <c r="E206" s="32">
        <f t="shared" si="17"/>
        <v>83700</v>
      </c>
      <c r="F206" s="43"/>
      <c r="G206" s="34"/>
      <c r="I206" s="29"/>
      <c r="J206" s="55"/>
      <c r="K206" s="61"/>
      <c r="L206" s="61"/>
      <c r="M206" s="61"/>
      <c r="N206" s="65"/>
      <c r="O206" s="60"/>
      <c r="P206" s="60"/>
      <c r="Q206" s="60"/>
    </row>
    <row r="207" spans="1:17" s="3" customFormat="1" ht="15" customHeight="1" x14ac:dyDescent="0.25">
      <c r="A207" s="47">
        <v>45544</v>
      </c>
      <c r="B207" s="45" t="s">
        <v>136</v>
      </c>
      <c r="C207" s="86"/>
      <c r="D207" s="44"/>
      <c r="E207" s="32">
        <f t="shared" si="17"/>
        <v>83700</v>
      </c>
      <c r="F207" s="3">
        <f>SUM(H187:H203)</f>
        <v>83800</v>
      </c>
      <c r="G207" s="49"/>
      <c r="I207" s="29"/>
      <c r="J207" s="55"/>
      <c r="K207" s="60"/>
      <c r="L207" s="60"/>
      <c r="M207" s="62"/>
      <c r="N207" s="65"/>
      <c r="O207" s="60"/>
      <c r="P207" s="60"/>
      <c r="Q207" s="60"/>
    </row>
    <row r="208" spans="1:17" s="3" customFormat="1" ht="15" customHeight="1" x14ac:dyDescent="0.25">
      <c r="A208" s="47">
        <v>45544</v>
      </c>
      <c r="B208" s="4" t="s">
        <v>161</v>
      </c>
      <c r="C208" s="86">
        <f>SUM(C188:C207)</f>
        <v>10032700</v>
      </c>
      <c r="D208" s="33">
        <f>SUM(D189:D207)</f>
        <v>10123700</v>
      </c>
      <c r="E208" s="32"/>
      <c r="F208" s="25">
        <f>F207-E207</f>
        <v>100</v>
      </c>
      <c r="G208" s="34"/>
      <c r="I208" s="29"/>
      <c r="J208" s="55"/>
      <c r="K208" s="55"/>
      <c r="L208" s="60"/>
      <c r="M208" s="62"/>
      <c r="N208" s="65"/>
      <c r="O208" s="60"/>
      <c r="P208" s="60"/>
      <c r="Q208" s="60"/>
    </row>
    <row r="209" spans="1:17" s="3" customFormat="1" ht="15" customHeight="1" x14ac:dyDescent="0.25">
      <c r="B209" s="45"/>
      <c r="C209" s="86"/>
      <c r="D209" s="44"/>
      <c r="E209" s="32"/>
      <c r="G209" s="49"/>
      <c r="I209" s="29"/>
      <c r="J209" s="55"/>
      <c r="K209" s="60"/>
      <c r="L209" s="60"/>
      <c r="M209" s="62"/>
      <c r="N209" s="65"/>
      <c r="O209" s="60"/>
      <c r="P209" s="60"/>
      <c r="Q209" s="60"/>
    </row>
    <row r="210" spans="1:17" s="3" customFormat="1" ht="15" customHeight="1" x14ac:dyDescent="0.25">
      <c r="A210" s="47">
        <v>45545</v>
      </c>
      <c r="B210" s="1" t="s">
        <v>140</v>
      </c>
      <c r="C210" s="65"/>
      <c r="D210" s="8"/>
      <c r="E210" s="8">
        <v>83700</v>
      </c>
      <c r="F210" s="49">
        <v>100000</v>
      </c>
      <c r="G210" s="103">
        <f>3-2</f>
        <v>1</v>
      </c>
      <c r="H210" s="3">
        <f>G210*F210</f>
        <v>100000</v>
      </c>
      <c r="I210" s="29"/>
      <c r="J210" s="55"/>
      <c r="K210" s="57"/>
      <c r="L210" s="62"/>
      <c r="M210" s="62"/>
      <c r="N210" s="65"/>
      <c r="O210" s="60"/>
      <c r="P210" s="60"/>
      <c r="Q210" s="60"/>
    </row>
    <row r="211" spans="1:17" s="3" customFormat="1" ht="15" customHeight="1" x14ac:dyDescent="0.25">
      <c r="A211" s="47">
        <v>45545</v>
      </c>
      <c r="B211" s="31" t="s">
        <v>138</v>
      </c>
      <c r="C211" s="73">
        <v>467000</v>
      </c>
      <c r="D211" s="44"/>
      <c r="E211" s="32">
        <f>E210+C211-D211</f>
        <v>550700</v>
      </c>
      <c r="F211" s="3">
        <v>75000</v>
      </c>
      <c r="G211" s="103"/>
      <c r="H211" s="3">
        <f t="shared" ref="H211:H220" si="18">G211*F211</f>
        <v>0</v>
      </c>
      <c r="I211" s="29"/>
      <c r="J211" s="55"/>
      <c r="K211" s="62"/>
      <c r="L211" s="60"/>
      <c r="M211" s="60"/>
      <c r="N211" s="65"/>
      <c r="O211" s="60"/>
      <c r="P211" s="60"/>
      <c r="Q211" s="60"/>
    </row>
    <row r="212" spans="1:17" s="3" customFormat="1" ht="15" customHeight="1" x14ac:dyDescent="0.25">
      <c r="A212" s="47">
        <v>45545</v>
      </c>
      <c r="B212" s="1" t="s">
        <v>155</v>
      </c>
      <c r="C212" s="73">
        <v>537000</v>
      </c>
      <c r="D212" s="44"/>
      <c r="E212" s="32">
        <f t="shared" ref="E212:E230" si="19">E211+C212-D212</f>
        <v>1087700</v>
      </c>
      <c r="F212" s="34">
        <v>50000</v>
      </c>
      <c r="G212" s="103">
        <f>1-1</f>
        <v>0</v>
      </c>
      <c r="H212" s="3">
        <f t="shared" si="18"/>
        <v>0</v>
      </c>
      <c r="I212" s="29"/>
      <c r="J212" s="55"/>
      <c r="K212" s="60"/>
      <c r="L212" s="60"/>
      <c r="M212" s="60"/>
      <c r="N212" s="65"/>
      <c r="O212" s="60"/>
      <c r="P212" s="60"/>
      <c r="Q212" s="60"/>
    </row>
    <row r="213" spans="1:17" s="3" customFormat="1" ht="15" customHeight="1" x14ac:dyDescent="0.25">
      <c r="A213" s="47">
        <v>45545</v>
      </c>
      <c r="B213" s="1" t="s">
        <v>156</v>
      </c>
      <c r="C213" s="73">
        <v>167000</v>
      </c>
      <c r="D213" s="44"/>
      <c r="E213" s="32">
        <f t="shared" si="19"/>
        <v>1254700</v>
      </c>
      <c r="F213" s="34">
        <v>20000</v>
      </c>
      <c r="G213" s="103">
        <v>1</v>
      </c>
      <c r="H213" s="3">
        <f t="shared" si="18"/>
        <v>20000</v>
      </c>
      <c r="I213" s="29"/>
      <c r="J213" s="55"/>
      <c r="K213" s="64"/>
      <c r="L213" s="60"/>
      <c r="M213" s="60"/>
      <c r="N213" s="65"/>
      <c r="O213" s="60"/>
      <c r="P213" s="60"/>
      <c r="Q213" s="60"/>
    </row>
    <row r="214" spans="1:17" s="3" customFormat="1" ht="15" customHeight="1" x14ac:dyDescent="0.25">
      <c r="A214" s="47">
        <v>45545</v>
      </c>
      <c r="B214" s="1" t="s">
        <v>133</v>
      </c>
      <c r="C214" s="73">
        <v>742000</v>
      </c>
      <c r="D214" s="44"/>
      <c r="E214" s="32">
        <f t="shared" si="19"/>
        <v>1996700</v>
      </c>
      <c r="F214" s="34">
        <v>10000</v>
      </c>
      <c r="G214" s="103"/>
      <c r="H214" s="3">
        <f t="shared" si="18"/>
        <v>0</v>
      </c>
      <c r="I214" s="29"/>
      <c r="J214" s="55"/>
      <c r="K214" s="58"/>
      <c r="L214" s="61"/>
      <c r="M214" s="61"/>
      <c r="N214" s="65"/>
      <c r="O214" s="60"/>
      <c r="P214" s="60"/>
      <c r="Q214" s="60"/>
    </row>
    <row r="215" spans="1:17" s="3" customFormat="1" ht="15" customHeight="1" x14ac:dyDescent="0.25">
      <c r="A215" s="47">
        <v>45545</v>
      </c>
      <c r="B215" s="1" t="s">
        <v>150</v>
      </c>
      <c r="C215" s="73"/>
      <c r="D215" s="44"/>
      <c r="E215" s="32">
        <f t="shared" si="19"/>
        <v>1996700</v>
      </c>
      <c r="F215" s="34">
        <v>5000</v>
      </c>
      <c r="G215" s="103">
        <v>5</v>
      </c>
      <c r="H215" s="3">
        <f t="shared" si="18"/>
        <v>25000</v>
      </c>
      <c r="I215" s="29"/>
      <c r="J215" s="55"/>
      <c r="K215" s="58"/>
      <c r="L215" s="60"/>
      <c r="M215" s="59"/>
      <c r="N215" s="65"/>
      <c r="O215" s="60"/>
      <c r="P215" s="60"/>
      <c r="Q215" s="60"/>
    </row>
    <row r="216" spans="1:17" s="3" customFormat="1" ht="15" customHeight="1" x14ac:dyDescent="0.25">
      <c r="A216" s="47">
        <v>45545</v>
      </c>
      <c r="B216" s="1" t="s">
        <v>146</v>
      </c>
      <c r="C216" s="73">
        <v>4982500</v>
      </c>
      <c r="D216" s="44"/>
      <c r="E216" s="32">
        <f t="shared" si="19"/>
        <v>6979200</v>
      </c>
      <c r="F216" s="34">
        <v>2000</v>
      </c>
      <c r="G216" s="103"/>
      <c r="H216" s="3">
        <f t="shared" si="18"/>
        <v>0</v>
      </c>
      <c r="I216" s="29"/>
      <c r="J216" s="55"/>
      <c r="K216" s="58"/>
      <c r="L216" s="60"/>
      <c r="M216" s="59"/>
      <c r="N216" s="65"/>
      <c r="O216" s="60"/>
      <c r="P216" s="60"/>
      <c r="Q216" s="60"/>
    </row>
    <row r="217" spans="1:17" s="3" customFormat="1" ht="15" customHeight="1" x14ac:dyDescent="0.25">
      <c r="A217" s="47">
        <v>45545</v>
      </c>
      <c r="B217" s="1" t="s">
        <v>157</v>
      </c>
      <c r="C217" s="86"/>
      <c r="D217" s="44"/>
      <c r="E217" s="32">
        <f t="shared" si="19"/>
        <v>6979200</v>
      </c>
      <c r="F217" s="34">
        <v>1000</v>
      </c>
      <c r="G217" s="103"/>
      <c r="H217" s="3">
        <f t="shared" si="18"/>
        <v>0</v>
      </c>
      <c r="I217" s="29"/>
      <c r="J217" s="55"/>
      <c r="K217" s="69"/>
      <c r="L217" s="60"/>
      <c r="M217" s="59"/>
      <c r="N217" s="65"/>
      <c r="O217" s="60"/>
      <c r="P217" s="60"/>
      <c r="Q217" s="60"/>
    </row>
    <row r="218" spans="1:17" s="3" customFormat="1" ht="15" customHeight="1" x14ac:dyDescent="0.25">
      <c r="A218" s="47">
        <v>45545</v>
      </c>
      <c r="B218" s="1" t="s">
        <v>159</v>
      </c>
      <c r="C218" s="86">
        <v>461000</v>
      </c>
      <c r="D218" s="44"/>
      <c r="E218" s="32">
        <f t="shared" si="19"/>
        <v>7440200</v>
      </c>
      <c r="F218" s="34">
        <v>500</v>
      </c>
      <c r="G218" s="103"/>
      <c r="H218" s="3">
        <f t="shared" si="18"/>
        <v>0</v>
      </c>
      <c r="I218" s="29"/>
      <c r="J218" s="55"/>
      <c r="K218" s="69"/>
      <c r="L218" s="59"/>
      <c r="M218" s="59"/>
      <c r="N218" s="65"/>
      <c r="O218" s="60"/>
      <c r="P218" s="60"/>
      <c r="Q218" s="60"/>
    </row>
    <row r="219" spans="1:17" s="3" customFormat="1" ht="15" customHeight="1" x14ac:dyDescent="0.25">
      <c r="A219" s="47">
        <v>45545</v>
      </c>
      <c r="B219" s="1" t="s">
        <v>145</v>
      </c>
      <c r="C219" s="86"/>
      <c r="D219" s="44"/>
      <c r="E219" s="32">
        <f t="shared" si="19"/>
        <v>7440200</v>
      </c>
      <c r="F219" s="34">
        <v>200</v>
      </c>
      <c r="G219" s="103"/>
      <c r="H219" s="3">
        <f t="shared" si="18"/>
        <v>0</v>
      </c>
      <c r="I219" s="29"/>
      <c r="J219" s="55"/>
      <c r="K219" s="58"/>
      <c r="L219" s="61"/>
      <c r="M219" s="61"/>
      <c r="N219" s="65"/>
      <c r="O219" s="60"/>
      <c r="P219" s="60"/>
      <c r="Q219" s="60"/>
    </row>
    <row r="220" spans="1:17" s="3" customFormat="1" ht="15" customHeight="1" x14ac:dyDescent="0.25">
      <c r="A220" s="47">
        <v>45545</v>
      </c>
      <c r="B220" s="1" t="s">
        <v>143</v>
      </c>
      <c r="C220" s="86"/>
      <c r="D220" s="44">
        <f>SUM(C212:C220)</f>
        <v>6889500</v>
      </c>
      <c r="E220" s="32">
        <f t="shared" si="19"/>
        <v>550700</v>
      </c>
      <c r="F220" s="34">
        <v>100</v>
      </c>
      <c r="G220" s="104"/>
      <c r="H220" s="3">
        <f t="shared" si="18"/>
        <v>0</v>
      </c>
      <c r="I220" s="29"/>
      <c r="J220" s="55"/>
      <c r="K220" s="60"/>
      <c r="L220" s="60"/>
      <c r="M220" s="59"/>
      <c r="N220" s="65"/>
      <c r="O220" s="60"/>
      <c r="P220" s="60"/>
      <c r="Q220" s="60"/>
    </row>
    <row r="221" spans="1:17" s="3" customFormat="1" ht="15" customHeight="1" x14ac:dyDescent="0.25">
      <c r="A221" s="47">
        <v>45545</v>
      </c>
      <c r="B221" s="1" t="s">
        <v>160</v>
      </c>
      <c r="C221" s="86"/>
      <c r="D221" s="46"/>
      <c r="E221" s="32">
        <f t="shared" si="19"/>
        <v>550700</v>
      </c>
      <c r="F221" s="1"/>
      <c r="G221" s="1"/>
      <c r="H221" s="1"/>
      <c r="I221" s="29"/>
      <c r="J221" s="55"/>
      <c r="K221" s="60"/>
      <c r="L221" s="60"/>
      <c r="M221" s="59"/>
      <c r="N221" s="65"/>
      <c r="O221" s="60"/>
      <c r="P221" s="60"/>
      <c r="Q221" s="60"/>
    </row>
    <row r="222" spans="1:17" s="3" customFormat="1" ht="15" customHeight="1" x14ac:dyDescent="0.25">
      <c r="A222" s="47">
        <v>45545</v>
      </c>
      <c r="B222" s="1"/>
      <c r="C222" s="86"/>
      <c r="D222" s="44"/>
      <c r="E222" s="32">
        <f t="shared" si="19"/>
        <v>550700</v>
      </c>
      <c r="G222" s="34"/>
      <c r="H222" s="34"/>
      <c r="I222" s="29"/>
      <c r="J222" s="55"/>
      <c r="K222" s="59"/>
      <c r="L222" s="60"/>
      <c r="M222" s="59"/>
      <c r="N222" s="65"/>
      <c r="O222" s="60"/>
      <c r="P222" s="60"/>
      <c r="Q222" s="60"/>
    </row>
    <row r="223" spans="1:17" s="3" customFormat="1" ht="15" customHeight="1" x14ac:dyDescent="0.25">
      <c r="A223" s="47">
        <v>45545</v>
      </c>
      <c r="B223" s="31" t="s">
        <v>139</v>
      </c>
      <c r="C223" s="86"/>
      <c r="D223" s="44">
        <v>155000</v>
      </c>
      <c r="E223" s="32">
        <f t="shared" si="19"/>
        <v>395700</v>
      </c>
      <c r="G223" s="34"/>
      <c r="H223" s="34"/>
      <c r="I223" s="29"/>
      <c r="J223" s="55"/>
      <c r="K223" s="59"/>
      <c r="L223" s="59"/>
      <c r="M223" s="59"/>
      <c r="N223" s="65"/>
      <c r="O223" s="60"/>
      <c r="P223" s="60"/>
      <c r="Q223" s="60"/>
    </row>
    <row r="224" spans="1:17" s="3" customFormat="1" ht="15" customHeight="1" x14ac:dyDescent="0.25">
      <c r="A224" s="47">
        <v>45545</v>
      </c>
      <c r="B224" s="47"/>
      <c r="C224" s="87"/>
      <c r="D224" s="44"/>
      <c r="E224" s="32">
        <f t="shared" si="19"/>
        <v>395700</v>
      </c>
      <c r="G224" s="34"/>
      <c r="H224" s="34"/>
      <c r="I224" s="29"/>
      <c r="J224" s="55"/>
      <c r="K224" s="60"/>
      <c r="L224" s="60"/>
      <c r="M224" s="60"/>
      <c r="N224" s="65"/>
      <c r="O224" s="60"/>
      <c r="P224" s="60"/>
      <c r="Q224" s="60"/>
    </row>
    <row r="225" spans="1:17" s="3" customFormat="1" ht="15" customHeight="1" x14ac:dyDescent="0.25">
      <c r="A225" s="47">
        <v>45545</v>
      </c>
      <c r="B225" s="82"/>
      <c r="C225" s="87"/>
      <c r="D225" s="44"/>
      <c r="E225" s="32">
        <f t="shared" si="19"/>
        <v>395700</v>
      </c>
      <c r="G225" s="34"/>
      <c r="H225" s="34"/>
      <c r="I225" s="29"/>
      <c r="J225" s="55"/>
      <c r="K225" s="60"/>
      <c r="L225" s="60"/>
      <c r="M225" s="60"/>
      <c r="N225" s="65"/>
      <c r="O225" s="60"/>
      <c r="P225" s="60"/>
      <c r="Q225" s="60"/>
    </row>
    <row r="226" spans="1:17" s="3" customFormat="1" ht="15" customHeight="1" x14ac:dyDescent="0.25">
      <c r="A226" s="47">
        <v>45545</v>
      </c>
      <c r="C226" s="87"/>
      <c r="D226" s="44"/>
      <c r="E226" s="32">
        <f t="shared" si="19"/>
        <v>395700</v>
      </c>
      <c r="G226" s="34"/>
      <c r="H226" s="34"/>
      <c r="I226" s="29"/>
      <c r="J226" s="55"/>
      <c r="K226" s="60"/>
      <c r="L226" s="60"/>
      <c r="M226" s="60"/>
      <c r="N226" s="65"/>
      <c r="O226" s="60"/>
      <c r="P226" s="60"/>
      <c r="Q226" s="60"/>
    </row>
    <row r="227" spans="1:17" s="3" customFormat="1" ht="15" customHeight="1" x14ac:dyDescent="0.25">
      <c r="A227" s="47">
        <v>45545</v>
      </c>
      <c r="B227" s="1"/>
      <c r="C227" s="88"/>
      <c r="D227" s="36"/>
      <c r="E227" s="32">
        <f t="shared" si="19"/>
        <v>395700</v>
      </c>
      <c r="F227" s="1"/>
      <c r="G227" s="34"/>
      <c r="I227" s="29"/>
      <c r="J227" s="55"/>
      <c r="K227" s="60"/>
      <c r="L227" s="60"/>
      <c r="M227" s="60"/>
      <c r="N227" s="65"/>
      <c r="O227" s="60"/>
      <c r="P227" s="60"/>
      <c r="Q227" s="60"/>
    </row>
    <row r="228" spans="1:17" s="3" customFormat="1" ht="15" customHeight="1" x14ac:dyDescent="0.25">
      <c r="A228" s="47">
        <v>45545</v>
      </c>
      <c r="B228" s="1" t="s">
        <v>143</v>
      </c>
      <c r="C228" s="89"/>
      <c r="D228" s="44"/>
      <c r="E228" s="32">
        <f t="shared" si="19"/>
        <v>395700</v>
      </c>
      <c r="F228" s="1"/>
      <c r="G228" s="34"/>
      <c r="I228" s="29"/>
      <c r="J228" s="55"/>
      <c r="K228" s="60"/>
      <c r="L228" s="60"/>
      <c r="M228" s="60"/>
      <c r="N228" s="65"/>
      <c r="O228" s="60"/>
      <c r="P228" s="60"/>
      <c r="Q228" s="60"/>
    </row>
    <row r="229" spans="1:17" s="3" customFormat="1" ht="15" customHeight="1" x14ac:dyDescent="0.25">
      <c r="A229" s="47">
        <v>45545</v>
      </c>
      <c r="B229" s="47"/>
      <c r="C229" s="90"/>
      <c r="D229" s="44"/>
      <c r="E229" s="32">
        <f t="shared" si="19"/>
        <v>395700</v>
      </c>
      <c r="F229" s="43"/>
      <c r="G229" s="34"/>
      <c r="I229" s="29"/>
      <c r="J229" s="55"/>
      <c r="K229" s="60"/>
      <c r="L229" s="60"/>
      <c r="M229" s="60"/>
      <c r="N229" s="65"/>
      <c r="O229" s="60"/>
      <c r="P229" s="60"/>
      <c r="Q229" s="60"/>
    </row>
    <row r="230" spans="1:17" s="3" customFormat="1" ht="15" customHeight="1" x14ac:dyDescent="0.25">
      <c r="A230" s="47">
        <v>45545</v>
      </c>
      <c r="B230" s="45" t="s">
        <v>136</v>
      </c>
      <c r="C230" s="86"/>
      <c r="D230" s="44">
        <v>250000</v>
      </c>
      <c r="E230" s="32">
        <f t="shared" si="19"/>
        <v>145700</v>
      </c>
      <c r="F230" s="3">
        <f>SUM(H210:H226)</f>
        <v>145000</v>
      </c>
      <c r="G230" s="49"/>
      <c r="I230" s="29"/>
      <c r="J230" s="55"/>
      <c r="K230" s="60"/>
      <c r="L230" s="60"/>
      <c r="M230" s="60"/>
      <c r="N230" s="65"/>
      <c r="O230" s="60"/>
      <c r="P230" s="60"/>
      <c r="Q230" s="60"/>
    </row>
    <row r="231" spans="1:17" s="3" customFormat="1" ht="15" customHeight="1" x14ac:dyDescent="0.25">
      <c r="A231" s="47">
        <v>45545</v>
      </c>
      <c r="B231" s="4" t="s">
        <v>161</v>
      </c>
      <c r="C231" s="86">
        <f>SUM(C211:C230)</f>
        <v>7356500</v>
      </c>
      <c r="D231" s="33">
        <f>SUM(D212:D230)</f>
        <v>7294500</v>
      </c>
      <c r="E231" s="32"/>
      <c r="F231" s="25">
        <f>F230-E230</f>
        <v>-700</v>
      </c>
      <c r="G231" s="34"/>
      <c r="I231" s="29"/>
      <c r="J231" s="55"/>
      <c r="K231" s="60"/>
      <c r="L231" s="60"/>
      <c r="M231" s="60"/>
      <c r="N231" s="65"/>
      <c r="O231" s="60"/>
      <c r="P231" s="60"/>
      <c r="Q231" s="60"/>
    </row>
    <row r="232" spans="1:17" s="3" customFormat="1" ht="15" customHeight="1" x14ac:dyDescent="0.25">
      <c r="B232" s="45"/>
      <c r="C232" s="86"/>
      <c r="D232" s="44"/>
      <c r="E232" s="32"/>
      <c r="G232" s="49"/>
      <c r="I232" s="29"/>
      <c r="J232" s="55"/>
      <c r="K232" s="60"/>
      <c r="L232" s="60"/>
      <c r="M232" s="60"/>
      <c r="N232" s="65"/>
      <c r="O232" s="60"/>
      <c r="P232" s="60"/>
      <c r="Q232" s="60"/>
    </row>
    <row r="233" spans="1:17" s="3" customFormat="1" ht="15" customHeight="1" x14ac:dyDescent="0.25">
      <c r="A233" s="47">
        <v>45546</v>
      </c>
      <c r="B233" s="1" t="s">
        <v>140</v>
      </c>
      <c r="C233" s="65"/>
      <c r="D233" s="8"/>
      <c r="E233" s="8">
        <v>145700</v>
      </c>
      <c r="F233" s="49">
        <v>100000</v>
      </c>
      <c r="G233" s="103">
        <f>2-1</f>
        <v>1</v>
      </c>
      <c r="H233" s="3">
        <f>G233*F233</f>
        <v>100000</v>
      </c>
      <c r="I233" s="29"/>
      <c r="J233" s="55"/>
      <c r="K233" s="60"/>
      <c r="L233" s="60"/>
      <c r="M233" s="60"/>
      <c r="N233" s="65"/>
      <c r="O233" s="60"/>
      <c r="P233" s="60"/>
      <c r="Q233" s="60"/>
    </row>
    <row r="234" spans="1:17" s="3" customFormat="1" ht="15" customHeight="1" x14ac:dyDescent="0.25">
      <c r="A234" s="47">
        <v>45546</v>
      </c>
      <c r="B234" s="31" t="s">
        <v>138</v>
      </c>
      <c r="C234" s="73">
        <v>356000</v>
      </c>
      <c r="D234" s="44"/>
      <c r="E234" s="32">
        <f>E233+C234-D234</f>
        <v>501700</v>
      </c>
      <c r="F234" s="3">
        <v>75000</v>
      </c>
      <c r="G234" s="103"/>
      <c r="H234" s="3">
        <f t="shared" ref="H234:H243" si="20">G234*F234</f>
        <v>0</v>
      </c>
      <c r="I234" s="29"/>
      <c r="J234" s="55"/>
      <c r="K234" s="60"/>
      <c r="L234" s="60"/>
      <c r="M234" s="60"/>
      <c r="N234" s="65"/>
      <c r="O234" s="60"/>
      <c r="P234" s="60"/>
      <c r="Q234" s="60"/>
    </row>
    <row r="235" spans="1:17" s="3" customFormat="1" ht="15" customHeight="1" x14ac:dyDescent="0.25">
      <c r="A235" s="47">
        <v>45546</v>
      </c>
      <c r="B235" s="1" t="s">
        <v>155</v>
      </c>
      <c r="C235" s="73"/>
      <c r="D235" s="44"/>
      <c r="E235" s="32">
        <f t="shared" ref="E235:E253" si="21">E234+C235-D235</f>
        <v>501700</v>
      </c>
      <c r="F235" s="34">
        <v>50000</v>
      </c>
      <c r="G235" s="103">
        <v>1</v>
      </c>
      <c r="H235" s="3">
        <f t="shared" si="20"/>
        <v>50000</v>
      </c>
      <c r="I235" s="29"/>
      <c r="J235" s="55"/>
      <c r="K235" s="60"/>
      <c r="L235" s="60"/>
      <c r="M235" s="60"/>
      <c r="N235" s="65"/>
      <c r="O235" s="60"/>
      <c r="P235" s="60"/>
      <c r="Q235" s="60"/>
    </row>
    <row r="236" spans="1:17" s="3" customFormat="1" ht="15" customHeight="1" x14ac:dyDescent="0.25">
      <c r="A236" s="47">
        <v>45546</v>
      </c>
      <c r="B236" s="1" t="s">
        <v>156</v>
      </c>
      <c r="C236" s="73">
        <v>408000</v>
      </c>
      <c r="D236" s="44"/>
      <c r="E236" s="32">
        <f t="shared" si="21"/>
        <v>909700</v>
      </c>
      <c r="F236" s="34">
        <v>20000</v>
      </c>
      <c r="G236" s="103"/>
      <c r="H236" s="3">
        <f t="shared" si="20"/>
        <v>0</v>
      </c>
      <c r="I236" s="29"/>
      <c r="J236" s="55"/>
      <c r="K236" s="60"/>
      <c r="L236" s="60"/>
      <c r="M236" s="60"/>
      <c r="N236" s="65"/>
      <c r="O236" s="60"/>
      <c r="P236" s="60"/>
      <c r="Q236" s="60"/>
    </row>
    <row r="237" spans="1:17" s="3" customFormat="1" ht="15" customHeight="1" x14ac:dyDescent="0.25">
      <c r="A237" s="47">
        <v>45546</v>
      </c>
      <c r="B237" s="1" t="s">
        <v>133</v>
      </c>
      <c r="C237" s="73">
        <v>757000</v>
      </c>
      <c r="D237" s="44"/>
      <c r="E237" s="32">
        <f t="shared" si="21"/>
        <v>1666700</v>
      </c>
      <c r="F237" s="34">
        <v>10000</v>
      </c>
      <c r="G237" s="103"/>
      <c r="H237" s="3">
        <f t="shared" si="20"/>
        <v>0</v>
      </c>
      <c r="I237" s="29"/>
      <c r="J237" s="55"/>
      <c r="K237" s="60"/>
      <c r="L237" s="60"/>
      <c r="M237" s="60"/>
      <c r="N237" s="65"/>
      <c r="O237" s="60"/>
      <c r="P237" s="60"/>
      <c r="Q237" s="60"/>
    </row>
    <row r="238" spans="1:17" s="3" customFormat="1" ht="15" customHeight="1" x14ac:dyDescent="0.25">
      <c r="A238" s="47">
        <v>45546</v>
      </c>
      <c r="B238" s="1" t="s">
        <v>150</v>
      </c>
      <c r="C238" s="73"/>
      <c r="D238" s="44"/>
      <c r="E238" s="32">
        <f t="shared" si="21"/>
        <v>1666700</v>
      </c>
      <c r="F238" s="34">
        <v>5000</v>
      </c>
      <c r="G238" s="103">
        <v>1</v>
      </c>
      <c r="H238" s="3">
        <f t="shared" si="20"/>
        <v>5000</v>
      </c>
      <c r="I238" s="29"/>
      <c r="J238" s="55"/>
      <c r="K238" s="60"/>
      <c r="L238" s="60"/>
      <c r="M238" s="60"/>
      <c r="N238" s="65"/>
      <c r="O238" s="60"/>
      <c r="P238" s="60"/>
      <c r="Q238" s="60"/>
    </row>
    <row r="239" spans="1:17" s="3" customFormat="1" ht="15" customHeight="1" x14ac:dyDescent="0.25">
      <c r="A239" s="47">
        <v>45546</v>
      </c>
      <c r="B239" s="1" t="s">
        <v>146</v>
      </c>
      <c r="C239" s="73">
        <v>5344000</v>
      </c>
      <c r="D239" s="44"/>
      <c r="E239" s="32">
        <f t="shared" si="21"/>
        <v>7010700</v>
      </c>
      <c r="F239" s="34">
        <v>2000</v>
      </c>
      <c r="G239" s="103"/>
      <c r="H239" s="3">
        <f t="shared" si="20"/>
        <v>0</v>
      </c>
      <c r="I239" s="29"/>
      <c r="J239" s="55"/>
      <c r="K239" s="60"/>
      <c r="L239" s="60"/>
      <c r="M239" s="60"/>
      <c r="N239" s="65"/>
      <c r="O239" s="60"/>
      <c r="P239" s="60"/>
      <c r="Q239" s="60"/>
    </row>
    <row r="240" spans="1:17" s="3" customFormat="1" ht="15" customHeight="1" x14ac:dyDescent="0.25">
      <c r="A240" s="47">
        <v>45546</v>
      </c>
      <c r="B240" s="1" t="s">
        <v>157</v>
      </c>
      <c r="C240" s="86"/>
      <c r="D240" s="44"/>
      <c r="E240" s="32">
        <f t="shared" si="21"/>
        <v>7010700</v>
      </c>
      <c r="F240" s="34">
        <v>1000</v>
      </c>
      <c r="G240" s="103"/>
      <c r="H240" s="3">
        <f t="shared" si="20"/>
        <v>0</v>
      </c>
      <c r="I240" s="29"/>
      <c r="J240" s="55"/>
      <c r="K240" s="60"/>
      <c r="L240" s="60"/>
      <c r="M240" s="60"/>
      <c r="N240" s="65"/>
      <c r="O240" s="60"/>
      <c r="P240" s="60"/>
      <c r="Q240" s="60"/>
    </row>
    <row r="241" spans="1:17" s="3" customFormat="1" ht="15" customHeight="1" x14ac:dyDescent="0.25">
      <c r="A241" s="47">
        <v>45546</v>
      </c>
      <c r="B241" s="1" t="s">
        <v>159</v>
      </c>
      <c r="C241" s="86">
        <v>3102000</v>
      </c>
      <c r="D241" s="44"/>
      <c r="E241" s="32">
        <f t="shared" si="21"/>
        <v>10112700</v>
      </c>
      <c r="F241" s="34">
        <v>500</v>
      </c>
      <c r="G241" s="103"/>
      <c r="H241" s="3">
        <f t="shared" si="20"/>
        <v>0</v>
      </c>
      <c r="I241" s="29"/>
      <c r="J241" s="55"/>
      <c r="K241" s="60"/>
      <c r="L241" s="60"/>
      <c r="M241" s="60"/>
      <c r="N241" s="65"/>
      <c r="O241" s="60"/>
      <c r="P241" s="60"/>
      <c r="Q241" s="60"/>
    </row>
    <row r="242" spans="1:17" s="3" customFormat="1" ht="15" customHeight="1" x14ac:dyDescent="0.25">
      <c r="A242" s="47">
        <v>45546</v>
      </c>
      <c r="B242" s="1" t="s">
        <v>145</v>
      </c>
      <c r="C242" s="86"/>
      <c r="D242" s="44"/>
      <c r="E242" s="32">
        <f t="shared" si="21"/>
        <v>10112700</v>
      </c>
      <c r="F242" s="34">
        <v>200</v>
      </c>
      <c r="G242" s="103">
        <v>4</v>
      </c>
      <c r="H242" s="3">
        <f t="shared" si="20"/>
        <v>800</v>
      </c>
      <c r="I242" s="29"/>
      <c r="J242" s="55"/>
      <c r="K242" s="60"/>
      <c r="L242" s="60"/>
      <c r="M242" s="60"/>
      <c r="N242" s="65"/>
      <c r="O242" s="60"/>
      <c r="P242" s="60"/>
      <c r="Q242" s="60"/>
    </row>
    <row r="243" spans="1:17" s="3" customFormat="1" ht="15" customHeight="1" x14ac:dyDescent="0.25">
      <c r="A243" s="47">
        <v>45546</v>
      </c>
      <c r="B243" s="1" t="s">
        <v>143</v>
      </c>
      <c r="C243" s="86"/>
      <c r="D243" s="44">
        <f>SUM(C235:C243)</f>
        <v>9611000</v>
      </c>
      <c r="E243" s="32">
        <f t="shared" si="21"/>
        <v>501700</v>
      </c>
      <c r="F243" s="34">
        <v>100</v>
      </c>
      <c r="G243" s="104"/>
      <c r="H243" s="3">
        <f t="shared" si="20"/>
        <v>0</v>
      </c>
      <c r="I243" s="29"/>
      <c r="J243" s="55"/>
      <c r="K243" s="60"/>
      <c r="L243" s="60"/>
      <c r="M243" s="60"/>
      <c r="N243" s="65"/>
      <c r="O243" s="60"/>
      <c r="P243" s="60"/>
      <c r="Q243" s="60"/>
    </row>
    <row r="244" spans="1:17" s="3" customFormat="1" ht="15" customHeight="1" x14ac:dyDescent="0.25">
      <c r="A244" s="47">
        <v>45546</v>
      </c>
      <c r="B244" s="1" t="s">
        <v>160</v>
      </c>
      <c r="C244" s="86"/>
      <c r="D244" s="46"/>
      <c r="E244" s="32">
        <f t="shared" si="21"/>
        <v>501700</v>
      </c>
      <c r="F244" s="1"/>
      <c r="G244" s="1"/>
      <c r="H244" s="1"/>
      <c r="I244" s="29"/>
      <c r="J244" s="55"/>
      <c r="K244" s="60"/>
      <c r="L244" s="60"/>
      <c r="M244" s="60"/>
      <c r="N244" s="65"/>
      <c r="O244" s="60"/>
      <c r="P244" s="60"/>
      <c r="Q244" s="60"/>
    </row>
    <row r="245" spans="1:17" s="3" customFormat="1" ht="15" customHeight="1" x14ac:dyDescent="0.25">
      <c r="A245" s="47">
        <v>45546</v>
      </c>
      <c r="B245" s="1"/>
      <c r="C245" s="86"/>
      <c r="D245" s="44"/>
      <c r="E245" s="32">
        <f t="shared" si="21"/>
        <v>501700</v>
      </c>
      <c r="G245" s="34"/>
      <c r="H245" s="34"/>
      <c r="I245" s="29"/>
      <c r="J245" s="55"/>
      <c r="K245" s="60"/>
      <c r="L245" s="60"/>
      <c r="M245" s="60"/>
      <c r="N245" s="65"/>
      <c r="O245" s="60"/>
      <c r="P245" s="60"/>
      <c r="Q245" s="60"/>
    </row>
    <row r="246" spans="1:17" s="3" customFormat="1" ht="15" customHeight="1" x14ac:dyDescent="0.25">
      <c r="A246" s="47">
        <v>45546</v>
      </c>
      <c r="B246" s="31" t="s">
        <v>139</v>
      </c>
      <c r="C246" s="86"/>
      <c r="D246" s="44">
        <v>246000</v>
      </c>
      <c r="E246" s="32">
        <f t="shared" si="21"/>
        <v>255700</v>
      </c>
      <c r="G246" s="34"/>
      <c r="H246" s="34"/>
      <c r="I246" s="29"/>
      <c r="J246" s="55"/>
      <c r="K246" s="60"/>
      <c r="L246" s="60"/>
      <c r="M246" s="60"/>
      <c r="N246" s="65"/>
      <c r="O246" s="60"/>
      <c r="P246" s="60"/>
      <c r="Q246" s="60"/>
    </row>
    <row r="247" spans="1:17" s="3" customFormat="1" ht="15" customHeight="1" x14ac:dyDescent="0.25">
      <c r="A247" s="47">
        <v>45546</v>
      </c>
      <c r="B247" s="47"/>
      <c r="C247" s="87"/>
      <c r="D247" s="44"/>
      <c r="E247" s="32">
        <f t="shared" si="21"/>
        <v>255700</v>
      </c>
      <c r="G247" s="34"/>
      <c r="H247" s="34"/>
      <c r="I247" s="29"/>
      <c r="J247" s="55"/>
      <c r="K247" s="60"/>
      <c r="L247" s="60"/>
      <c r="M247" s="60"/>
      <c r="N247" s="65"/>
      <c r="O247" s="60"/>
      <c r="P247" s="60"/>
      <c r="Q247" s="60"/>
    </row>
    <row r="248" spans="1:17" s="3" customFormat="1" ht="15" customHeight="1" x14ac:dyDescent="0.25">
      <c r="A248" s="47">
        <v>45546</v>
      </c>
      <c r="B248" s="82"/>
      <c r="C248" s="87"/>
      <c r="D248" s="44"/>
      <c r="E248" s="32">
        <f t="shared" si="21"/>
        <v>255700</v>
      </c>
      <c r="G248" s="34"/>
      <c r="H248" s="34"/>
      <c r="I248" s="29"/>
      <c r="J248" s="55"/>
      <c r="K248" s="60"/>
      <c r="L248" s="60"/>
      <c r="M248" s="60"/>
      <c r="N248" s="65"/>
      <c r="O248" s="60"/>
      <c r="P248" s="60"/>
      <c r="Q248" s="60"/>
    </row>
    <row r="249" spans="1:17" s="3" customFormat="1" ht="15" customHeight="1" x14ac:dyDescent="0.25">
      <c r="A249" s="47">
        <v>45546</v>
      </c>
      <c r="C249" s="87"/>
      <c r="D249" s="44"/>
      <c r="E249" s="32">
        <f t="shared" si="21"/>
        <v>255700</v>
      </c>
      <c r="G249" s="34"/>
      <c r="H249" s="34"/>
      <c r="I249" s="29"/>
      <c r="J249" s="55"/>
      <c r="K249" s="60"/>
      <c r="L249" s="60"/>
      <c r="M249" s="60"/>
      <c r="N249" s="65"/>
      <c r="O249" s="60"/>
      <c r="P249" s="60"/>
      <c r="Q249" s="60"/>
    </row>
    <row r="250" spans="1:17" s="3" customFormat="1" ht="15" customHeight="1" x14ac:dyDescent="0.25">
      <c r="A250" s="47">
        <v>45546</v>
      </c>
      <c r="B250" s="1"/>
      <c r="C250" s="88"/>
      <c r="D250" s="36"/>
      <c r="E250" s="32">
        <f t="shared" si="21"/>
        <v>255700</v>
      </c>
      <c r="F250" s="1"/>
      <c r="G250" s="34"/>
      <c r="I250" s="29"/>
      <c r="J250" s="55"/>
      <c r="K250" s="60"/>
      <c r="L250" s="60"/>
      <c r="M250" s="60"/>
      <c r="N250" s="65"/>
      <c r="O250" s="60"/>
      <c r="P250" s="60"/>
      <c r="Q250" s="60"/>
    </row>
    <row r="251" spans="1:17" s="3" customFormat="1" ht="15" customHeight="1" x14ac:dyDescent="0.25">
      <c r="A251" s="47">
        <v>45546</v>
      </c>
      <c r="B251" s="1" t="s">
        <v>143</v>
      </c>
      <c r="C251" s="89"/>
      <c r="D251" s="44"/>
      <c r="E251" s="32">
        <f t="shared" si="21"/>
        <v>255700</v>
      </c>
      <c r="F251" s="1"/>
      <c r="G251" s="34"/>
      <c r="I251" s="29"/>
      <c r="J251" s="55"/>
      <c r="K251" s="60"/>
      <c r="L251" s="60"/>
      <c r="M251" s="60"/>
      <c r="N251" s="65"/>
      <c r="O251" s="60"/>
      <c r="P251" s="60"/>
      <c r="Q251" s="60"/>
    </row>
    <row r="252" spans="1:17" s="3" customFormat="1" ht="15" customHeight="1" x14ac:dyDescent="0.25">
      <c r="A252" s="47">
        <v>45546</v>
      </c>
      <c r="B252" s="47"/>
      <c r="C252" s="90"/>
      <c r="D252" s="44"/>
      <c r="E252" s="32">
        <f t="shared" si="21"/>
        <v>255700</v>
      </c>
      <c r="F252" s="43"/>
      <c r="G252" s="34"/>
      <c r="I252" s="29"/>
      <c r="J252" s="55"/>
      <c r="K252" s="60"/>
      <c r="L252" s="60"/>
      <c r="M252" s="60"/>
      <c r="N252" s="65"/>
      <c r="O252" s="60"/>
      <c r="P252" s="60"/>
      <c r="Q252" s="60"/>
    </row>
    <row r="253" spans="1:17" s="3" customFormat="1" ht="15" customHeight="1" x14ac:dyDescent="0.25">
      <c r="A253" s="47">
        <v>45546</v>
      </c>
      <c r="B253" s="45" t="s">
        <v>136</v>
      </c>
      <c r="C253" s="86"/>
      <c r="D253" s="44">
        <v>100000</v>
      </c>
      <c r="E253" s="32">
        <f t="shared" si="21"/>
        <v>155700</v>
      </c>
      <c r="F253" s="3">
        <f>SUM(H233:H249)</f>
        <v>155800</v>
      </c>
      <c r="G253" s="49"/>
      <c r="I253" s="29"/>
      <c r="J253" s="55"/>
      <c r="K253" s="60"/>
      <c r="L253" s="60"/>
      <c r="M253" s="60"/>
      <c r="N253" s="65"/>
      <c r="O253" s="60"/>
      <c r="P253" s="60"/>
      <c r="Q253" s="60"/>
    </row>
    <row r="254" spans="1:17" s="3" customFormat="1" ht="15" customHeight="1" x14ac:dyDescent="0.25">
      <c r="A254" s="47">
        <v>45546</v>
      </c>
      <c r="B254" s="4" t="s">
        <v>161</v>
      </c>
      <c r="C254" s="86">
        <f>SUM(C234:C253)</f>
        <v>9967000</v>
      </c>
      <c r="D254" s="33">
        <f>SUM(D235:D253)</f>
        <v>9957000</v>
      </c>
      <c r="E254" s="32"/>
      <c r="F254" s="25">
        <f>F253-E253</f>
        <v>100</v>
      </c>
      <c r="G254" s="34"/>
      <c r="I254" s="29"/>
      <c r="J254" s="55"/>
      <c r="K254" s="60"/>
      <c r="L254" s="60"/>
      <c r="M254" s="60"/>
      <c r="N254" s="65"/>
      <c r="O254" s="60"/>
      <c r="P254" s="60"/>
      <c r="Q254" s="60"/>
    </row>
    <row r="255" spans="1:17" s="3" customFormat="1" ht="15" customHeight="1" x14ac:dyDescent="0.25">
      <c r="B255" s="45"/>
      <c r="C255" s="86"/>
      <c r="D255" s="44"/>
      <c r="E255" s="32"/>
      <c r="G255" s="49"/>
      <c r="I255" s="29"/>
      <c r="J255" s="55"/>
      <c r="K255" s="60"/>
      <c r="L255" s="60"/>
      <c r="M255" s="60"/>
      <c r="N255" s="65"/>
      <c r="O255" s="60"/>
      <c r="P255" s="60"/>
      <c r="Q255" s="60"/>
    </row>
    <row r="256" spans="1:17" s="3" customFormat="1" ht="15" customHeight="1" x14ac:dyDescent="0.25">
      <c r="A256" s="47">
        <v>45547</v>
      </c>
      <c r="B256" s="1" t="s">
        <v>140</v>
      </c>
      <c r="C256" s="65"/>
      <c r="D256" s="8"/>
      <c r="E256" s="8">
        <v>155700</v>
      </c>
      <c r="F256" s="49">
        <v>100000</v>
      </c>
      <c r="G256" s="103">
        <v>1</v>
      </c>
      <c r="H256" s="3">
        <f>G256*F256</f>
        <v>100000</v>
      </c>
      <c r="I256" s="29"/>
      <c r="J256" s="55"/>
      <c r="K256" s="61"/>
      <c r="L256" s="61"/>
      <c r="M256" s="61"/>
      <c r="N256" s="60"/>
      <c r="O256" s="60"/>
      <c r="P256" s="60"/>
      <c r="Q256" s="60"/>
    </row>
    <row r="257" spans="1:17" s="3" customFormat="1" ht="15" customHeight="1" x14ac:dyDescent="0.25">
      <c r="A257" s="47">
        <v>45547</v>
      </c>
      <c r="B257" s="31" t="s">
        <v>138</v>
      </c>
      <c r="C257" s="73">
        <v>127000</v>
      </c>
      <c r="D257" s="44"/>
      <c r="E257" s="32">
        <f>E256+C257-D257</f>
        <v>282700</v>
      </c>
      <c r="F257" s="3">
        <v>75000</v>
      </c>
      <c r="G257" s="103"/>
      <c r="H257" s="3">
        <f t="shared" ref="H257:H266" si="22">G257*F257</f>
        <v>0</v>
      </c>
      <c r="I257" s="29"/>
      <c r="J257" s="55"/>
      <c r="K257" s="58"/>
      <c r="L257" s="60"/>
      <c r="M257" s="62"/>
      <c r="N257" s="60"/>
      <c r="O257" s="60"/>
      <c r="P257" s="60"/>
      <c r="Q257" s="60"/>
    </row>
    <row r="258" spans="1:17" s="3" customFormat="1" ht="15" customHeight="1" x14ac:dyDescent="0.25">
      <c r="A258" s="47">
        <v>45547</v>
      </c>
      <c r="B258" s="1" t="s">
        <v>155</v>
      </c>
      <c r="C258" s="73">
        <v>944000</v>
      </c>
      <c r="D258" s="44"/>
      <c r="E258" s="32">
        <f t="shared" ref="E258:E276" si="23">E257+C258-D258</f>
        <v>1226700</v>
      </c>
      <c r="F258" s="34">
        <v>50000</v>
      </c>
      <c r="G258" s="103"/>
      <c r="H258" s="3">
        <f t="shared" si="22"/>
        <v>0</v>
      </c>
      <c r="I258" s="29"/>
      <c r="J258" s="55"/>
      <c r="K258" s="58"/>
      <c r="L258" s="61"/>
      <c r="M258" s="61"/>
      <c r="N258" s="60"/>
      <c r="O258" s="60"/>
      <c r="P258" s="60"/>
      <c r="Q258" s="60"/>
    </row>
    <row r="259" spans="1:17" s="3" customFormat="1" ht="15" customHeight="1" x14ac:dyDescent="0.25">
      <c r="A259" s="47">
        <v>45547</v>
      </c>
      <c r="B259" s="1" t="s">
        <v>156</v>
      </c>
      <c r="C259" s="73">
        <v>566000</v>
      </c>
      <c r="D259" s="44"/>
      <c r="E259" s="32">
        <f t="shared" si="23"/>
        <v>1792700</v>
      </c>
      <c r="F259" s="34">
        <v>20000</v>
      </c>
      <c r="G259" s="103"/>
      <c r="H259" s="3">
        <f t="shared" si="22"/>
        <v>0</v>
      </c>
      <c r="I259" s="29"/>
      <c r="J259" s="55"/>
      <c r="K259" s="58"/>
      <c r="L259" s="60"/>
      <c r="M259" s="62"/>
      <c r="N259" s="60"/>
      <c r="O259" s="60"/>
      <c r="P259" s="60"/>
      <c r="Q259" s="60"/>
    </row>
    <row r="260" spans="1:17" s="3" customFormat="1" ht="15" customHeight="1" x14ac:dyDescent="0.25">
      <c r="A260" s="47">
        <v>45547</v>
      </c>
      <c r="B260" s="1" t="s">
        <v>133</v>
      </c>
      <c r="C260" s="73">
        <v>1604000</v>
      </c>
      <c r="D260" s="44"/>
      <c r="E260" s="32">
        <f t="shared" si="23"/>
        <v>3396700</v>
      </c>
      <c r="F260" s="34">
        <v>10000</v>
      </c>
      <c r="G260" s="103">
        <v>1</v>
      </c>
      <c r="H260" s="3">
        <f t="shared" si="22"/>
        <v>10000</v>
      </c>
      <c r="I260" s="29"/>
      <c r="J260" s="55"/>
      <c r="K260" s="60"/>
      <c r="L260" s="60"/>
      <c r="M260" s="62"/>
      <c r="N260" s="60"/>
      <c r="O260" s="60"/>
      <c r="P260" s="60"/>
      <c r="Q260" s="60"/>
    </row>
    <row r="261" spans="1:17" s="3" customFormat="1" ht="15" customHeight="1" x14ac:dyDescent="0.25">
      <c r="A261" s="47">
        <v>45547</v>
      </c>
      <c r="B261" s="1" t="s">
        <v>150</v>
      </c>
      <c r="C261" s="73"/>
      <c r="D261" s="44"/>
      <c r="E261" s="32">
        <f t="shared" si="23"/>
        <v>3396700</v>
      </c>
      <c r="F261" s="34">
        <v>5000</v>
      </c>
      <c r="G261" s="103">
        <v>5</v>
      </c>
      <c r="H261" s="3">
        <f t="shared" si="22"/>
        <v>25000</v>
      </c>
      <c r="I261" s="29"/>
      <c r="J261" s="55"/>
      <c r="K261" s="62"/>
      <c r="L261" s="60"/>
      <c r="M261" s="62"/>
      <c r="N261" s="60"/>
      <c r="O261" s="60"/>
      <c r="P261" s="60"/>
      <c r="Q261" s="60"/>
    </row>
    <row r="262" spans="1:17" s="3" customFormat="1" ht="15" customHeight="1" x14ac:dyDescent="0.25">
      <c r="A262" s="47">
        <v>45547</v>
      </c>
      <c r="B262" s="1" t="s">
        <v>146</v>
      </c>
      <c r="C262" s="73">
        <f>225000+4106000</f>
        <v>4331000</v>
      </c>
      <c r="D262" s="44"/>
      <c r="E262" s="32">
        <f t="shared" si="23"/>
        <v>7727700</v>
      </c>
      <c r="F262" s="34">
        <v>2000</v>
      </c>
      <c r="G262" s="103">
        <v>7</v>
      </c>
      <c r="H262" s="3">
        <f t="shared" si="22"/>
        <v>14000</v>
      </c>
      <c r="I262" s="29"/>
      <c r="J262" s="55"/>
      <c r="K262" s="62"/>
      <c r="L262" s="62"/>
      <c r="M262" s="62"/>
      <c r="N262" s="60"/>
      <c r="O262" s="60"/>
      <c r="P262" s="60"/>
      <c r="Q262" s="60"/>
    </row>
    <row r="263" spans="1:17" s="3" customFormat="1" ht="15" customHeight="1" x14ac:dyDescent="0.25">
      <c r="A263" s="47">
        <v>45547</v>
      </c>
      <c r="B263" s="1" t="s">
        <v>157</v>
      </c>
      <c r="C263" s="86"/>
      <c r="D263" s="44"/>
      <c r="E263" s="32">
        <f t="shared" si="23"/>
        <v>7727700</v>
      </c>
      <c r="F263" s="34">
        <v>1000</v>
      </c>
      <c r="G263" s="103"/>
      <c r="H263" s="3">
        <f t="shared" si="22"/>
        <v>0</v>
      </c>
      <c r="I263" s="29"/>
      <c r="J263" s="55"/>
      <c r="K263" s="60"/>
      <c r="L263" s="60"/>
      <c r="M263" s="60"/>
      <c r="N263" s="65"/>
      <c r="O263" s="60"/>
      <c r="P263" s="60"/>
      <c r="Q263" s="60"/>
    </row>
    <row r="264" spans="1:17" s="3" customFormat="1" ht="15" customHeight="1" x14ac:dyDescent="0.25">
      <c r="A264" s="47">
        <v>45547</v>
      </c>
      <c r="B264" s="1" t="s">
        <v>159</v>
      </c>
      <c r="C264" s="86">
        <v>1333000</v>
      </c>
      <c r="D264" s="44"/>
      <c r="E264" s="32">
        <f t="shared" si="23"/>
        <v>9060700</v>
      </c>
      <c r="F264" s="34">
        <v>500</v>
      </c>
      <c r="G264" s="103"/>
      <c r="H264" s="3">
        <f t="shared" si="22"/>
        <v>0</v>
      </c>
      <c r="I264" s="29"/>
      <c r="J264" s="55"/>
      <c r="K264" s="60"/>
      <c r="L264" s="60"/>
      <c r="M264" s="60"/>
      <c r="N264" s="65"/>
      <c r="O264" s="60"/>
      <c r="P264" s="60"/>
      <c r="Q264" s="60"/>
    </row>
    <row r="265" spans="1:17" s="3" customFormat="1" ht="15" customHeight="1" x14ac:dyDescent="0.25">
      <c r="A265" s="47">
        <v>45547</v>
      </c>
      <c r="B265" s="1" t="s">
        <v>145</v>
      </c>
      <c r="C265" s="86"/>
      <c r="D265" s="44"/>
      <c r="E265" s="32">
        <f t="shared" si="23"/>
        <v>9060700</v>
      </c>
      <c r="F265" s="34">
        <v>200</v>
      </c>
      <c r="G265" s="103"/>
      <c r="H265" s="3">
        <f t="shared" si="22"/>
        <v>0</v>
      </c>
      <c r="I265" s="29"/>
      <c r="J265" s="55"/>
      <c r="K265" s="60"/>
      <c r="L265" s="60"/>
      <c r="M265" s="60"/>
      <c r="N265" s="65"/>
      <c r="O265" s="60"/>
      <c r="P265" s="60"/>
      <c r="Q265" s="60"/>
    </row>
    <row r="266" spans="1:17" s="3" customFormat="1" ht="15" customHeight="1" x14ac:dyDescent="0.25">
      <c r="A266" s="47">
        <v>45547</v>
      </c>
      <c r="B266" s="1" t="s">
        <v>143</v>
      </c>
      <c r="C266" s="86"/>
      <c r="D266" s="44">
        <f>SUM(C258:C266)</f>
        <v>8778000</v>
      </c>
      <c r="E266" s="32">
        <f t="shared" si="23"/>
        <v>282700</v>
      </c>
      <c r="F266" s="34">
        <v>100</v>
      </c>
      <c r="G266" s="104"/>
      <c r="H266" s="3">
        <f t="shared" si="22"/>
        <v>0</v>
      </c>
      <c r="I266" s="29"/>
      <c r="J266" s="55"/>
      <c r="K266" s="60"/>
      <c r="L266" s="60"/>
      <c r="M266" s="60"/>
      <c r="N266" s="65"/>
      <c r="O266" s="60"/>
      <c r="P266" s="60"/>
      <c r="Q266" s="60"/>
    </row>
    <row r="267" spans="1:17" s="3" customFormat="1" ht="15" customHeight="1" x14ac:dyDescent="0.25">
      <c r="A267" s="47">
        <v>45547</v>
      </c>
      <c r="B267" s="1" t="s">
        <v>160</v>
      </c>
      <c r="C267" s="86"/>
      <c r="D267" s="46"/>
      <c r="E267" s="32">
        <f t="shared" si="23"/>
        <v>282700</v>
      </c>
      <c r="F267" s="1"/>
      <c r="G267" s="1"/>
      <c r="H267" s="1"/>
      <c r="I267" s="29"/>
      <c r="J267" s="55"/>
      <c r="K267" s="60"/>
      <c r="L267" s="60"/>
      <c r="M267" s="60"/>
      <c r="N267" s="65"/>
      <c r="O267" s="60"/>
      <c r="P267" s="60"/>
      <c r="Q267" s="60"/>
    </row>
    <row r="268" spans="1:17" s="3" customFormat="1" ht="15" customHeight="1" x14ac:dyDescent="0.25">
      <c r="A268" s="47">
        <v>45547</v>
      </c>
      <c r="B268" s="1"/>
      <c r="C268" s="86"/>
      <c r="D268" s="44"/>
      <c r="E268" s="32">
        <f t="shared" si="23"/>
        <v>282700</v>
      </c>
      <c r="G268" s="34"/>
      <c r="H268" s="34"/>
      <c r="I268" s="29"/>
      <c r="J268" s="55"/>
      <c r="K268" s="61"/>
      <c r="L268" s="61"/>
      <c r="M268" s="72"/>
      <c r="N268" s="65"/>
      <c r="O268" s="60"/>
      <c r="P268" s="60"/>
      <c r="Q268" s="60"/>
    </row>
    <row r="269" spans="1:17" s="3" customFormat="1" ht="15" customHeight="1" x14ac:dyDescent="0.25">
      <c r="A269" s="47">
        <v>45547</v>
      </c>
      <c r="B269" s="31" t="s">
        <v>139</v>
      </c>
      <c r="C269" s="86">
        <v>125000</v>
      </c>
      <c r="D269" s="44">
        <f>134500+125000</f>
        <v>259500</v>
      </c>
      <c r="E269" s="32">
        <f t="shared" si="23"/>
        <v>148200</v>
      </c>
      <c r="G269" s="34"/>
      <c r="H269" s="34"/>
      <c r="I269" s="29"/>
      <c r="J269" s="55"/>
      <c r="K269" s="60"/>
      <c r="L269" s="60"/>
      <c r="M269" s="70"/>
      <c r="N269" s="65"/>
      <c r="O269" s="60"/>
      <c r="P269" s="60"/>
      <c r="Q269" s="60"/>
    </row>
    <row r="270" spans="1:17" s="3" customFormat="1" ht="15" customHeight="1" x14ac:dyDescent="0.25">
      <c r="A270" s="47">
        <v>45547</v>
      </c>
      <c r="B270" s="47"/>
      <c r="C270" s="87"/>
      <c r="D270" s="44"/>
      <c r="E270" s="32">
        <f t="shared" si="23"/>
        <v>148200</v>
      </c>
      <c r="G270" s="34"/>
      <c r="H270" s="34"/>
      <c r="I270" s="29"/>
      <c r="J270" s="55"/>
      <c r="K270" s="60"/>
      <c r="L270" s="60"/>
      <c r="M270" s="70"/>
      <c r="N270" s="65"/>
      <c r="O270" s="60"/>
      <c r="P270" s="60"/>
      <c r="Q270" s="60"/>
    </row>
    <row r="271" spans="1:17" s="3" customFormat="1" ht="15" customHeight="1" x14ac:dyDescent="0.25">
      <c r="A271" s="47">
        <v>45547</v>
      </c>
      <c r="B271" s="82"/>
      <c r="C271" s="87"/>
      <c r="D271" s="44"/>
      <c r="E271" s="32">
        <f t="shared" si="23"/>
        <v>148200</v>
      </c>
      <c r="G271" s="34"/>
      <c r="H271" s="34"/>
      <c r="I271" s="29"/>
      <c r="J271" s="55"/>
      <c r="K271" s="59"/>
      <c r="L271" s="60"/>
      <c r="M271" s="70"/>
      <c r="N271" s="65"/>
      <c r="O271" s="60"/>
      <c r="P271" s="60"/>
      <c r="Q271" s="60"/>
    </row>
    <row r="272" spans="1:17" s="3" customFormat="1" ht="15" customHeight="1" x14ac:dyDescent="0.25">
      <c r="A272" s="47">
        <v>45547</v>
      </c>
      <c r="C272" s="87"/>
      <c r="D272" s="44"/>
      <c r="E272" s="32">
        <f t="shared" si="23"/>
        <v>148200</v>
      </c>
      <c r="G272" s="34"/>
      <c r="H272" s="34"/>
      <c r="I272" s="29"/>
      <c r="J272" s="55"/>
      <c r="K272" s="59"/>
      <c r="L272" s="59"/>
      <c r="M272" s="70"/>
      <c r="N272" s="65"/>
      <c r="O272" s="60"/>
      <c r="P272" s="60"/>
      <c r="Q272" s="60"/>
    </row>
    <row r="273" spans="1:17" s="3" customFormat="1" ht="15" customHeight="1" x14ac:dyDescent="0.25">
      <c r="A273" s="47">
        <v>45547</v>
      </c>
      <c r="B273" s="1"/>
      <c r="C273" s="88"/>
      <c r="D273" s="36"/>
      <c r="E273" s="32">
        <f t="shared" si="23"/>
        <v>148200</v>
      </c>
      <c r="F273" s="1"/>
      <c r="G273" s="34"/>
      <c r="I273" s="29"/>
      <c r="J273" s="55"/>
      <c r="K273" s="60"/>
      <c r="L273" s="60"/>
      <c r="M273" s="62"/>
      <c r="N273" s="65"/>
      <c r="O273" s="60"/>
      <c r="P273" s="60"/>
      <c r="Q273" s="60"/>
    </row>
    <row r="274" spans="1:17" s="3" customFormat="1" ht="15" customHeight="1" x14ac:dyDescent="0.25">
      <c r="A274" s="47">
        <v>45547</v>
      </c>
      <c r="B274" s="1" t="s">
        <v>143</v>
      </c>
      <c r="C274" s="89"/>
      <c r="D274" s="44"/>
      <c r="E274" s="32">
        <f t="shared" si="23"/>
        <v>148200</v>
      </c>
      <c r="F274" s="1"/>
      <c r="G274" s="34"/>
      <c r="I274" s="29"/>
      <c r="J274" s="55"/>
      <c r="K274" s="60"/>
      <c r="L274" s="60"/>
      <c r="M274" s="62"/>
      <c r="N274" s="65"/>
      <c r="O274" s="60"/>
      <c r="P274" s="60"/>
      <c r="Q274" s="60"/>
    </row>
    <row r="275" spans="1:17" s="3" customFormat="1" ht="15" customHeight="1" x14ac:dyDescent="0.25">
      <c r="A275" s="47">
        <v>45547</v>
      </c>
      <c r="B275" s="47"/>
      <c r="C275" s="90"/>
      <c r="D275" s="44"/>
      <c r="E275" s="32">
        <f t="shared" si="23"/>
        <v>148200</v>
      </c>
      <c r="F275" s="43"/>
      <c r="G275" s="34"/>
      <c r="I275" s="29"/>
      <c r="J275" s="55"/>
      <c r="K275" s="62"/>
      <c r="L275" s="60"/>
      <c r="M275" s="62"/>
      <c r="N275" s="65"/>
      <c r="O275" s="60"/>
      <c r="P275" s="60"/>
      <c r="Q275" s="60"/>
    </row>
    <row r="276" spans="1:17" s="3" customFormat="1" ht="15" customHeight="1" x14ac:dyDescent="0.25">
      <c r="A276" s="47">
        <v>45547</v>
      </c>
      <c r="B276" s="45" t="s">
        <v>136</v>
      </c>
      <c r="C276" s="86"/>
      <c r="D276" s="44"/>
      <c r="E276" s="32">
        <f t="shared" si="23"/>
        <v>148200</v>
      </c>
      <c r="F276" s="3">
        <f>SUM(H256:H272)</f>
        <v>149000</v>
      </c>
      <c r="G276" s="49"/>
      <c r="I276" s="29"/>
      <c r="J276" s="55"/>
      <c r="K276" s="62"/>
      <c r="L276" s="62"/>
      <c r="M276" s="62"/>
      <c r="N276" s="65"/>
      <c r="O276" s="60"/>
      <c r="P276" s="60"/>
      <c r="Q276" s="60"/>
    </row>
    <row r="277" spans="1:17" s="3" customFormat="1" ht="15" customHeight="1" x14ac:dyDescent="0.25">
      <c r="A277" s="47">
        <v>45547</v>
      </c>
      <c r="B277" s="4" t="s">
        <v>161</v>
      </c>
      <c r="C277" s="86">
        <f>SUM(C257:C276)</f>
        <v>9030000</v>
      </c>
      <c r="D277" s="33">
        <f>SUM(D258:D276)</f>
        <v>9037500</v>
      </c>
      <c r="E277" s="32"/>
      <c r="F277" s="25">
        <f>F276-E276</f>
        <v>800</v>
      </c>
      <c r="G277" s="34"/>
      <c r="I277" s="29"/>
      <c r="J277" s="55"/>
      <c r="K277" s="61"/>
      <c r="L277" s="61"/>
      <c r="M277" s="61"/>
      <c r="N277" s="65"/>
      <c r="O277" s="60"/>
      <c r="P277" s="60"/>
      <c r="Q277" s="60"/>
    </row>
    <row r="278" spans="1:17" s="3" customFormat="1" ht="15" customHeight="1" x14ac:dyDescent="0.25">
      <c r="B278" s="45"/>
      <c r="C278" s="86"/>
      <c r="D278" s="44"/>
      <c r="E278" s="32"/>
      <c r="G278" s="49"/>
      <c r="I278" s="29"/>
      <c r="J278" s="55"/>
      <c r="K278" s="60"/>
      <c r="L278" s="60"/>
      <c r="M278" s="59"/>
      <c r="N278" s="65"/>
      <c r="O278" s="60"/>
      <c r="P278" s="60"/>
      <c r="Q278" s="60"/>
    </row>
    <row r="279" spans="1:17" s="3" customFormat="1" ht="15" customHeight="1" x14ac:dyDescent="0.25">
      <c r="A279" s="47">
        <v>45548</v>
      </c>
      <c r="B279" s="1" t="s">
        <v>140</v>
      </c>
      <c r="C279" s="65"/>
      <c r="D279" s="8"/>
      <c r="E279" s="8">
        <v>148200</v>
      </c>
      <c r="F279" s="49">
        <v>100000</v>
      </c>
      <c r="G279" s="103"/>
      <c r="H279" s="3">
        <f>G279*F279</f>
        <v>0</v>
      </c>
      <c r="I279" s="29"/>
      <c r="J279" s="55"/>
      <c r="K279" s="60"/>
      <c r="L279" s="60"/>
      <c r="M279" s="59"/>
      <c r="N279" s="65"/>
      <c r="O279" s="60"/>
      <c r="P279" s="60"/>
      <c r="Q279" s="60"/>
    </row>
    <row r="280" spans="1:17" s="3" customFormat="1" ht="15" customHeight="1" x14ac:dyDescent="0.25">
      <c r="A280" s="47">
        <v>45548</v>
      </c>
      <c r="B280" s="31" t="s">
        <v>138</v>
      </c>
      <c r="C280" s="73">
        <v>298000</v>
      </c>
      <c r="D280" s="44"/>
      <c r="E280" s="32">
        <f>E279+C280-D280</f>
        <v>446200</v>
      </c>
      <c r="F280" s="3">
        <v>75000</v>
      </c>
      <c r="G280" s="103"/>
      <c r="H280" s="3">
        <f t="shared" ref="H280:H289" si="24">G280*F280</f>
        <v>0</v>
      </c>
      <c r="I280" s="29"/>
      <c r="J280" s="55"/>
      <c r="K280" s="59"/>
      <c r="L280" s="60"/>
      <c r="M280" s="59"/>
      <c r="N280" s="65"/>
      <c r="O280" s="60"/>
      <c r="P280" s="60"/>
      <c r="Q280" s="60"/>
    </row>
    <row r="281" spans="1:17" s="3" customFormat="1" ht="15" customHeight="1" x14ac:dyDescent="0.25">
      <c r="A281" s="47">
        <v>45548</v>
      </c>
      <c r="B281" s="1" t="s">
        <v>155</v>
      </c>
      <c r="C281" s="73">
        <v>554000</v>
      </c>
      <c r="D281" s="44"/>
      <c r="E281" s="32">
        <f t="shared" ref="E281:E299" si="25">E280+C281-D281</f>
        <v>1000200</v>
      </c>
      <c r="F281" s="34">
        <v>50000</v>
      </c>
      <c r="G281" s="103"/>
      <c r="H281" s="3">
        <f t="shared" si="24"/>
        <v>0</v>
      </c>
      <c r="I281" s="29"/>
      <c r="J281" s="55"/>
      <c r="K281" s="55"/>
      <c r="L281" s="59"/>
      <c r="M281" s="59"/>
      <c r="N281" s="65"/>
      <c r="O281" s="60"/>
      <c r="P281" s="60"/>
      <c r="Q281" s="60"/>
    </row>
    <row r="282" spans="1:17" s="3" customFormat="1" ht="15" customHeight="1" x14ac:dyDescent="0.25">
      <c r="A282" s="47">
        <v>45548</v>
      </c>
      <c r="B282" s="1" t="s">
        <v>156</v>
      </c>
      <c r="C282" s="73"/>
      <c r="D282" s="44"/>
      <c r="E282" s="32">
        <f t="shared" si="25"/>
        <v>1000200</v>
      </c>
      <c r="F282" s="34">
        <v>20000</v>
      </c>
      <c r="G282" s="103">
        <v>1</v>
      </c>
      <c r="H282" s="3">
        <f t="shared" si="24"/>
        <v>20000</v>
      </c>
      <c r="I282" s="29"/>
      <c r="J282" s="55"/>
      <c r="K282" s="60"/>
      <c r="L282" s="60"/>
      <c r="M282" s="60"/>
      <c r="N282" s="65"/>
      <c r="O282" s="60"/>
      <c r="P282" s="60"/>
      <c r="Q282" s="60"/>
    </row>
    <row r="283" spans="1:17" s="3" customFormat="1" ht="15" customHeight="1" x14ac:dyDescent="0.25">
      <c r="A283" s="47">
        <v>45548</v>
      </c>
      <c r="B283" s="1" t="s">
        <v>133</v>
      </c>
      <c r="C283" s="73">
        <v>1054500</v>
      </c>
      <c r="D283" s="44"/>
      <c r="E283" s="32">
        <f t="shared" si="25"/>
        <v>2054700</v>
      </c>
      <c r="F283" s="34">
        <v>10000</v>
      </c>
      <c r="G283" s="103"/>
      <c r="H283" s="3">
        <f t="shared" si="24"/>
        <v>0</v>
      </c>
      <c r="I283" s="29"/>
      <c r="J283" s="55"/>
      <c r="K283" s="60"/>
      <c r="L283" s="60"/>
      <c r="M283" s="60"/>
      <c r="N283" s="65"/>
      <c r="O283" s="60"/>
      <c r="P283" s="60"/>
      <c r="Q283" s="60"/>
    </row>
    <row r="284" spans="1:17" s="3" customFormat="1" ht="15" customHeight="1" x14ac:dyDescent="0.25">
      <c r="A284" s="47">
        <v>45548</v>
      </c>
      <c r="B284" s="1" t="s">
        <v>150</v>
      </c>
      <c r="C284" s="73"/>
      <c r="D284" s="44"/>
      <c r="E284" s="32">
        <f t="shared" si="25"/>
        <v>2054700</v>
      </c>
      <c r="F284" s="34">
        <v>5000</v>
      </c>
      <c r="G284" s="103">
        <v>1</v>
      </c>
      <c r="H284" s="3">
        <f t="shared" si="24"/>
        <v>5000</v>
      </c>
      <c r="I284" s="29"/>
      <c r="J284" s="55"/>
      <c r="K284" s="60"/>
      <c r="L284" s="60"/>
      <c r="M284" s="60"/>
      <c r="N284" s="65"/>
      <c r="O284" s="60"/>
      <c r="P284" s="60"/>
      <c r="Q284" s="60"/>
    </row>
    <row r="285" spans="1:17" s="3" customFormat="1" ht="15" customHeight="1" x14ac:dyDescent="0.25">
      <c r="A285" s="47">
        <v>45548</v>
      </c>
      <c r="B285" s="1" t="s">
        <v>146</v>
      </c>
      <c r="C285" s="73">
        <v>4184000</v>
      </c>
      <c r="D285" s="44"/>
      <c r="E285" s="32">
        <f t="shared" si="25"/>
        <v>6238700</v>
      </c>
      <c r="F285" s="34">
        <v>2000</v>
      </c>
      <c r="G285" s="103"/>
      <c r="H285" s="3">
        <f t="shared" si="24"/>
        <v>0</v>
      </c>
      <c r="I285" s="29"/>
      <c r="J285" s="55"/>
      <c r="K285" s="60"/>
      <c r="L285" s="60"/>
      <c r="M285" s="60"/>
      <c r="N285" s="65"/>
      <c r="O285" s="60"/>
      <c r="P285" s="60"/>
      <c r="Q285" s="60"/>
    </row>
    <row r="286" spans="1:17" s="3" customFormat="1" ht="15" customHeight="1" x14ac:dyDescent="0.25">
      <c r="A286" s="47">
        <v>45548</v>
      </c>
      <c r="B286" s="1" t="s">
        <v>157</v>
      </c>
      <c r="C286" s="86"/>
      <c r="D286" s="44"/>
      <c r="E286" s="32">
        <f t="shared" si="25"/>
        <v>6238700</v>
      </c>
      <c r="F286" s="34">
        <v>1000</v>
      </c>
      <c r="G286" s="103">
        <v>1</v>
      </c>
      <c r="H286" s="3">
        <f t="shared" si="24"/>
        <v>1000</v>
      </c>
      <c r="I286" s="29"/>
      <c r="J286" s="55"/>
      <c r="K286" s="61"/>
      <c r="L286" s="61"/>
      <c r="M286" s="61"/>
      <c r="N286" s="65"/>
      <c r="O286" s="60"/>
      <c r="P286" s="60"/>
      <c r="Q286" s="60"/>
    </row>
    <row r="287" spans="1:17" s="3" customFormat="1" ht="15" customHeight="1" x14ac:dyDescent="0.25">
      <c r="A287" s="47">
        <v>45548</v>
      </c>
      <c r="B287" s="1" t="s">
        <v>159</v>
      </c>
      <c r="C287" s="86">
        <v>2566000</v>
      </c>
      <c r="D287" s="44"/>
      <c r="E287" s="32">
        <f t="shared" si="25"/>
        <v>8804700</v>
      </c>
      <c r="F287" s="34">
        <v>500</v>
      </c>
      <c r="G287" s="103">
        <v>2</v>
      </c>
      <c r="H287" s="3">
        <f t="shared" si="24"/>
        <v>1000</v>
      </c>
      <c r="I287" s="29"/>
      <c r="J287" s="55"/>
      <c r="K287" s="60"/>
      <c r="L287" s="60"/>
      <c r="M287" s="59"/>
      <c r="N287" s="65"/>
      <c r="O287" s="60"/>
      <c r="P287" s="60"/>
      <c r="Q287" s="60"/>
    </row>
    <row r="288" spans="1:17" s="3" customFormat="1" ht="15" customHeight="1" x14ac:dyDescent="0.25">
      <c r="A288" s="47">
        <v>45548</v>
      </c>
      <c r="B288" s="1" t="s">
        <v>145</v>
      </c>
      <c r="C288" s="86"/>
      <c r="D288" s="44"/>
      <c r="E288" s="32">
        <f t="shared" si="25"/>
        <v>8804700</v>
      </c>
      <c r="F288" s="34">
        <v>200</v>
      </c>
      <c r="G288" s="103">
        <v>7</v>
      </c>
      <c r="H288" s="3">
        <f t="shared" si="24"/>
        <v>1400</v>
      </c>
      <c r="I288" s="29"/>
      <c r="J288" s="55"/>
      <c r="K288" s="60"/>
      <c r="L288" s="60"/>
      <c r="M288" s="59"/>
      <c r="N288" s="65"/>
      <c r="O288" s="60"/>
      <c r="P288" s="60"/>
      <c r="Q288" s="60"/>
    </row>
    <row r="289" spans="1:17" s="3" customFormat="1" ht="15" customHeight="1" x14ac:dyDescent="0.25">
      <c r="A289" s="47">
        <v>45548</v>
      </c>
      <c r="B289" s="1" t="s">
        <v>143</v>
      </c>
      <c r="C289" s="86"/>
      <c r="D289" s="44">
        <f>SUM(C281:C289)</f>
        <v>8358500</v>
      </c>
      <c r="E289" s="32">
        <f t="shared" si="25"/>
        <v>446200</v>
      </c>
      <c r="F289" s="34">
        <v>100</v>
      </c>
      <c r="G289" s="104"/>
      <c r="H289" s="3">
        <f t="shared" si="24"/>
        <v>0</v>
      </c>
      <c r="I289" s="29"/>
      <c r="J289" s="55"/>
      <c r="K289" s="59"/>
      <c r="L289" s="60"/>
      <c r="M289" s="59"/>
      <c r="N289" s="65"/>
      <c r="O289" s="60"/>
      <c r="P289" s="60"/>
      <c r="Q289" s="60"/>
    </row>
    <row r="290" spans="1:17" s="3" customFormat="1" ht="15" customHeight="1" x14ac:dyDescent="0.25">
      <c r="A290" s="47">
        <v>45548</v>
      </c>
      <c r="B290" s="1" t="s">
        <v>160</v>
      </c>
      <c r="C290" s="86"/>
      <c r="D290" s="46"/>
      <c r="E290" s="32">
        <f t="shared" si="25"/>
        <v>446200</v>
      </c>
      <c r="F290" s="1"/>
      <c r="G290" s="1"/>
      <c r="H290" s="1"/>
      <c r="I290" s="29"/>
      <c r="J290" s="55"/>
      <c r="K290" s="59"/>
      <c r="L290" s="59"/>
      <c r="M290" s="59"/>
      <c r="N290" s="65"/>
      <c r="O290" s="60"/>
      <c r="P290" s="60"/>
      <c r="Q290" s="60"/>
    </row>
    <row r="291" spans="1:17" s="3" customFormat="1" ht="15" customHeight="1" x14ac:dyDescent="0.25">
      <c r="A291" s="47">
        <v>45548</v>
      </c>
      <c r="B291" s="1"/>
      <c r="C291" s="86"/>
      <c r="D291" s="44"/>
      <c r="E291" s="32">
        <f t="shared" si="25"/>
        <v>446200</v>
      </c>
      <c r="G291" s="34"/>
      <c r="H291" s="34"/>
      <c r="I291" s="29"/>
      <c r="J291" s="55"/>
      <c r="K291" s="60"/>
      <c r="L291" s="60"/>
      <c r="M291" s="60"/>
      <c r="N291" s="65"/>
      <c r="O291" s="60"/>
      <c r="P291" s="60"/>
      <c r="Q291" s="60"/>
    </row>
    <row r="292" spans="1:17" s="3" customFormat="1" ht="15" customHeight="1" x14ac:dyDescent="0.25">
      <c r="A292" s="47">
        <v>45548</v>
      </c>
      <c r="B292" s="31" t="s">
        <v>139</v>
      </c>
      <c r="C292" s="86"/>
      <c r="D292" s="44">
        <v>418000</v>
      </c>
      <c r="E292" s="32">
        <f t="shared" si="25"/>
        <v>28200</v>
      </c>
      <c r="G292" s="34"/>
      <c r="H292" s="34"/>
      <c r="I292" s="29"/>
      <c r="J292" s="55"/>
      <c r="K292" s="60"/>
      <c r="L292" s="60"/>
      <c r="M292" s="60"/>
      <c r="N292" s="65"/>
      <c r="O292" s="60"/>
      <c r="P292" s="60"/>
      <c r="Q292" s="60"/>
    </row>
    <row r="293" spans="1:17" s="3" customFormat="1" ht="15" customHeight="1" x14ac:dyDescent="0.25">
      <c r="A293" s="47">
        <v>45548</v>
      </c>
      <c r="B293" s="47"/>
      <c r="C293" s="87"/>
      <c r="D293" s="44"/>
      <c r="E293" s="32">
        <f t="shared" si="25"/>
        <v>28200</v>
      </c>
      <c r="G293" s="34"/>
      <c r="H293" s="34"/>
      <c r="I293" s="29"/>
      <c r="J293" s="55"/>
      <c r="K293" s="60"/>
      <c r="L293" s="60"/>
      <c r="M293" s="60"/>
      <c r="N293" s="65"/>
      <c r="O293" s="60"/>
      <c r="P293" s="60"/>
      <c r="Q293" s="60"/>
    </row>
    <row r="294" spans="1:17" s="3" customFormat="1" ht="15" customHeight="1" x14ac:dyDescent="0.25">
      <c r="A294" s="47">
        <v>45548</v>
      </c>
      <c r="B294" s="82"/>
      <c r="C294" s="87"/>
      <c r="D294" s="44"/>
      <c r="E294" s="32">
        <f t="shared" si="25"/>
        <v>28200</v>
      </c>
      <c r="G294" s="34"/>
      <c r="H294" s="34"/>
      <c r="I294" s="29"/>
      <c r="J294" s="55"/>
      <c r="K294" s="60"/>
      <c r="L294" s="60"/>
      <c r="M294" s="60"/>
      <c r="N294" s="65"/>
      <c r="O294" s="60"/>
      <c r="P294" s="60"/>
      <c r="Q294" s="60"/>
    </row>
    <row r="295" spans="1:17" s="3" customFormat="1" ht="15" customHeight="1" x14ac:dyDescent="0.25">
      <c r="A295" s="47">
        <v>45548</v>
      </c>
      <c r="C295" s="87"/>
      <c r="D295" s="44"/>
      <c r="E295" s="32">
        <f t="shared" si="25"/>
        <v>28200</v>
      </c>
      <c r="G295" s="34"/>
      <c r="H295" s="34"/>
      <c r="I295" s="29"/>
      <c r="J295" s="55"/>
      <c r="K295" s="60"/>
      <c r="L295" s="60"/>
      <c r="M295" s="60"/>
      <c r="N295" s="65"/>
      <c r="O295" s="60"/>
      <c r="P295" s="60"/>
      <c r="Q295" s="60"/>
    </row>
    <row r="296" spans="1:17" s="3" customFormat="1" ht="15" customHeight="1" x14ac:dyDescent="0.25">
      <c r="A296" s="47">
        <v>45548</v>
      </c>
      <c r="B296" s="1"/>
      <c r="C296" s="88"/>
      <c r="D296" s="36"/>
      <c r="E296" s="32">
        <f t="shared" si="25"/>
        <v>28200</v>
      </c>
      <c r="F296" s="1"/>
      <c r="G296" s="34"/>
      <c r="I296" s="29"/>
      <c r="J296" s="55"/>
      <c r="K296" s="60"/>
      <c r="L296" s="60"/>
      <c r="M296" s="60"/>
      <c r="N296" s="65"/>
      <c r="O296" s="60"/>
      <c r="P296" s="60"/>
      <c r="Q296" s="60"/>
    </row>
    <row r="297" spans="1:17" s="3" customFormat="1" ht="15" customHeight="1" x14ac:dyDescent="0.25">
      <c r="A297" s="47">
        <v>45548</v>
      </c>
      <c r="B297" s="1" t="s">
        <v>143</v>
      </c>
      <c r="C297" s="89"/>
      <c r="D297" s="44"/>
      <c r="E297" s="32">
        <f t="shared" si="25"/>
        <v>28200</v>
      </c>
      <c r="F297" s="1"/>
      <c r="G297" s="34"/>
      <c r="I297" s="29"/>
      <c r="J297" s="55"/>
      <c r="K297" s="60"/>
      <c r="L297" s="60"/>
      <c r="M297" s="60"/>
      <c r="N297" s="65"/>
      <c r="O297" s="60"/>
      <c r="P297" s="60"/>
      <c r="Q297" s="60"/>
    </row>
    <row r="298" spans="1:17" s="3" customFormat="1" ht="15" customHeight="1" x14ac:dyDescent="0.25">
      <c r="A298" s="47">
        <v>45548</v>
      </c>
      <c r="B298" s="47"/>
      <c r="C298" s="90"/>
      <c r="D298" s="44"/>
      <c r="E298" s="32">
        <f t="shared" si="25"/>
        <v>28200</v>
      </c>
      <c r="F298" s="43"/>
      <c r="G298" s="34"/>
      <c r="I298" s="29"/>
      <c r="J298" s="55"/>
      <c r="K298" s="60"/>
      <c r="L298" s="60"/>
      <c r="M298" s="60"/>
      <c r="N298" s="65"/>
      <c r="O298" s="60"/>
      <c r="P298" s="60"/>
      <c r="Q298" s="60"/>
    </row>
    <row r="299" spans="1:17" s="3" customFormat="1" ht="15" customHeight="1" x14ac:dyDescent="0.25">
      <c r="A299" s="47">
        <v>45548</v>
      </c>
      <c r="B299" s="45" t="s">
        <v>136</v>
      </c>
      <c r="C299" s="86"/>
      <c r="D299" s="44"/>
      <c r="E299" s="32">
        <f t="shared" si="25"/>
        <v>28200</v>
      </c>
      <c r="F299" s="3">
        <f>SUM(H279:H295)</f>
        <v>28400</v>
      </c>
      <c r="G299" s="49"/>
      <c r="I299" s="29"/>
      <c r="J299" s="55"/>
      <c r="K299" s="60"/>
      <c r="L299" s="60"/>
      <c r="M299" s="60"/>
      <c r="N299" s="65"/>
      <c r="O299" s="60"/>
      <c r="P299" s="60"/>
      <c r="Q299" s="60"/>
    </row>
    <row r="300" spans="1:17" s="3" customFormat="1" ht="15" customHeight="1" x14ac:dyDescent="0.25">
      <c r="A300" s="47">
        <v>45548</v>
      </c>
      <c r="B300" s="4" t="s">
        <v>161</v>
      </c>
      <c r="C300" s="86">
        <f>SUM(C280:C299)</f>
        <v>8656500</v>
      </c>
      <c r="D300" s="33">
        <f>SUM(D281:D299)</f>
        <v>8776500</v>
      </c>
      <c r="E300" s="32"/>
      <c r="F300" s="25">
        <f>F299-E299</f>
        <v>200</v>
      </c>
      <c r="G300" s="34"/>
      <c r="I300" s="29"/>
      <c r="J300" s="55"/>
      <c r="K300" s="60"/>
      <c r="L300" s="60"/>
      <c r="M300" s="60"/>
      <c r="N300" s="65"/>
      <c r="O300" s="60"/>
      <c r="P300" s="60"/>
      <c r="Q300" s="60"/>
    </row>
    <row r="301" spans="1:17" s="3" customFormat="1" ht="15" customHeight="1" x14ac:dyDescent="0.25">
      <c r="B301" s="45"/>
      <c r="C301" s="86"/>
      <c r="D301" s="44"/>
      <c r="E301" s="32"/>
      <c r="G301" s="49"/>
      <c r="I301" s="29"/>
      <c r="J301" s="55"/>
      <c r="K301" s="61"/>
      <c r="L301" s="61"/>
      <c r="M301" s="61"/>
      <c r="N301" s="65"/>
      <c r="O301" s="60"/>
      <c r="P301" s="60"/>
      <c r="Q301" s="60"/>
    </row>
    <row r="302" spans="1:17" s="3" customFormat="1" ht="15" customHeight="1" x14ac:dyDescent="0.25">
      <c r="A302" s="47">
        <v>45549</v>
      </c>
      <c r="B302" s="1" t="s">
        <v>140</v>
      </c>
      <c r="C302" s="65"/>
      <c r="D302" s="8"/>
      <c r="E302" s="8">
        <v>28200</v>
      </c>
      <c r="F302" s="49">
        <v>100000</v>
      </c>
      <c r="G302" s="103"/>
      <c r="H302" s="3">
        <f>G302*F302</f>
        <v>0</v>
      </c>
      <c r="I302" s="29"/>
      <c r="J302" s="55"/>
      <c r="K302" s="60"/>
      <c r="L302" s="60"/>
      <c r="M302" s="62"/>
      <c r="N302" s="65"/>
      <c r="O302" s="60"/>
      <c r="P302" s="60"/>
      <c r="Q302" s="60"/>
    </row>
    <row r="303" spans="1:17" s="3" customFormat="1" ht="15" customHeight="1" x14ac:dyDescent="0.25">
      <c r="A303" s="47">
        <v>45549</v>
      </c>
      <c r="B303" s="31" t="s">
        <v>138</v>
      </c>
      <c r="C303" s="73">
        <v>372000</v>
      </c>
      <c r="D303" s="44"/>
      <c r="E303" s="32">
        <f>E302+C303-D303</f>
        <v>400200</v>
      </c>
      <c r="F303" s="3">
        <v>75000</v>
      </c>
      <c r="G303" s="103"/>
      <c r="H303" s="3">
        <f t="shared" ref="H303:H312" si="26">G303*F303</f>
        <v>0</v>
      </c>
      <c r="I303" s="29"/>
      <c r="J303" s="55"/>
      <c r="K303" s="60"/>
      <c r="L303" s="60"/>
      <c r="M303" s="62"/>
      <c r="N303" s="65"/>
      <c r="O303" s="60"/>
      <c r="P303" s="60"/>
      <c r="Q303" s="60"/>
    </row>
    <row r="304" spans="1:17" s="3" customFormat="1" ht="15" customHeight="1" x14ac:dyDescent="0.25">
      <c r="A304" s="47">
        <v>45549</v>
      </c>
      <c r="B304" s="1" t="s">
        <v>155</v>
      </c>
      <c r="C304" s="73">
        <v>1152000</v>
      </c>
      <c r="D304" s="44"/>
      <c r="E304" s="32">
        <f t="shared" ref="E304:E322" si="27">E303+C304-D304</f>
        <v>1552200</v>
      </c>
      <c r="F304" s="34">
        <v>50000</v>
      </c>
      <c r="G304" s="103">
        <v>1</v>
      </c>
      <c r="H304" s="3">
        <f t="shared" si="26"/>
        <v>50000</v>
      </c>
      <c r="I304" s="29"/>
      <c r="J304" s="55"/>
      <c r="K304" s="62"/>
      <c r="L304" s="60"/>
      <c r="M304" s="62"/>
      <c r="N304" s="65"/>
      <c r="O304" s="60"/>
      <c r="P304" s="60"/>
      <c r="Q304" s="60"/>
    </row>
    <row r="305" spans="1:17" s="3" customFormat="1" ht="15" customHeight="1" x14ac:dyDescent="0.25">
      <c r="A305" s="47">
        <v>45549</v>
      </c>
      <c r="B305" s="1" t="s">
        <v>156</v>
      </c>
      <c r="C305" s="73">
        <v>631000</v>
      </c>
      <c r="D305" s="44"/>
      <c r="E305" s="32">
        <f t="shared" si="27"/>
        <v>2183200</v>
      </c>
      <c r="F305" s="34">
        <v>20000</v>
      </c>
      <c r="G305" s="103"/>
      <c r="H305" s="3">
        <f t="shared" si="26"/>
        <v>0</v>
      </c>
      <c r="I305" s="29"/>
      <c r="J305" s="55"/>
      <c r="K305" s="62"/>
      <c r="L305" s="62"/>
      <c r="M305" s="62"/>
      <c r="N305" s="65"/>
      <c r="O305" s="60"/>
      <c r="P305" s="60"/>
      <c r="Q305" s="60"/>
    </row>
    <row r="306" spans="1:17" s="3" customFormat="1" ht="15" customHeight="1" x14ac:dyDescent="0.25">
      <c r="A306" s="47">
        <v>45549</v>
      </c>
      <c r="B306" s="1" t="s">
        <v>133</v>
      </c>
      <c r="C306" s="73">
        <v>2299000</v>
      </c>
      <c r="D306" s="44"/>
      <c r="E306" s="32">
        <f t="shared" si="27"/>
        <v>4482200</v>
      </c>
      <c r="F306" s="34">
        <v>10000</v>
      </c>
      <c r="G306" s="103"/>
      <c r="H306" s="3">
        <f t="shared" si="26"/>
        <v>0</v>
      </c>
      <c r="I306" s="29"/>
      <c r="J306" s="55"/>
      <c r="K306" s="60"/>
      <c r="L306" s="60"/>
      <c r="M306" s="60"/>
      <c r="N306" s="65"/>
      <c r="O306" s="60"/>
      <c r="P306" s="60"/>
      <c r="Q306" s="60"/>
    </row>
    <row r="307" spans="1:17" s="3" customFormat="1" ht="15" customHeight="1" x14ac:dyDescent="0.25">
      <c r="A307" s="47">
        <v>45549</v>
      </c>
      <c r="B307" s="1" t="s">
        <v>150</v>
      </c>
      <c r="C307" s="73">
        <f>5801500+312000</f>
        <v>6113500</v>
      </c>
      <c r="D307" s="44"/>
      <c r="E307" s="32">
        <f t="shared" si="27"/>
        <v>10595700</v>
      </c>
      <c r="F307" s="34">
        <v>5000</v>
      </c>
      <c r="G307" s="103">
        <v>1</v>
      </c>
      <c r="H307" s="3">
        <f t="shared" si="26"/>
        <v>5000</v>
      </c>
      <c r="I307" s="29"/>
      <c r="J307" s="55"/>
      <c r="K307" s="60"/>
      <c r="L307" s="60"/>
      <c r="M307" s="60"/>
      <c r="N307" s="65"/>
      <c r="O307" s="60"/>
      <c r="P307" s="60"/>
      <c r="Q307" s="60"/>
    </row>
    <row r="308" spans="1:17" s="3" customFormat="1" ht="15" customHeight="1" x14ac:dyDescent="0.25">
      <c r="A308" s="47">
        <v>45549</v>
      </c>
      <c r="B308" s="1" t="s">
        <v>146</v>
      </c>
      <c r="C308" s="73">
        <f>152000+122000</f>
        <v>274000</v>
      </c>
      <c r="D308" s="44"/>
      <c r="E308" s="32">
        <f t="shared" si="27"/>
        <v>10869700</v>
      </c>
      <c r="F308" s="34">
        <v>2000</v>
      </c>
      <c r="G308" s="103"/>
      <c r="H308" s="3">
        <f t="shared" si="26"/>
        <v>0</v>
      </c>
      <c r="I308" s="29"/>
      <c r="J308" s="55"/>
      <c r="K308" s="60"/>
      <c r="L308" s="60"/>
      <c r="M308" s="60"/>
      <c r="N308" s="65"/>
      <c r="O308" s="60"/>
      <c r="P308" s="60"/>
      <c r="Q308" s="60"/>
    </row>
    <row r="309" spans="1:17" s="3" customFormat="1" ht="15" customHeight="1" x14ac:dyDescent="0.25">
      <c r="A309" s="47">
        <v>45549</v>
      </c>
      <c r="B309" s="1" t="s">
        <v>157</v>
      </c>
      <c r="C309" s="86"/>
      <c r="D309" s="44"/>
      <c r="E309" s="32">
        <f t="shared" si="27"/>
        <v>10869700</v>
      </c>
      <c r="F309" s="34">
        <v>1000</v>
      </c>
      <c r="G309" s="103">
        <v>1</v>
      </c>
      <c r="H309" s="3">
        <f t="shared" si="26"/>
        <v>1000</v>
      </c>
      <c r="I309" s="29"/>
      <c r="J309" s="55"/>
      <c r="K309" s="60"/>
      <c r="L309" s="60"/>
      <c r="M309" s="60"/>
      <c r="N309" s="65"/>
      <c r="O309" s="60"/>
      <c r="P309" s="60"/>
      <c r="Q309" s="60"/>
    </row>
    <row r="310" spans="1:17" s="3" customFormat="1" ht="15" customHeight="1" x14ac:dyDescent="0.25">
      <c r="A310" s="47">
        <v>45549</v>
      </c>
      <c r="B310" s="1" t="s">
        <v>159</v>
      </c>
      <c r="C310" s="86">
        <v>2013000</v>
      </c>
      <c r="D310" s="44"/>
      <c r="E310" s="32">
        <f t="shared" si="27"/>
        <v>12882700</v>
      </c>
      <c r="F310" s="34">
        <v>500</v>
      </c>
      <c r="G310" s="103">
        <v>2</v>
      </c>
      <c r="H310" s="3">
        <f t="shared" si="26"/>
        <v>1000</v>
      </c>
      <c r="I310" s="29"/>
      <c r="J310" s="55"/>
      <c r="K310" s="60"/>
      <c r="L310" s="60"/>
      <c r="M310" s="60"/>
      <c r="N310" s="65"/>
      <c r="O310" s="60"/>
      <c r="P310" s="60"/>
      <c r="Q310" s="60"/>
    </row>
    <row r="311" spans="1:17" s="3" customFormat="1" ht="15" customHeight="1" x14ac:dyDescent="0.25">
      <c r="A311" s="47">
        <v>45549</v>
      </c>
      <c r="B311" s="1" t="s">
        <v>145</v>
      </c>
      <c r="C311" s="86"/>
      <c r="D311" s="44"/>
      <c r="E311" s="32">
        <f t="shared" si="27"/>
        <v>12882700</v>
      </c>
      <c r="F311" s="34">
        <v>200</v>
      </c>
      <c r="G311" s="103">
        <v>7</v>
      </c>
      <c r="H311" s="3">
        <f t="shared" si="26"/>
        <v>1400</v>
      </c>
      <c r="I311" s="29"/>
      <c r="J311" s="55"/>
      <c r="K311" s="60"/>
      <c r="L311" s="60"/>
      <c r="M311" s="60"/>
      <c r="N311" s="65"/>
      <c r="O311" s="60"/>
      <c r="P311" s="60"/>
      <c r="Q311" s="60"/>
    </row>
    <row r="312" spans="1:17" s="3" customFormat="1" ht="15" customHeight="1" x14ac:dyDescent="0.25">
      <c r="A312" s="47">
        <v>45549</v>
      </c>
      <c r="B312" s="1" t="s">
        <v>143</v>
      </c>
      <c r="C312" s="86"/>
      <c r="D312" s="44">
        <f>SUM(C304:C312)</f>
        <v>12482500</v>
      </c>
      <c r="E312" s="32">
        <f t="shared" si="27"/>
        <v>400200</v>
      </c>
      <c r="F312" s="34">
        <v>100</v>
      </c>
      <c r="G312" s="104"/>
      <c r="H312" s="3">
        <f t="shared" si="26"/>
        <v>0</v>
      </c>
      <c r="I312" s="29"/>
      <c r="J312" s="55"/>
      <c r="K312" s="60"/>
      <c r="L312" s="60"/>
      <c r="M312" s="60"/>
      <c r="N312" s="65"/>
      <c r="O312" s="60"/>
      <c r="P312" s="60"/>
      <c r="Q312" s="60"/>
    </row>
    <row r="313" spans="1:17" s="3" customFormat="1" ht="15" customHeight="1" x14ac:dyDescent="0.25">
      <c r="A313" s="47">
        <v>45549</v>
      </c>
      <c r="B313" s="1" t="s">
        <v>160</v>
      </c>
      <c r="C313" s="86">
        <f>-33000-13000</f>
        <v>-46000</v>
      </c>
      <c r="D313" s="46"/>
      <c r="E313" s="32">
        <f t="shared" si="27"/>
        <v>354200</v>
      </c>
      <c r="F313" s="1"/>
      <c r="G313" s="1"/>
      <c r="H313" s="1"/>
      <c r="I313" s="29"/>
      <c r="J313" s="55"/>
      <c r="K313" s="60"/>
      <c r="L313" s="60"/>
      <c r="M313" s="60"/>
      <c r="N313" s="65"/>
      <c r="O313" s="60"/>
      <c r="P313" s="60"/>
      <c r="Q313" s="60"/>
    </row>
    <row r="314" spans="1:17" s="3" customFormat="1" ht="15" customHeight="1" x14ac:dyDescent="0.25">
      <c r="A314" s="47">
        <v>45549</v>
      </c>
      <c r="B314" s="1"/>
      <c r="C314" s="86"/>
      <c r="D314" s="44"/>
      <c r="E314" s="32">
        <f t="shared" si="27"/>
        <v>354200</v>
      </c>
      <c r="G314" s="34"/>
      <c r="H314" s="34"/>
      <c r="I314" s="29"/>
      <c r="J314" s="55"/>
      <c r="K314" s="60"/>
      <c r="L314" s="60"/>
      <c r="M314" s="60"/>
      <c r="N314" s="65"/>
      <c r="O314" s="60"/>
      <c r="P314" s="60"/>
      <c r="Q314" s="60"/>
    </row>
    <row r="315" spans="1:17" s="3" customFormat="1" ht="15" customHeight="1" x14ac:dyDescent="0.25">
      <c r="A315" s="47">
        <v>45549</v>
      </c>
      <c r="B315" s="31" t="s">
        <v>139</v>
      </c>
      <c r="C315" s="86"/>
      <c r="D315" s="44">
        <f>326800-46000</f>
        <v>280800</v>
      </c>
      <c r="E315" s="32">
        <f t="shared" si="27"/>
        <v>73400</v>
      </c>
      <c r="G315" s="34"/>
      <c r="H315" s="34"/>
      <c r="I315" s="29"/>
      <c r="J315" s="55"/>
      <c r="K315" s="61"/>
      <c r="L315" s="61"/>
      <c r="M315" s="61"/>
      <c r="N315" s="65"/>
      <c r="O315" s="60"/>
      <c r="P315" s="60"/>
      <c r="Q315" s="60"/>
    </row>
    <row r="316" spans="1:17" s="3" customFormat="1" ht="15" customHeight="1" x14ac:dyDescent="0.25">
      <c r="A316" s="47">
        <v>45549</v>
      </c>
      <c r="B316" s="47"/>
      <c r="C316" s="87"/>
      <c r="D316" s="44"/>
      <c r="E316" s="32">
        <f t="shared" si="27"/>
        <v>73400</v>
      </c>
      <c r="G316" s="34"/>
      <c r="H316" s="34"/>
      <c r="I316" s="29"/>
      <c r="J316" s="55"/>
      <c r="K316" s="60"/>
      <c r="L316" s="60"/>
      <c r="M316" s="59"/>
      <c r="N316" s="65"/>
      <c r="O316" s="60"/>
      <c r="P316" s="60"/>
      <c r="Q316" s="60"/>
    </row>
    <row r="317" spans="1:17" s="3" customFormat="1" ht="15" customHeight="1" x14ac:dyDescent="0.25">
      <c r="A317" s="47">
        <v>45549</v>
      </c>
      <c r="B317" s="82"/>
      <c r="C317" s="87"/>
      <c r="D317" s="44"/>
      <c r="E317" s="32">
        <f t="shared" si="27"/>
        <v>73400</v>
      </c>
      <c r="G317" s="34"/>
      <c r="H317" s="34"/>
      <c r="I317" s="29"/>
      <c r="J317" s="55"/>
      <c r="K317" s="60"/>
      <c r="L317" s="60"/>
      <c r="M317" s="59"/>
      <c r="N317" s="65"/>
      <c r="O317" s="60"/>
      <c r="P317" s="60"/>
      <c r="Q317" s="60"/>
    </row>
    <row r="318" spans="1:17" s="3" customFormat="1" ht="15" customHeight="1" x14ac:dyDescent="0.25">
      <c r="A318" s="47">
        <v>45549</v>
      </c>
      <c r="C318" s="87"/>
      <c r="D318" s="44"/>
      <c r="E318" s="32">
        <f t="shared" si="27"/>
        <v>73400</v>
      </c>
      <c r="G318" s="34"/>
      <c r="H318" s="34"/>
      <c r="I318" s="29"/>
      <c r="J318" s="55"/>
      <c r="K318" s="59"/>
      <c r="L318" s="60"/>
      <c r="M318" s="59"/>
      <c r="N318" s="65"/>
      <c r="O318" s="60"/>
      <c r="P318" s="60"/>
      <c r="Q318" s="60"/>
    </row>
    <row r="319" spans="1:17" s="3" customFormat="1" ht="15" customHeight="1" x14ac:dyDescent="0.25">
      <c r="A319" s="47">
        <v>45549</v>
      </c>
      <c r="B319" s="1"/>
      <c r="C319" s="88"/>
      <c r="D319" s="36"/>
      <c r="E319" s="32">
        <f t="shared" si="27"/>
        <v>73400</v>
      </c>
      <c r="F319" s="1"/>
      <c r="G319" s="34"/>
      <c r="I319" s="29"/>
      <c r="J319" s="55"/>
      <c r="K319" s="59"/>
      <c r="L319" s="59"/>
      <c r="M319" s="59"/>
      <c r="N319" s="65"/>
      <c r="O319" s="60"/>
      <c r="P319" s="60"/>
      <c r="Q319" s="60"/>
    </row>
    <row r="320" spans="1:17" s="3" customFormat="1" ht="15" customHeight="1" x14ac:dyDescent="0.25">
      <c r="A320" s="47">
        <v>45549</v>
      </c>
      <c r="B320" s="1" t="s">
        <v>143</v>
      </c>
      <c r="C320" s="89"/>
      <c r="D320" s="44"/>
      <c r="E320" s="32">
        <f t="shared" si="27"/>
        <v>73400</v>
      </c>
      <c r="F320" s="1"/>
      <c r="G320" s="34"/>
      <c r="I320" s="29"/>
      <c r="J320" s="55"/>
      <c r="K320" s="60"/>
      <c r="L320" s="60"/>
      <c r="M320" s="60"/>
      <c r="N320" s="65"/>
      <c r="O320" s="60"/>
      <c r="P320" s="60"/>
      <c r="Q320" s="60"/>
    </row>
    <row r="321" spans="1:17" s="3" customFormat="1" ht="15" customHeight="1" x14ac:dyDescent="0.25">
      <c r="A321" s="47">
        <v>45549</v>
      </c>
      <c r="B321" s="47"/>
      <c r="C321" s="90"/>
      <c r="D321" s="44"/>
      <c r="E321" s="32">
        <f t="shared" si="27"/>
        <v>73400</v>
      </c>
      <c r="F321" s="43"/>
      <c r="G321" s="34"/>
      <c r="I321" s="29"/>
      <c r="J321" s="55"/>
      <c r="K321" s="60"/>
      <c r="L321" s="60"/>
      <c r="M321" s="60"/>
      <c r="N321" s="65"/>
      <c r="O321" s="60"/>
      <c r="P321" s="60"/>
      <c r="Q321" s="60"/>
    </row>
    <row r="322" spans="1:17" s="3" customFormat="1" ht="15" customHeight="1" x14ac:dyDescent="0.25">
      <c r="A322" s="47">
        <v>45549</v>
      </c>
      <c r="B322" s="45" t="s">
        <v>136</v>
      </c>
      <c r="C322" s="86"/>
      <c r="D322" s="44"/>
      <c r="E322" s="32">
        <f t="shared" si="27"/>
        <v>73400</v>
      </c>
      <c r="F322" s="3">
        <f>SUM(H302:H318)</f>
        <v>58400</v>
      </c>
      <c r="G322" s="49"/>
      <c r="I322" s="29"/>
      <c r="J322" s="55"/>
      <c r="K322" s="60"/>
      <c r="L322" s="60"/>
      <c r="M322" s="60"/>
      <c r="N322" s="65"/>
      <c r="O322" s="60"/>
      <c r="P322" s="60"/>
      <c r="Q322" s="60"/>
    </row>
    <row r="323" spans="1:17" s="3" customFormat="1" ht="15" customHeight="1" x14ac:dyDescent="0.25">
      <c r="A323" s="47">
        <v>45549</v>
      </c>
      <c r="B323" s="4" t="s">
        <v>161</v>
      </c>
      <c r="C323" s="86">
        <f>SUM(C303:C322)</f>
        <v>12808500</v>
      </c>
      <c r="D323" s="33">
        <f>SUM(D304:D322)</f>
        <v>12763300</v>
      </c>
      <c r="E323" s="32"/>
      <c r="F323" s="25">
        <f>F322-E322</f>
        <v>-15000</v>
      </c>
      <c r="G323" s="34"/>
      <c r="I323" s="29"/>
      <c r="J323" s="55"/>
      <c r="K323" s="60"/>
      <c r="L323" s="60"/>
      <c r="M323" s="60"/>
      <c r="N323" s="65"/>
      <c r="O323" s="60"/>
      <c r="P323" s="60"/>
      <c r="Q323" s="60"/>
    </row>
    <row r="324" spans="1:17" s="3" customFormat="1" ht="15" customHeight="1" x14ac:dyDescent="0.25">
      <c r="B324" s="45"/>
      <c r="C324" s="86"/>
      <c r="D324" s="44"/>
      <c r="E324" s="32"/>
      <c r="G324" s="49"/>
      <c r="I324" s="29"/>
      <c r="J324" s="55"/>
      <c r="K324" s="60"/>
      <c r="L324" s="60"/>
      <c r="M324" s="60"/>
      <c r="N324" s="65"/>
      <c r="O324" s="60"/>
      <c r="P324" s="60"/>
      <c r="Q324" s="60"/>
    </row>
    <row r="325" spans="1:17" s="3" customFormat="1" ht="15" customHeight="1" x14ac:dyDescent="0.25">
      <c r="A325" s="47">
        <v>45550</v>
      </c>
      <c r="B325" s="1" t="s">
        <v>140</v>
      </c>
      <c r="C325" s="65"/>
      <c r="D325" s="8"/>
      <c r="E325" s="8">
        <v>73400</v>
      </c>
      <c r="F325" s="49">
        <v>100000</v>
      </c>
      <c r="G325" s="103">
        <v>3</v>
      </c>
      <c r="H325" s="3">
        <f>G325*F325</f>
        <v>300000</v>
      </c>
      <c r="I325" s="29"/>
      <c r="J325" s="55"/>
      <c r="K325" s="60"/>
      <c r="L325" s="60"/>
      <c r="M325" s="60"/>
      <c r="N325" s="65"/>
      <c r="O325" s="60"/>
      <c r="P325" s="60"/>
      <c r="Q325" s="60"/>
    </row>
    <row r="326" spans="1:17" s="3" customFormat="1" ht="15" customHeight="1" x14ac:dyDescent="0.25">
      <c r="A326" s="47">
        <v>45550</v>
      </c>
      <c r="B326" s="31" t="s">
        <v>138</v>
      </c>
      <c r="C326" s="73">
        <v>645000</v>
      </c>
      <c r="D326" s="44"/>
      <c r="E326" s="32">
        <f>E325+C326-D326</f>
        <v>718400</v>
      </c>
      <c r="F326" s="3">
        <v>75000</v>
      </c>
      <c r="G326" s="103"/>
      <c r="H326" s="3">
        <f t="shared" ref="H326:H335" si="28">G326*F326</f>
        <v>0</v>
      </c>
      <c r="I326" s="29"/>
      <c r="J326" s="55"/>
      <c r="K326" s="60"/>
      <c r="L326" s="60"/>
      <c r="M326" s="60"/>
      <c r="N326" s="65"/>
      <c r="O326" s="60"/>
      <c r="P326" s="60"/>
      <c r="Q326" s="60"/>
    </row>
    <row r="327" spans="1:17" s="3" customFormat="1" ht="15" customHeight="1" x14ac:dyDescent="0.25">
      <c r="A327" s="47">
        <v>45550</v>
      </c>
      <c r="B327" s="1" t="s">
        <v>155</v>
      </c>
      <c r="C327" s="73">
        <v>1073100</v>
      </c>
      <c r="D327" s="44"/>
      <c r="E327" s="32">
        <f t="shared" ref="E327:E345" si="29">E326+C327-D327</f>
        <v>1791500</v>
      </c>
      <c r="F327" s="34">
        <v>50000</v>
      </c>
      <c r="G327" s="103"/>
      <c r="H327" s="3">
        <f t="shared" si="28"/>
        <v>0</v>
      </c>
      <c r="I327" s="29"/>
      <c r="J327" s="55"/>
      <c r="K327" s="76"/>
      <c r="L327" s="60"/>
      <c r="M327" s="60"/>
      <c r="N327" s="65"/>
      <c r="O327" s="60"/>
      <c r="P327" s="60"/>
      <c r="Q327" s="60"/>
    </row>
    <row r="328" spans="1:17" s="3" customFormat="1" ht="15" customHeight="1" x14ac:dyDescent="0.25">
      <c r="A328" s="47">
        <v>45550</v>
      </c>
      <c r="B328" s="1" t="s">
        <v>156</v>
      </c>
      <c r="C328" s="73">
        <v>681000</v>
      </c>
      <c r="D328" s="44"/>
      <c r="E328" s="32">
        <f t="shared" si="29"/>
        <v>2472500</v>
      </c>
      <c r="F328" s="34">
        <v>20000</v>
      </c>
      <c r="G328" s="103">
        <v>1</v>
      </c>
      <c r="H328" s="3">
        <f t="shared" si="28"/>
        <v>20000</v>
      </c>
      <c r="I328" s="29"/>
      <c r="J328" s="55"/>
      <c r="K328" s="60"/>
      <c r="L328" s="60"/>
      <c r="M328" s="60"/>
      <c r="N328" s="65"/>
      <c r="O328" s="60"/>
      <c r="P328" s="60"/>
      <c r="Q328" s="60"/>
    </row>
    <row r="329" spans="1:17" s="3" customFormat="1" ht="15" customHeight="1" x14ac:dyDescent="0.25">
      <c r="A329" s="47">
        <v>45550</v>
      </c>
      <c r="B329" s="1" t="s">
        <v>133</v>
      </c>
      <c r="C329" s="73">
        <v>2183000</v>
      </c>
      <c r="D329" s="44"/>
      <c r="E329" s="32">
        <f t="shared" si="29"/>
        <v>4655500</v>
      </c>
      <c r="F329" s="34">
        <v>10000</v>
      </c>
      <c r="G329" s="103"/>
      <c r="H329" s="3">
        <f t="shared" si="28"/>
        <v>0</v>
      </c>
      <c r="I329" s="29"/>
      <c r="J329" s="55"/>
      <c r="K329" s="60"/>
      <c r="L329" s="60"/>
      <c r="M329" s="60"/>
      <c r="N329" s="65"/>
      <c r="O329" s="60"/>
      <c r="P329" s="60"/>
      <c r="Q329" s="60"/>
    </row>
    <row r="330" spans="1:17" s="3" customFormat="1" ht="15" customHeight="1" x14ac:dyDescent="0.25">
      <c r="A330" s="47">
        <v>45550</v>
      </c>
      <c r="B330" s="1" t="s">
        <v>150</v>
      </c>
      <c r="C330" s="73"/>
      <c r="D330" s="44"/>
      <c r="E330" s="32">
        <f t="shared" si="29"/>
        <v>4655500</v>
      </c>
      <c r="F330" s="34">
        <v>5000</v>
      </c>
      <c r="G330" s="103"/>
      <c r="H330" s="3">
        <f t="shared" si="28"/>
        <v>0</v>
      </c>
      <c r="I330" s="29"/>
      <c r="J330" s="55"/>
      <c r="K330" s="60"/>
      <c r="L330" s="60"/>
      <c r="M330" s="60"/>
      <c r="N330" s="65"/>
      <c r="O330" s="60"/>
      <c r="P330" s="60"/>
      <c r="Q330" s="60"/>
    </row>
    <row r="331" spans="1:17" s="3" customFormat="1" ht="15" customHeight="1" x14ac:dyDescent="0.25">
      <c r="A331" s="47">
        <v>45550</v>
      </c>
      <c r="B331" s="1" t="s">
        <v>146</v>
      </c>
      <c r="C331" s="73">
        <v>7300500</v>
      </c>
      <c r="D331" s="44"/>
      <c r="E331" s="32">
        <f t="shared" si="29"/>
        <v>11956000</v>
      </c>
      <c r="F331" s="34">
        <v>2000</v>
      </c>
      <c r="G331" s="103">
        <v>2</v>
      </c>
      <c r="H331" s="3">
        <f t="shared" si="28"/>
        <v>4000</v>
      </c>
      <c r="I331" s="29"/>
      <c r="J331" s="55"/>
      <c r="K331" s="60"/>
      <c r="L331" s="60"/>
      <c r="M331" s="60"/>
      <c r="N331" s="65"/>
      <c r="O331" s="60"/>
      <c r="P331" s="60"/>
      <c r="Q331" s="60"/>
    </row>
    <row r="332" spans="1:17" s="3" customFormat="1" ht="15" customHeight="1" x14ac:dyDescent="0.25">
      <c r="A332" s="47">
        <v>45550</v>
      </c>
      <c r="B332" s="1" t="s">
        <v>163</v>
      </c>
      <c r="C332" s="86"/>
      <c r="D332" s="44"/>
      <c r="E332" s="32">
        <f t="shared" si="29"/>
        <v>11956000</v>
      </c>
      <c r="F332" s="34">
        <v>1000</v>
      </c>
      <c r="G332" s="103"/>
      <c r="H332" s="3">
        <f t="shared" si="28"/>
        <v>0</v>
      </c>
      <c r="I332" s="29"/>
      <c r="J332" s="55"/>
      <c r="K332" s="60"/>
      <c r="L332" s="60"/>
      <c r="M332" s="60"/>
      <c r="N332" s="65"/>
      <c r="O332" s="60"/>
      <c r="P332" s="60"/>
      <c r="Q332" s="60"/>
    </row>
    <row r="333" spans="1:17" s="3" customFormat="1" ht="15" customHeight="1" x14ac:dyDescent="0.25">
      <c r="A333" s="47">
        <v>45550</v>
      </c>
      <c r="B333" s="1" t="s">
        <v>159</v>
      </c>
      <c r="C333" s="86">
        <v>2260400</v>
      </c>
      <c r="D333" s="44"/>
      <c r="E333" s="32">
        <f t="shared" si="29"/>
        <v>14216400</v>
      </c>
      <c r="F333" s="34">
        <v>500</v>
      </c>
      <c r="G333" s="103">
        <v>1</v>
      </c>
      <c r="H333" s="3">
        <f t="shared" si="28"/>
        <v>500</v>
      </c>
      <c r="I333" s="29"/>
      <c r="J333" s="55"/>
      <c r="K333" s="60"/>
      <c r="L333" s="60"/>
      <c r="M333" s="60"/>
      <c r="N333" s="65"/>
      <c r="O333" s="60"/>
      <c r="P333" s="60"/>
      <c r="Q333" s="60"/>
    </row>
    <row r="334" spans="1:17" s="3" customFormat="1" ht="15" customHeight="1" x14ac:dyDescent="0.25">
      <c r="A334" s="47">
        <v>45550</v>
      </c>
      <c r="B334" s="1" t="s">
        <v>145</v>
      </c>
      <c r="C334" s="86">
        <v>221000</v>
      </c>
      <c r="D334" s="44"/>
      <c r="E334" s="32">
        <f t="shared" si="29"/>
        <v>14437400</v>
      </c>
      <c r="F334" s="34">
        <v>200</v>
      </c>
      <c r="G334" s="103"/>
      <c r="H334" s="3">
        <f t="shared" si="28"/>
        <v>0</v>
      </c>
      <c r="I334" s="29"/>
      <c r="J334" s="55"/>
      <c r="K334" s="60"/>
      <c r="L334" s="60"/>
      <c r="M334" s="60"/>
      <c r="N334" s="65"/>
      <c r="O334" s="60"/>
      <c r="P334" s="60"/>
      <c r="Q334" s="60"/>
    </row>
    <row r="335" spans="1:17" s="3" customFormat="1" ht="15" customHeight="1" x14ac:dyDescent="0.25">
      <c r="A335" s="47">
        <v>45550</v>
      </c>
      <c r="B335" s="1" t="s">
        <v>143</v>
      </c>
      <c r="C335" s="86"/>
      <c r="D335" s="44">
        <f>SUM(C327:C335)</f>
        <v>13719000</v>
      </c>
      <c r="E335" s="32">
        <f t="shared" si="29"/>
        <v>718400</v>
      </c>
      <c r="F335" s="34">
        <v>100</v>
      </c>
      <c r="G335" s="104"/>
      <c r="H335" s="3">
        <f t="shared" si="28"/>
        <v>0</v>
      </c>
      <c r="I335" s="29"/>
      <c r="J335" s="55"/>
      <c r="K335" s="60"/>
      <c r="L335" s="60"/>
      <c r="M335" s="60"/>
      <c r="N335" s="65"/>
      <c r="O335" s="60"/>
      <c r="P335" s="60"/>
      <c r="Q335" s="60"/>
    </row>
    <row r="336" spans="1:17" s="3" customFormat="1" ht="15" customHeight="1" x14ac:dyDescent="0.25">
      <c r="A336" s="47">
        <v>45550</v>
      </c>
      <c r="B336" s="1" t="s">
        <v>160</v>
      </c>
      <c r="C336" s="86"/>
      <c r="D336" s="46"/>
      <c r="E336" s="32">
        <f t="shared" si="29"/>
        <v>718400</v>
      </c>
      <c r="F336" s="1"/>
      <c r="G336" s="1"/>
      <c r="H336" s="1"/>
      <c r="I336" s="29"/>
      <c r="J336" s="55"/>
      <c r="K336" s="60"/>
      <c r="L336" s="60"/>
      <c r="M336" s="60"/>
      <c r="N336" s="65"/>
      <c r="O336" s="60"/>
      <c r="P336" s="60"/>
      <c r="Q336" s="60"/>
    </row>
    <row r="337" spans="1:17" s="3" customFormat="1" ht="15" customHeight="1" x14ac:dyDescent="0.25">
      <c r="A337" s="47">
        <v>45550</v>
      </c>
      <c r="B337" s="1"/>
      <c r="C337" s="86"/>
      <c r="D337" s="44"/>
      <c r="E337" s="32">
        <f t="shared" si="29"/>
        <v>718400</v>
      </c>
      <c r="G337" s="34"/>
      <c r="H337" s="34"/>
      <c r="I337" s="29"/>
      <c r="J337" s="55"/>
      <c r="K337" s="60"/>
      <c r="L337" s="60"/>
      <c r="M337" s="60"/>
      <c r="N337" s="65"/>
      <c r="O337" s="60"/>
      <c r="P337" s="60"/>
      <c r="Q337" s="60"/>
    </row>
    <row r="338" spans="1:17" s="3" customFormat="1" ht="15" customHeight="1" x14ac:dyDescent="0.25">
      <c r="A338" s="47">
        <v>45550</v>
      </c>
      <c r="B338" s="31" t="s">
        <v>139</v>
      </c>
      <c r="C338" s="86"/>
      <c r="D338" s="44">
        <v>380900</v>
      </c>
      <c r="E338" s="32">
        <f t="shared" si="29"/>
        <v>337500</v>
      </c>
      <c r="G338" s="34"/>
      <c r="H338" s="34"/>
      <c r="I338" s="29"/>
      <c r="J338" s="55"/>
      <c r="K338" s="60"/>
      <c r="L338" s="60"/>
      <c r="M338" s="60"/>
      <c r="N338" s="65"/>
      <c r="O338" s="60"/>
      <c r="P338" s="60"/>
      <c r="Q338" s="60"/>
    </row>
    <row r="339" spans="1:17" s="3" customFormat="1" ht="15" customHeight="1" x14ac:dyDescent="0.25">
      <c r="A339" s="47">
        <v>45550</v>
      </c>
      <c r="B339" s="47"/>
      <c r="C339" s="87"/>
      <c r="D339" s="44"/>
      <c r="E339" s="32">
        <f t="shared" si="29"/>
        <v>337500</v>
      </c>
      <c r="G339" s="34"/>
      <c r="H339" s="34"/>
      <c r="I339" s="29"/>
      <c r="J339" s="55"/>
      <c r="K339" s="60"/>
      <c r="L339" s="60"/>
      <c r="M339" s="60"/>
      <c r="N339" s="65"/>
      <c r="O339" s="60"/>
      <c r="P339" s="60"/>
      <c r="Q339" s="60"/>
    </row>
    <row r="340" spans="1:17" s="3" customFormat="1" ht="15" customHeight="1" x14ac:dyDescent="0.25">
      <c r="A340" s="47">
        <v>45550</v>
      </c>
      <c r="B340" s="82"/>
      <c r="C340" s="87"/>
      <c r="D340" s="44"/>
      <c r="E340" s="32">
        <f t="shared" si="29"/>
        <v>337500</v>
      </c>
      <c r="G340" s="34"/>
      <c r="H340" s="34"/>
      <c r="I340" s="29"/>
      <c r="J340" s="55"/>
      <c r="K340" s="60"/>
      <c r="L340" s="60"/>
      <c r="M340" s="60"/>
      <c r="N340" s="65"/>
      <c r="O340" s="60"/>
      <c r="P340" s="60"/>
      <c r="Q340" s="60"/>
    </row>
    <row r="341" spans="1:17" s="3" customFormat="1" ht="15" customHeight="1" x14ac:dyDescent="0.25">
      <c r="A341" s="47">
        <v>45550</v>
      </c>
      <c r="C341" s="87"/>
      <c r="D341" s="44"/>
      <c r="E341" s="32">
        <f t="shared" si="29"/>
        <v>337500</v>
      </c>
      <c r="G341" s="34"/>
      <c r="H341" s="34"/>
      <c r="I341" s="29"/>
      <c r="J341" s="55"/>
      <c r="K341" s="60"/>
      <c r="L341" s="60"/>
      <c r="M341" s="60"/>
      <c r="N341" s="65"/>
      <c r="O341" s="60"/>
      <c r="P341" s="60"/>
      <c r="Q341" s="60"/>
    </row>
    <row r="342" spans="1:17" s="3" customFormat="1" ht="15" customHeight="1" x14ac:dyDescent="0.25">
      <c r="A342" s="47">
        <v>45550</v>
      </c>
      <c r="B342" s="1"/>
      <c r="C342" s="88"/>
      <c r="D342" s="36"/>
      <c r="E342" s="32">
        <f t="shared" si="29"/>
        <v>337500</v>
      </c>
      <c r="F342" s="1"/>
      <c r="G342" s="34"/>
      <c r="I342" s="29"/>
      <c r="J342" s="55"/>
      <c r="K342" s="60"/>
      <c r="L342" s="60"/>
      <c r="M342" s="60"/>
      <c r="N342" s="65"/>
      <c r="O342" s="60"/>
      <c r="P342" s="60"/>
      <c r="Q342" s="60"/>
    </row>
    <row r="343" spans="1:17" s="3" customFormat="1" ht="15" customHeight="1" x14ac:dyDescent="0.25">
      <c r="A343" s="47">
        <v>45550</v>
      </c>
      <c r="B343" s="1" t="s">
        <v>143</v>
      </c>
      <c r="C343" s="89"/>
      <c r="D343" s="44"/>
      <c r="E343" s="32">
        <f t="shared" si="29"/>
        <v>337500</v>
      </c>
      <c r="F343" s="1"/>
      <c r="G343" s="34"/>
      <c r="I343" s="29"/>
      <c r="J343" s="55"/>
      <c r="K343" s="60"/>
      <c r="L343" s="60"/>
      <c r="M343" s="60"/>
      <c r="N343" s="65"/>
      <c r="O343" s="60"/>
      <c r="P343" s="60"/>
      <c r="Q343" s="60"/>
    </row>
    <row r="344" spans="1:17" s="3" customFormat="1" ht="15" customHeight="1" x14ac:dyDescent="0.25">
      <c r="A344" s="47">
        <v>45550</v>
      </c>
      <c r="B344" s="47"/>
      <c r="C344" s="90"/>
      <c r="D344" s="44"/>
      <c r="E344" s="32">
        <f t="shared" si="29"/>
        <v>337500</v>
      </c>
      <c r="F344" s="43"/>
      <c r="G344" s="34"/>
      <c r="I344" s="29"/>
      <c r="J344" s="55"/>
      <c r="K344" s="60"/>
      <c r="L344" s="60"/>
      <c r="M344" s="60"/>
      <c r="N344" s="65"/>
      <c r="O344" s="60"/>
      <c r="P344" s="60"/>
      <c r="Q344" s="60"/>
    </row>
    <row r="345" spans="1:17" s="3" customFormat="1" ht="15" customHeight="1" x14ac:dyDescent="0.25">
      <c r="A345" s="47">
        <v>45550</v>
      </c>
      <c r="B345" s="45" t="s">
        <v>136</v>
      </c>
      <c r="C345" s="86"/>
      <c r="D345" s="44"/>
      <c r="E345" s="32">
        <f t="shared" si="29"/>
        <v>337500</v>
      </c>
      <c r="F345" s="3">
        <f>SUM(H325:H341)</f>
        <v>324500</v>
      </c>
      <c r="G345" s="49"/>
      <c r="I345" s="29"/>
      <c r="J345" s="55"/>
      <c r="K345" s="60"/>
      <c r="L345" s="60"/>
      <c r="M345" s="60"/>
      <c r="N345" s="65"/>
      <c r="O345" s="60"/>
      <c r="P345" s="60"/>
      <c r="Q345" s="60"/>
    </row>
    <row r="346" spans="1:17" s="3" customFormat="1" ht="15" customHeight="1" x14ac:dyDescent="0.25">
      <c r="A346" s="47">
        <v>45550</v>
      </c>
      <c r="B346" s="4" t="s">
        <v>161</v>
      </c>
      <c r="C346" s="86">
        <f>SUM(C326:C345)</f>
        <v>14364000</v>
      </c>
      <c r="D346" s="33">
        <f>SUM(D327:D345)</f>
        <v>14099900</v>
      </c>
      <c r="E346" s="32"/>
      <c r="F346" s="25">
        <f>F345-E345</f>
        <v>-13000</v>
      </c>
      <c r="G346" s="34"/>
      <c r="I346" s="29"/>
      <c r="J346" s="55"/>
      <c r="K346" s="61"/>
      <c r="L346" s="61"/>
      <c r="M346" s="61"/>
      <c r="N346" s="65"/>
      <c r="O346" s="60"/>
      <c r="P346" s="60"/>
      <c r="Q346" s="60"/>
    </row>
    <row r="347" spans="1:17" s="3" customFormat="1" ht="15" customHeight="1" x14ac:dyDescent="0.25">
      <c r="B347" s="45"/>
      <c r="C347" s="86"/>
      <c r="D347" s="44"/>
      <c r="E347" s="32"/>
      <c r="G347" s="49"/>
      <c r="I347" s="29"/>
      <c r="J347" s="55"/>
      <c r="K347" s="60"/>
      <c r="L347" s="60"/>
      <c r="M347" s="59"/>
      <c r="N347" s="65"/>
      <c r="O347" s="60"/>
      <c r="P347" s="60"/>
      <c r="Q347" s="60"/>
    </row>
    <row r="348" spans="1:17" s="3" customFormat="1" ht="15" customHeight="1" x14ac:dyDescent="0.25">
      <c r="A348" s="47">
        <v>45551</v>
      </c>
      <c r="B348" s="1" t="s">
        <v>140</v>
      </c>
      <c r="C348" s="65"/>
      <c r="D348" s="8"/>
      <c r="E348" s="8">
        <v>250000</v>
      </c>
      <c r="F348" s="49">
        <v>100000</v>
      </c>
      <c r="G348" s="103">
        <f>11-9</f>
        <v>2</v>
      </c>
      <c r="H348" s="3">
        <f>G348*F348</f>
        <v>200000</v>
      </c>
      <c r="I348" s="29"/>
      <c r="J348" s="55"/>
      <c r="K348" s="60"/>
      <c r="L348" s="60"/>
      <c r="M348" s="59"/>
      <c r="N348" s="65"/>
      <c r="O348" s="60"/>
      <c r="P348" s="60"/>
      <c r="Q348" s="60"/>
    </row>
    <row r="349" spans="1:17" s="3" customFormat="1" ht="15" customHeight="1" x14ac:dyDescent="0.25">
      <c r="A349" s="47">
        <v>45551</v>
      </c>
      <c r="B349" s="31" t="s">
        <v>138</v>
      </c>
      <c r="C349" s="73">
        <v>1265000</v>
      </c>
      <c r="D349" s="44"/>
      <c r="E349" s="32">
        <f>E348+C349-D349</f>
        <v>1515000</v>
      </c>
      <c r="F349" s="3">
        <v>75000</v>
      </c>
      <c r="G349" s="103"/>
      <c r="H349" s="3">
        <f t="shared" ref="H349:H358" si="30">G349*F349</f>
        <v>0</v>
      </c>
      <c r="I349" s="29"/>
      <c r="J349" s="55"/>
      <c r="K349" s="59"/>
      <c r="L349" s="60"/>
      <c r="M349" s="59"/>
      <c r="N349" s="65"/>
      <c r="O349" s="60"/>
      <c r="P349" s="60"/>
      <c r="Q349" s="60"/>
    </row>
    <row r="350" spans="1:17" s="3" customFormat="1" ht="15" customHeight="1" x14ac:dyDescent="0.25">
      <c r="A350" s="47">
        <v>45551</v>
      </c>
      <c r="B350" s="1" t="s">
        <v>155</v>
      </c>
      <c r="C350" s="73">
        <v>376000</v>
      </c>
      <c r="D350" s="44"/>
      <c r="E350" s="32">
        <f t="shared" ref="E350:E368" si="31">E349+C350-D350</f>
        <v>1891000</v>
      </c>
      <c r="F350" s="34">
        <v>50000</v>
      </c>
      <c r="G350" s="103">
        <v>1</v>
      </c>
      <c r="H350" s="3">
        <f t="shared" si="30"/>
        <v>50000</v>
      </c>
      <c r="I350" s="29"/>
      <c r="J350" s="55"/>
      <c r="K350" s="61"/>
      <c r="L350" s="61"/>
      <c r="M350" s="72"/>
      <c r="N350" s="65"/>
      <c r="O350" s="60"/>
      <c r="P350" s="60"/>
      <c r="Q350" s="60"/>
    </row>
    <row r="351" spans="1:17" s="3" customFormat="1" ht="15" customHeight="1" x14ac:dyDescent="0.25">
      <c r="A351" s="47">
        <v>45551</v>
      </c>
      <c r="B351" s="1" t="s">
        <v>156</v>
      </c>
      <c r="C351" s="73">
        <v>608000</v>
      </c>
      <c r="D351" s="44"/>
      <c r="E351" s="32">
        <f t="shared" si="31"/>
        <v>2499000</v>
      </c>
      <c r="F351" s="34">
        <v>20000</v>
      </c>
      <c r="G351" s="103"/>
      <c r="H351" s="3">
        <f t="shared" si="30"/>
        <v>0</v>
      </c>
      <c r="I351" s="29"/>
      <c r="J351" s="55"/>
      <c r="K351" s="60"/>
      <c r="L351" s="60"/>
      <c r="M351" s="70"/>
      <c r="N351" s="65"/>
      <c r="O351" s="60"/>
      <c r="P351" s="60"/>
      <c r="Q351" s="60"/>
    </row>
    <row r="352" spans="1:17" s="3" customFormat="1" ht="15" customHeight="1" x14ac:dyDescent="0.25">
      <c r="A352" s="47">
        <v>45551</v>
      </c>
      <c r="B352" s="1" t="s">
        <v>133</v>
      </c>
      <c r="C352" s="73">
        <v>901000</v>
      </c>
      <c r="D352" s="44"/>
      <c r="E352" s="32">
        <f t="shared" si="31"/>
        <v>3400000</v>
      </c>
      <c r="F352" s="34">
        <v>10000</v>
      </c>
      <c r="G352" s="103"/>
      <c r="H352" s="3">
        <f t="shared" si="30"/>
        <v>0</v>
      </c>
      <c r="I352" s="29"/>
      <c r="J352" s="55"/>
      <c r="K352" s="60"/>
      <c r="L352" s="60"/>
      <c r="M352" s="70"/>
      <c r="N352" s="65"/>
      <c r="O352" s="60"/>
      <c r="P352" s="60"/>
      <c r="Q352" s="60"/>
    </row>
    <row r="353" spans="1:17" s="3" customFormat="1" ht="15" customHeight="1" x14ac:dyDescent="0.25">
      <c r="A353" s="47">
        <v>45551</v>
      </c>
      <c r="B353" s="1" t="s">
        <v>150</v>
      </c>
      <c r="C353" s="73"/>
      <c r="D353" s="44"/>
      <c r="E353" s="32">
        <f t="shared" si="31"/>
        <v>3400000</v>
      </c>
      <c r="F353" s="34">
        <v>5000</v>
      </c>
      <c r="G353" s="103"/>
      <c r="H353" s="3">
        <f t="shared" si="30"/>
        <v>0</v>
      </c>
      <c r="I353" s="29"/>
      <c r="J353" s="55"/>
      <c r="K353" s="59"/>
      <c r="L353" s="60"/>
      <c r="M353" s="70"/>
      <c r="N353" s="65"/>
      <c r="O353" s="60"/>
      <c r="P353" s="60"/>
      <c r="Q353" s="60"/>
    </row>
    <row r="354" spans="1:17" s="3" customFormat="1" ht="15" customHeight="1" x14ac:dyDescent="0.25">
      <c r="A354" s="47">
        <v>45551</v>
      </c>
      <c r="B354" s="1" t="s">
        <v>146</v>
      </c>
      <c r="C354" s="73">
        <f>8342000+300500</f>
        <v>8642500</v>
      </c>
      <c r="D354" s="44"/>
      <c r="E354" s="32">
        <f t="shared" si="31"/>
        <v>12042500</v>
      </c>
      <c r="F354" s="34">
        <v>2000</v>
      </c>
      <c r="G354" s="103"/>
      <c r="H354" s="3">
        <f t="shared" si="30"/>
        <v>0</v>
      </c>
      <c r="I354" s="29"/>
      <c r="J354" s="55"/>
      <c r="K354" s="59"/>
      <c r="L354" s="59"/>
      <c r="M354" s="70"/>
      <c r="N354" s="65"/>
      <c r="O354" s="60"/>
      <c r="P354" s="60"/>
      <c r="Q354" s="60"/>
    </row>
    <row r="355" spans="1:17" s="3" customFormat="1" ht="15" customHeight="1" x14ac:dyDescent="0.25">
      <c r="A355" s="47">
        <v>45551</v>
      </c>
      <c r="B355" s="1" t="s">
        <v>163</v>
      </c>
      <c r="C355" s="86"/>
      <c r="D355" s="44"/>
      <c r="E355" s="32">
        <f t="shared" si="31"/>
        <v>12042500</v>
      </c>
      <c r="F355" s="34">
        <v>1000</v>
      </c>
      <c r="G355" s="103"/>
      <c r="H355" s="3">
        <f t="shared" si="30"/>
        <v>0</v>
      </c>
      <c r="I355" s="29"/>
      <c r="J355" s="55"/>
      <c r="K355" s="62"/>
      <c r="L355" s="74"/>
      <c r="M355" s="62"/>
      <c r="N355" s="65"/>
      <c r="O355" s="60"/>
      <c r="P355" s="60"/>
      <c r="Q355" s="60"/>
    </row>
    <row r="356" spans="1:17" s="3" customFormat="1" ht="15" customHeight="1" x14ac:dyDescent="0.25">
      <c r="A356" s="47">
        <v>45551</v>
      </c>
      <c r="B356" s="1" t="s">
        <v>159</v>
      </c>
      <c r="C356" s="86">
        <v>2024000</v>
      </c>
      <c r="D356" s="44"/>
      <c r="E356" s="32">
        <f t="shared" si="31"/>
        <v>14066500</v>
      </c>
      <c r="F356" s="34">
        <v>500</v>
      </c>
      <c r="G356" s="103"/>
      <c r="H356" s="3">
        <f t="shared" si="30"/>
        <v>0</v>
      </c>
      <c r="I356" s="29"/>
      <c r="J356" s="55"/>
      <c r="K356" s="62"/>
      <c r="L356" s="62"/>
      <c r="M356" s="62"/>
      <c r="N356" s="65"/>
      <c r="O356" s="60"/>
      <c r="P356" s="60"/>
      <c r="Q356" s="60"/>
    </row>
    <row r="357" spans="1:17" s="3" customFormat="1" ht="15" customHeight="1" x14ac:dyDescent="0.25">
      <c r="A357" s="47">
        <v>45551</v>
      </c>
      <c r="B357" s="1" t="s">
        <v>145</v>
      </c>
      <c r="C357" s="86"/>
      <c r="D357" s="44"/>
      <c r="E357" s="32">
        <f t="shared" si="31"/>
        <v>14066500</v>
      </c>
      <c r="F357" s="34">
        <v>200</v>
      </c>
      <c r="G357" s="103"/>
      <c r="H357" s="3">
        <f t="shared" si="30"/>
        <v>0</v>
      </c>
      <c r="I357" s="29"/>
      <c r="J357" s="55"/>
      <c r="K357" s="60"/>
      <c r="L357" s="60"/>
      <c r="M357" s="60"/>
      <c r="N357" s="65"/>
      <c r="O357" s="60"/>
      <c r="P357" s="60"/>
      <c r="Q357" s="60"/>
    </row>
    <row r="358" spans="1:17" s="3" customFormat="1" ht="15" customHeight="1" x14ac:dyDescent="0.25">
      <c r="A358" s="47">
        <v>45551</v>
      </c>
      <c r="B358" s="1" t="s">
        <v>143</v>
      </c>
      <c r="C358" s="86"/>
      <c r="D358" s="44">
        <f>SUM(C350:C358)</f>
        <v>12551500</v>
      </c>
      <c r="E358" s="32">
        <f t="shared" si="31"/>
        <v>1515000</v>
      </c>
      <c r="F358" s="34">
        <v>100</v>
      </c>
      <c r="G358" s="104"/>
      <c r="H358" s="3">
        <f t="shared" si="30"/>
        <v>0</v>
      </c>
      <c r="I358" s="29"/>
      <c r="J358" s="55"/>
      <c r="K358" s="60"/>
      <c r="L358" s="60"/>
      <c r="M358" s="60"/>
      <c r="N358" s="65"/>
      <c r="O358" s="60"/>
      <c r="P358" s="60"/>
      <c r="Q358" s="60"/>
    </row>
    <row r="359" spans="1:17" s="3" customFormat="1" ht="15" customHeight="1" x14ac:dyDescent="0.25">
      <c r="A359" s="47">
        <v>45551</v>
      </c>
      <c r="B359" s="1" t="s">
        <v>160</v>
      </c>
      <c r="C359" s="86"/>
      <c r="D359" s="46"/>
      <c r="E359" s="32">
        <f t="shared" si="31"/>
        <v>1515000</v>
      </c>
      <c r="F359" s="1"/>
      <c r="G359" s="1"/>
      <c r="H359" s="1"/>
      <c r="I359" s="29"/>
      <c r="J359" s="55"/>
      <c r="K359" s="60"/>
      <c r="L359" s="60"/>
      <c r="M359" s="60"/>
      <c r="N359" s="65"/>
      <c r="O359" s="60"/>
      <c r="P359" s="60"/>
      <c r="Q359" s="60"/>
    </row>
    <row r="360" spans="1:17" s="3" customFormat="1" ht="15" customHeight="1" x14ac:dyDescent="0.25">
      <c r="A360" s="47">
        <v>45551</v>
      </c>
      <c r="B360" s="1"/>
      <c r="C360" s="86"/>
      <c r="D360" s="44"/>
      <c r="E360" s="32">
        <f t="shared" si="31"/>
        <v>1515000</v>
      </c>
      <c r="G360" s="34"/>
      <c r="H360" s="34"/>
      <c r="I360" s="29"/>
      <c r="J360" s="55"/>
      <c r="M360" s="60"/>
      <c r="N360" s="65"/>
      <c r="O360" s="60"/>
      <c r="P360" s="60"/>
      <c r="Q360" s="60"/>
    </row>
    <row r="361" spans="1:17" s="3" customFormat="1" ht="15" customHeight="1" x14ac:dyDescent="0.25">
      <c r="A361" s="47">
        <v>45551</v>
      </c>
      <c r="B361" s="31" t="s">
        <v>139</v>
      </c>
      <c r="C361" s="86"/>
      <c r="D361" s="44">
        <v>414600</v>
      </c>
      <c r="E361" s="32">
        <f t="shared" si="31"/>
        <v>1100400</v>
      </c>
      <c r="G361" s="34"/>
      <c r="H361" s="34"/>
      <c r="I361" s="29"/>
      <c r="J361" s="55"/>
      <c r="M361" s="60"/>
      <c r="N361" s="65"/>
      <c r="O361" s="60"/>
      <c r="P361" s="60"/>
      <c r="Q361" s="60"/>
    </row>
    <row r="362" spans="1:17" s="3" customFormat="1" ht="15" customHeight="1" x14ac:dyDescent="0.25">
      <c r="A362" s="47">
        <v>45551</v>
      </c>
      <c r="B362" s="47"/>
      <c r="C362" s="87"/>
      <c r="D362" s="44"/>
      <c r="E362" s="32">
        <f t="shared" si="31"/>
        <v>1100400</v>
      </c>
      <c r="G362" s="34"/>
      <c r="H362" s="34"/>
      <c r="I362" s="29"/>
      <c r="J362" s="55"/>
      <c r="M362" s="60"/>
      <c r="N362" s="65"/>
      <c r="O362" s="60"/>
      <c r="P362" s="60"/>
      <c r="Q362" s="60"/>
    </row>
    <row r="363" spans="1:17" s="3" customFormat="1" ht="15" customHeight="1" x14ac:dyDescent="0.25">
      <c r="A363" s="47">
        <v>45551</v>
      </c>
      <c r="B363" s="82"/>
      <c r="C363" s="87"/>
      <c r="D363" s="44"/>
      <c r="E363" s="32">
        <f t="shared" si="31"/>
        <v>1100400</v>
      </c>
      <c r="G363" s="34"/>
      <c r="H363" s="34"/>
      <c r="I363" s="29"/>
      <c r="J363" s="55"/>
      <c r="M363" s="60"/>
      <c r="N363" s="65"/>
      <c r="O363" s="60"/>
      <c r="P363" s="60"/>
      <c r="Q363" s="60"/>
    </row>
    <row r="364" spans="1:17" s="3" customFormat="1" ht="15" customHeight="1" x14ac:dyDescent="0.25">
      <c r="A364" s="47">
        <v>45551</v>
      </c>
      <c r="C364" s="87"/>
      <c r="D364" s="44"/>
      <c r="E364" s="32">
        <f t="shared" si="31"/>
        <v>1100400</v>
      </c>
      <c r="G364" s="34"/>
      <c r="H364" s="34"/>
      <c r="I364" s="29"/>
      <c r="J364" s="55"/>
      <c r="M364" s="60"/>
      <c r="N364" s="65"/>
      <c r="O364" s="60"/>
      <c r="P364" s="60"/>
      <c r="Q364" s="60"/>
    </row>
    <row r="365" spans="1:17" s="3" customFormat="1" ht="15" customHeight="1" x14ac:dyDescent="0.25">
      <c r="A365" s="47">
        <v>45551</v>
      </c>
      <c r="B365" s="1"/>
      <c r="C365" s="88"/>
      <c r="D365" s="36"/>
      <c r="E365" s="32">
        <f t="shared" si="31"/>
        <v>1100400</v>
      </c>
      <c r="F365" s="1"/>
      <c r="G365" s="34"/>
      <c r="I365" s="29"/>
      <c r="J365" s="55"/>
      <c r="M365" s="60"/>
      <c r="N365" s="65"/>
      <c r="O365" s="60"/>
      <c r="P365" s="60"/>
      <c r="Q365" s="60"/>
    </row>
    <row r="366" spans="1:17" s="3" customFormat="1" ht="15" customHeight="1" x14ac:dyDescent="0.25">
      <c r="A366" s="47">
        <v>45551</v>
      </c>
      <c r="B366" s="1" t="s">
        <v>143</v>
      </c>
      <c r="C366" s="89"/>
      <c r="D366" s="44"/>
      <c r="E366" s="32">
        <f t="shared" si="31"/>
        <v>1100400</v>
      </c>
      <c r="F366" s="1"/>
      <c r="G366" s="34"/>
      <c r="I366" s="29"/>
      <c r="J366" s="55"/>
      <c r="M366" s="60"/>
      <c r="N366" s="65"/>
      <c r="O366" s="60"/>
      <c r="P366" s="60"/>
      <c r="Q366" s="60"/>
    </row>
    <row r="367" spans="1:17" s="3" customFormat="1" ht="15" customHeight="1" x14ac:dyDescent="0.25">
      <c r="A367" s="47">
        <v>45551</v>
      </c>
      <c r="B367" s="47"/>
      <c r="C367" s="90"/>
      <c r="D367" s="44"/>
      <c r="E367" s="32">
        <f t="shared" si="31"/>
        <v>1100400</v>
      </c>
      <c r="F367" s="43"/>
      <c r="G367" s="34"/>
      <c r="I367" s="29"/>
      <c r="J367" s="55"/>
      <c r="M367" s="60"/>
      <c r="N367" s="65"/>
      <c r="O367" s="60"/>
      <c r="P367" s="60"/>
      <c r="Q367" s="60"/>
    </row>
    <row r="368" spans="1:17" s="3" customFormat="1" ht="15" customHeight="1" x14ac:dyDescent="0.25">
      <c r="A368" s="47">
        <v>45551</v>
      </c>
      <c r="B368" s="45" t="s">
        <v>136</v>
      </c>
      <c r="C368" s="86"/>
      <c r="D368" s="44">
        <v>862000</v>
      </c>
      <c r="E368" s="32">
        <f t="shared" si="31"/>
        <v>238400</v>
      </c>
      <c r="F368" s="3">
        <f>SUM(H348:H364)</f>
        <v>250000</v>
      </c>
      <c r="G368" s="49"/>
      <c r="I368" s="29"/>
      <c r="J368" s="55"/>
      <c r="M368" s="60"/>
      <c r="N368" s="65"/>
      <c r="O368" s="60"/>
      <c r="P368" s="60"/>
      <c r="Q368" s="60"/>
    </row>
    <row r="369" spans="1:17" s="3" customFormat="1" ht="15" customHeight="1" x14ac:dyDescent="0.25">
      <c r="A369" s="47">
        <v>45551</v>
      </c>
      <c r="B369" s="4" t="s">
        <v>161</v>
      </c>
      <c r="C369" s="86">
        <f>SUM(C349:C368)</f>
        <v>13816500</v>
      </c>
      <c r="D369" s="33">
        <f>SUM(D350:D368)</f>
        <v>13828100</v>
      </c>
      <c r="E369" s="32"/>
      <c r="F369" s="25">
        <f>F368-E368</f>
        <v>11600</v>
      </c>
      <c r="G369" s="34"/>
      <c r="I369" s="29"/>
      <c r="J369" s="55"/>
      <c r="M369" s="60"/>
      <c r="N369" s="65"/>
      <c r="O369" s="60"/>
      <c r="P369" s="60"/>
      <c r="Q369" s="60"/>
    </row>
    <row r="370" spans="1:17" s="3" customFormat="1" ht="15" customHeight="1" x14ac:dyDescent="0.25">
      <c r="B370" s="45"/>
      <c r="C370" s="86"/>
      <c r="D370" s="44"/>
      <c r="E370" s="32"/>
      <c r="G370" s="49"/>
      <c r="I370" s="29"/>
      <c r="J370" s="55"/>
      <c r="M370" s="60"/>
      <c r="N370" s="65"/>
      <c r="O370" s="60"/>
      <c r="P370" s="60"/>
      <c r="Q370" s="60"/>
    </row>
    <row r="371" spans="1:17" s="3" customFormat="1" ht="15" customHeight="1" x14ac:dyDescent="0.25">
      <c r="A371" s="47">
        <v>45552</v>
      </c>
      <c r="B371" s="1" t="s">
        <v>140</v>
      </c>
      <c r="C371" s="65"/>
      <c r="D371" s="8"/>
      <c r="E371" s="8">
        <v>250000</v>
      </c>
      <c r="F371" s="49">
        <v>100000</v>
      </c>
      <c r="G371" s="103">
        <f>4-2</f>
        <v>2</v>
      </c>
      <c r="H371" s="3">
        <f>G371*F371</f>
        <v>200000</v>
      </c>
      <c r="I371" s="29"/>
      <c r="J371" s="55"/>
      <c r="M371" s="60"/>
      <c r="N371" s="65"/>
      <c r="O371" s="65"/>
      <c r="P371" s="60"/>
      <c r="Q371" s="60"/>
    </row>
    <row r="372" spans="1:17" s="3" customFormat="1" ht="15" customHeight="1" x14ac:dyDescent="0.25">
      <c r="A372" s="47">
        <v>45552</v>
      </c>
      <c r="B372" s="31" t="s">
        <v>138</v>
      </c>
      <c r="C372" s="73">
        <v>570000</v>
      </c>
      <c r="D372" s="44"/>
      <c r="E372" s="32">
        <f>E371+C372-D372</f>
        <v>820000</v>
      </c>
      <c r="F372" s="3">
        <v>75000</v>
      </c>
      <c r="G372" s="103"/>
      <c r="H372" s="3">
        <f t="shared" ref="H372:H381" si="32">G372*F372</f>
        <v>0</v>
      </c>
      <c r="I372" s="29"/>
      <c r="J372" s="55"/>
      <c r="M372" s="60"/>
      <c r="N372" s="60"/>
      <c r="O372" s="60"/>
      <c r="P372" s="60"/>
      <c r="Q372" s="60"/>
    </row>
    <row r="373" spans="1:17" s="3" customFormat="1" ht="15" customHeight="1" x14ac:dyDescent="0.25">
      <c r="A373" s="47">
        <v>45552</v>
      </c>
      <c r="B373" s="1" t="s">
        <v>155</v>
      </c>
      <c r="C373" s="73">
        <v>365000</v>
      </c>
      <c r="D373" s="44"/>
      <c r="E373" s="32">
        <f t="shared" ref="E373:E391" si="33">E372+C373-D373</f>
        <v>1185000</v>
      </c>
      <c r="F373" s="34">
        <v>50000</v>
      </c>
      <c r="G373" s="103">
        <f>4-4</f>
        <v>0</v>
      </c>
      <c r="H373" s="3">
        <f t="shared" si="32"/>
        <v>0</v>
      </c>
      <c r="I373" s="29"/>
      <c r="J373" s="55"/>
      <c r="M373" s="60"/>
      <c r="N373" s="60"/>
      <c r="O373" s="60"/>
      <c r="P373" s="60"/>
      <c r="Q373" s="60"/>
    </row>
    <row r="374" spans="1:17" s="3" customFormat="1" ht="15" customHeight="1" x14ac:dyDescent="0.25">
      <c r="A374" s="47">
        <v>45552</v>
      </c>
      <c r="B374" s="1" t="s">
        <v>156</v>
      </c>
      <c r="C374" s="73">
        <v>44400</v>
      </c>
      <c r="D374" s="44"/>
      <c r="E374" s="32">
        <f t="shared" si="33"/>
        <v>1229400</v>
      </c>
      <c r="F374" s="34">
        <v>20000</v>
      </c>
      <c r="G374" s="103">
        <v>1</v>
      </c>
      <c r="H374" s="3">
        <f t="shared" si="32"/>
        <v>20000</v>
      </c>
      <c r="I374" s="29"/>
      <c r="J374" s="55"/>
      <c r="M374" s="60"/>
      <c r="N374" s="60"/>
      <c r="O374" s="60"/>
      <c r="P374" s="60"/>
      <c r="Q374" s="60"/>
    </row>
    <row r="375" spans="1:17" s="3" customFormat="1" ht="15" customHeight="1" x14ac:dyDescent="0.25">
      <c r="A375" s="47">
        <v>45552</v>
      </c>
      <c r="B375" s="1" t="s">
        <v>133</v>
      </c>
      <c r="C375" s="73">
        <v>1004000</v>
      </c>
      <c r="D375" s="44"/>
      <c r="E375" s="32">
        <f t="shared" si="33"/>
        <v>2233400</v>
      </c>
      <c r="F375" s="34">
        <v>10000</v>
      </c>
      <c r="G375" s="103">
        <v>1</v>
      </c>
      <c r="H375" s="3">
        <f t="shared" si="32"/>
        <v>10000</v>
      </c>
      <c r="I375" s="29"/>
      <c r="J375" s="55"/>
      <c r="M375" s="60"/>
      <c r="N375" s="60"/>
      <c r="O375" s="60"/>
      <c r="P375" s="60"/>
      <c r="Q375" s="60"/>
    </row>
    <row r="376" spans="1:17" s="3" customFormat="1" ht="15" customHeight="1" x14ac:dyDescent="0.25">
      <c r="A376" s="47">
        <v>45552</v>
      </c>
      <c r="B376" s="1" t="s">
        <v>150</v>
      </c>
      <c r="C376" s="73"/>
      <c r="D376" s="44"/>
      <c r="E376" s="32">
        <f t="shared" si="33"/>
        <v>2233400</v>
      </c>
      <c r="F376" s="34">
        <v>5000</v>
      </c>
      <c r="G376" s="103">
        <v>2</v>
      </c>
      <c r="H376" s="3">
        <f t="shared" si="32"/>
        <v>10000</v>
      </c>
      <c r="I376" s="29"/>
      <c r="J376" s="55"/>
      <c r="M376" s="60"/>
      <c r="N376" s="60"/>
      <c r="O376" s="60"/>
      <c r="P376" s="60"/>
      <c r="Q376" s="60"/>
    </row>
    <row r="377" spans="1:17" s="3" customFormat="1" ht="15" customHeight="1" x14ac:dyDescent="0.25">
      <c r="A377" s="47">
        <v>45552</v>
      </c>
      <c r="B377" s="1" t="s">
        <v>146</v>
      </c>
      <c r="C377" s="73">
        <f>3840000+200000</f>
        <v>4040000</v>
      </c>
      <c r="D377" s="44"/>
      <c r="E377" s="32">
        <f t="shared" si="33"/>
        <v>6273400</v>
      </c>
      <c r="F377" s="34">
        <v>2000</v>
      </c>
      <c r="G377" s="103">
        <v>3</v>
      </c>
      <c r="H377" s="3">
        <f t="shared" si="32"/>
        <v>6000</v>
      </c>
      <c r="I377" s="29"/>
      <c r="J377" s="55"/>
      <c r="M377" s="60"/>
      <c r="N377" s="60"/>
      <c r="O377" s="60"/>
      <c r="P377" s="60"/>
      <c r="Q377" s="60"/>
    </row>
    <row r="378" spans="1:17" s="3" customFormat="1" ht="15" customHeight="1" x14ac:dyDescent="0.25">
      <c r="A378" s="47">
        <v>45552</v>
      </c>
      <c r="B378" s="1" t="s">
        <v>163</v>
      </c>
      <c r="C378" s="86">
        <v>256000</v>
      </c>
      <c r="D378" s="44"/>
      <c r="E378" s="32">
        <f t="shared" si="33"/>
        <v>6529400</v>
      </c>
      <c r="F378" s="34">
        <v>1000</v>
      </c>
      <c r="G378" s="103">
        <v>3</v>
      </c>
      <c r="H378" s="3">
        <f t="shared" si="32"/>
        <v>3000</v>
      </c>
      <c r="I378" s="29"/>
      <c r="J378" s="55"/>
      <c r="M378" s="60"/>
      <c r="N378" s="60"/>
      <c r="O378" s="60"/>
      <c r="P378" s="60"/>
      <c r="Q378" s="60"/>
    </row>
    <row r="379" spans="1:17" s="3" customFormat="1" ht="15" customHeight="1" x14ac:dyDescent="0.25">
      <c r="A379" s="47">
        <v>45552</v>
      </c>
      <c r="B379" s="1" t="s">
        <v>159</v>
      </c>
      <c r="C379" s="86">
        <v>1595000</v>
      </c>
      <c r="D379" s="44"/>
      <c r="E379" s="32">
        <f t="shared" si="33"/>
        <v>8124400</v>
      </c>
      <c r="F379" s="34">
        <v>500</v>
      </c>
      <c r="G379" s="103">
        <v>2</v>
      </c>
      <c r="H379" s="3">
        <f t="shared" si="32"/>
        <v>1000</v>
      </c>
      <c r="I379" s="29"/>
      <c r="J379" s="55"/>
      <c r="M379" s="60"/>
      <c r="N379" s="60"/>
      <c r="O379" s="60"/>
      <c r="P379" s="60"/>
      <c r="Q379" s="60"/>
    </row>
    <row r="380" spans="1:17" s="3" customFormat="1" ht="15" customHeight="1" x14ac:dyDescent="0.25">
      <c r="A380" s="47">
        <v>45552</v>
      </c>
      <c r="B380" s="1" t="s">
        <v>145</v>
      </c>
      <c r="C380" s="86">
        <v>106000</v>
      </c>
      <c r="D380" s="44"/>
      <c r="E380" s="32">
        <f t="shared" si="33"/>
        <v>8230400</v>
      </c>
      <c r="F380" s="34">
        <v>200</v>
      </c>
      <c r="G380" s="103"/>
      <c r="H380" s="3">
        <f t="shared" si="32"/>
        <v>0</v>
      </c>
      <c r="I380" s="29"/>
      <c r="J380" s="55"/>
      <c r="K380" s="60"/>
      <c r="L380" s="60"/>
      <c r="M380" s="60"/>
      <c r="N380" s="60"/>
      <c r="O380" s="60"/>
      <c r="P380" s="60"/>
      <c r="Q380" s="60"/>
    </row>
    <row r="381" spans="1:17" s="3" customFormat="1" ht="15" customHeight="1" x14ac:dyDescent="0.25">
      <c r="A381" s="47">
        <v>45552</v>
      </c>
      <c r="B381" s="1" t="s">
        <v>143</v>
      </c>
      <c r="C381" s="86"/>
      <c r="D381" s="44">
        <f>SUM(C373:C381)</f>
        <v>7410400</v>
      </c>
      <c r="E381" s="32">
        <f t="shared" si="33"/>
        <v>820000</v>
      </c>
      <c r="F381" s="34">
        <v>100</v>
      </c>
      <c r="G381" s="104"/>
      <c r="H381" s="3">
        <f t="shared" si="32"/>
        <v>0</v>
      </c>
      <c r="I381" s="29"/>
      <c r="J381" s="55"/>
      <c r="K381" s="60"/>
      <c r="L381" s="60"/>
      <c r="M381" s="60"/>
      <c r="N381" s="60"/>
      <c r="O381" s="60"/>
      <c r="P381" s="60"/>
      <c r="Q381" s="60"/>
    </row>
    <row r="382" spans="1:17" s="3" customFormat="1" ht="15" customHeight="1" x14ac:dyDescent="0.25">
      <c r="A382" s="47">
        <v>45552</v>
      </c>
      <c r="B382" s="1" t="s">
        <v>160</v>
      </c>
      <c r="C382" s="86"/>
      <c r="D382" s="46"/>
      <c r="E382" s="32">
        <f t="shared" si="33"/>
        <v>820000</v>
      </c>
      <c r="F382" s="1"/>
      <c r="G382" s="1"/>
      <c r="H382" s="1"/>
      <c r="I382" s="29"/>
      <c r="J382" s="55"/>
      <c r="K382" s="8"/>
      <c r="L382" s="8"/>
      <c r="M382" s="60"/>
      <c r="N382" s="60"/>
      <c r="O382" s="60"/>
      <c r="P382" s="60"/>
      <c r="Q382" s="60"/>
    </row>
    <row r="383" spans="1:17" s="3" customFormat="1" ht="15" customHeight="1" x14ac:dyDescent="0.25">
      <c r="A383" s="47">
        <v>45552</v>
      </c>
      <c r="B383" s="1"/>
      <c r="C383" s="86"/>
      <c r="D383" s="44"/>
      <c r="E383" s="32">
        <f t="shared" si="33"/>
        <v>820000</v>
      </c>
      <c r="G383" s="34"/>
      <c r="H383" s="34"/>
      <c r="I383" s="29"/>
      <c r="J383" s="55"/>
      <c r="K383" s="44"/>
      <c r="L383" s="32"/>
      <c r="M383" s="60"/>
      <c r="N383" s="60"/>
      <c r="O383" s="60"/>
      <c r="P383" s="60"/>
      <c r="Q383" s="60"/>
    </row>
    <row r="384" spans="1:17" s="3" customFormat="1" ht="15" customHeight="1" x14ac:dyDescent="0.25">
      <c r="A384" s="47">
        <v>45552</v>
      </c>
      <c r="B384" s="31" t="s">
        <v>139</v>
      </c>
      <c r="C384" s="86"/>
      <c r="D384" s="44">
        <v>178000</v>
      </c>
      <c r="E384" s="32">
        <f t="shared" si="33"/>
        <v>642000</v>
      </c>
      <c r="G384" s="34"/>
      <c r="H384" s="34"/>
      <c r="I384" s="29"/>
      <c r="J384" s="55"/>
      <c r="K384" s="44"/>
      <c r="L384" s="32"/>
      <c r="M384" s="61"/>
      <c r="N384" s="61"/>
      <c r="O384" s="60"/>
      <c r="P384" s="60"/>
      <c r="Q384" s="60"/>
    </row>
    <row r="385" spans="1:17" s="3" customFormat="1" ht="15" customHeight="1" x14ac:dyDescent="0.25">
      <c r="A385" s="47">
        <v>45552</v>
      </c>
      <c r="B385" s="47"/>
      <c r="C385" s="87"/>
      <c r="D385" s="44"/>
      <c r="E385" s="32">
        <f t="shared" si="33"/>
        <v>642000</v>
      </c>
      <c r="G385" s="34"/>
      <c r="H385" s="34"/>
      <c r="I385" s="29"/>
      <c r="J385" s="55"/>
      <c r="K385" s="44"/>
      <c r="L385" s="32"/>
      <c r="M385" s="60"/>
      <c r="N385" s="59"/>
      <c r="O385" s="60"/>
      <c r="P385" s="60"/>
      <c r="Q385" s="60"/>
    </row>
    <row r="386" spans="1:17" s="3" customFormat="1" ht="15" customHeight="1" x14ac:dyDescent="0.25">
      <c r="A386" s="47">
        <v>45552</v>
      </c>
      <c r="B386" s="82"/>
      <c r="C386" s="87"/>
      <c r="D386" s="44"/>
      <c r="E386" s="32">
        <f t="shared" si="33"/>
        <v>642000</v>
      </c>
      <c r="G386" s="34"/>
      <c r="H386" s="34"/>
      <c r="I386" s="29"/>
      <c r="J386" s="55"/>
      <c r="K386" s="44"/>
      <c r="L386" s="32"/>
      <c r="M386" s="60"/>
      <c r="N386" s="59"/>
      <c r="O386" s="60"/>
      <c r="P386" s="60"/>
      <c r="Q386" s="60"/>
    </row>
    <row r="387" spans="1:17" s="3" customFormat="1" ht="15" customHeight="1" x14ac:dyDescent="0.25">
      <c r="A387" s="47">
        <v>45552</v>
      </c>
      <c r="C387" s="87"/>
      <c r="D387" s="44"/>
      <c r="E387" s="32">
        <f t="shared" si="33"/>
        <v>642000</v>
      </c>
      <c r="G387" s="34"/>
      <c r="H387" s="34"/>
      <c r="I387" s="29"/>
      <c r="J387" s="55"/>
      <c r="K387" s="44"/>
      <c r="L387" s="32"/>
      <c r="M387" s="60"/>
      <c r="N387" s="59"/>
      <c r="O387" s="60"/>
      <c r="P387" s="60"/>
      <c r="Q387" s="60"/>
    </row>
    <row r="388" spans="1:17" s="3" customFormat="1" ht="15" customHeight="1" x14ac:dyDescent="0.25">
      <c r="A388" s="47">
        <v>45552</v>
      </c>
      <c r="B388" s="1"/>
      <c r="C388" s="88"/>
      <c r="D388" s="36"/>
      <c r="E388" s="32">
        <f t="shared" si="33"/>
        <v>642000</v>
      </c>
      <c r="F388" s="1"/>
      <c r="G388" s="34"/>
      <c r="I388" s="29"/>
      <c r="J388" s="55"/>
      <c r="K388" s="44"/>
      <c r="L388" s="32"/>
      <c r="M388" s="60"/>
      <c r="N388" s="60"/>
      <c r="O388" s="60"/>
      <c r="P388" s="60"/>
      <c r="Q388" s="60"/>
    </row>
    <row r="389" spans="1:17" s="3" customFormat="1" ht="15" customHeight="1" x14ac:dyDescent="0.25">
      <c r="A389" s="47">
        <v>45552</v>
      </c>
      <c r="B389" s="1" t="s">
        <v>143</v>
      </c>
      <c r="C389" s="89"/>
      <c r="D389" s="44"/>
      <c r="E389" s="32">
        <f t="shared" si="33"/>
        <v>642000</v>
      </c>
      <c r="F389" s="1"/>
      <c r="G389" s="34"/>
      <c r="I389" s="29"/>
      <c r="J389" s="55"/>
      <c r="K389" s="44"/>
      <c r="L389" s="32"/>
      <c r="M389" s="60"/>
      <c r="N389" s="60"/>
      <c r="O389" s="60"/>
      <c r="P389" s="60"/>
      <c r="Q389" s="60"/>
    </row>
    <row r="390" spans="1:17" s="3" customFormat="1" ht="15" customHeight="1" x14ac:dyDescent="0.25">
      <c r="A390" s="47">
        <v>45552</v>
      </c>
      <c r="B390" s="47"/>
      <c r="C390" s="90"/>
      <c r="D390" s="44"/>
      <c r="E390" s="32">
        <f t="shared" si="33"/>
        <v>642000</v>
      </c>
      <c r="F390" s="43"/>
      <c r="G390" s="34"/>
      <c r="I390" s="29"/>
      <c r="J390" s="55"/>
      <c r="K390" s="44"/>
      <c r="L390" s="32"/>
      <c r="M390" s="60"/>
      <c r="N390" s="60"/>
      <c r="O390" s="60"/>
      <c r="P390" s="60"/>
      <c r="Q390" s="60"/>
    </row>
    <row r="391" spans="1:17" s="3" customFormat="1" ht="15" customHeight="1" x14ac:dyDescent="0.25">
      <c r="A391" s="47">
        <v>45552</v>
      </c>
      <c r="B391" s="45" t="s">
        <v>136</v>
      </c>
      <c r="C391" s="86">
        <v>24000</v>
      </c>
      <c r="D391" s="44">
        <v>400000</v>
      </c>
      <c r="E391" s="32">
        <f t="shared" si="33"/>
        <v>266000</v>
      </c>
      <c r="F391" s="3">
        <f>SUM(H371:H387)</f>
        <v>250000</v>
      </c>
      <c r="G391" s="49"/>
      <c r="I391" s="29"/>
      <c r="J391" s="55"/>
      <c r="K391" s="44"/>
      <c r="L391" s="32"/>
      <c r="M391" s="60"/>
      <c r="N391" s="60"/>
      <c r="O391" s="60"/>
      <c r="P391" s="60"/>
      <c r="Q391" s="60"/>
    </row>
    <row r="392" spans="1:17" s="3" customFormat="1" ht="15" customHeight="1" x14ac:dyDescent="0.25">
      <c r="A392" s="47">
        <v>45552</v>
      </c>
      <c r="B392" s="4" t="s">
        <v>161</v>
      </c>
      <c r="C392" s="86">
        <f>SUM(C372:C391)</f>
        <v>8004400</v>
      </c>
      <c r="D392" s="33">
        <f>SUM(D373:D391)</f>
        <v>7988400</v>
      </c>
      <c r="E392" s="32"/>
      <c r="F392" s="25">
        <f>F391-E391</f>
        <v>-16000</v>
      </c>
      <c r="G392" s="34"/>
      <c r="I392" s="29"/>
      <c r="J392" s="55"/>
      <c r="K392" s="46"/>
      <c r="L392" s="32"/>
      <c r="M392" s="61"/>
      <c r="N392" s="60"/>
      <c r="O392" s="60"/>
      <c r="P392" s="60"/>
      <c r="Q392" s="60"/>
    </row>
    <row r="393" spans="1:17" s="3" customFormat="1" ht="15" customHeight="1" x14ac:dyDescent="0.25">
      <c r="B393" s="45"/>
      <c r="C393" s="86"/>
      <c r="D393" s="44"/>
      <c r="E393" s="32"/>
      <c r="G393" s="49"/>
      <c r="I393" s="29"/>
      <c r="J393" s="55"/>
      <c r="K393" s="44"/>
      <c r="L393" s="32"/>
      <c r="M393" s="62"/>
      <c r="N393" s="60"/>
      <c r="O393" s="60"/>
      <c r="P393" s="60"/>
      <c r="Q393" s="60"/>
    </row>
    <row r="394" spans="1:17" s="3" customFormat="1" ht="15" customHeight="1" x14ac:dyDescent="0.25">
      <c r="A394" s="47">
        <v>45553</v>
      </c>
      <c r="B394" s="1" t="s">
        <v>140</v>
      </c>
      <c r="C394" s="65"/>
      <c r="D394" s="8"/>
      <c r="E394" s="8">
        <v>250000</v>
      </c>
      <c r="F394" s="49">
        <v>100000</v>
      </c>
      <c r="G394" s="103">
        <v>1</v>
      </c>
      <c r="H394" s="3">
        <f>G394*F394</f>
        <v>100000</v>
      </c>
      <c r="I394" s="29"/>
      <c r="J394" s="55"/>
      <c r="K394" s="44"/>
      <c r="L394" s="32"/>
      <c r="M394" s="62"/>
      <c r="N394" s="60"/>
      <c r="O394" s="60"/>
      <c r="P394" s="60"/>
      <c r="Q394" s="60"/>
    </row>
    <row r="395" spans="1:17" s="3" customFormat="1" ht="15" customHeight="1" x14ac:dyDescent="0.25">
      <c r="A395" s="47">
        <v>45553</v>
      </c>
      <c r="B395" s="31" t="s">
        <v>138</v>
      </c>
      <c r="C395" s="73">
        <v>147000</v>
      </c>
      <c r="D395" s="44"/>
      <c r="E395" s="32">
        <f>E394+C395-D395</f>
        <v>397000</v>
      </c>
      <c r="F395" s="3">
        <v>75000</v>
      </c>
      <c r="G395" s="103"/>
      <c r="H395" s="3">
        <f t="shared" ref="H395:H404" si="34">G395*F395</f>
        <v>0</v>
      </c>
      <c r="I395" s="29"/>
      <c r="J395" s="55"/>
      <c r="K395" s="44"/>
      <c r="L395" s="32"/>
      <c r="M395" s="62"/>
      <c r="N395" s="60"/>
      <c r="O395" s="60"/>
      <c r="P395" s="60"/>
      <c r="Q395" s="60"/>
    </row>
    <row r="396" spans="1:17" s="3" customFormat="1" ht="15" customHeight="1" x14ac:dyDescent="0.25">
      <c r="A396" s="47">
        <v>45553</v>
      </c>
      <c r="B396" s="1" t="s">
        <v>155</v>
      </c>
      <c r="C396" s="73">
        <v>456000</v>
      </c>
      <c r="D396" s="44"/>
      <c r="E396" s="32">
        <f t="shared" ref="E396:E414" si="35">E395+C396-D396</f>
        <v>853000</v>
      </c>
      <c r="F396" s="34">
        <v>50000</v>
      </c>
      <c r="G396" s="103">
        <v>3</v>
      </c>
      <c r="H396" s="3">
        <f t="shared" si="34"/>
        <v>150000</v>
      </c>
      <c r="I396" s="29"/>
      <c r="J396" s="55"/>
      <c r="K396" s="44"/>
      <c r="L396" s="32"/>
      <c r="M396" s="62"/>
      <c r="N396" s="60"/>
      <c r="O396" s="60"/>
      <c r="P396" s="60"/>
      <c r="Q396" s="60"/>
    </row>
    <row r="397" spans="1:17" s="3" customFormat="1" ht="15" customHeight="1" x14ac:dyDescent="0.25">
      <c r="A397" s="47">
        <v>45553</v>
      </c>
      <c r="B397" s="1" t="s">
        <v>156</v>
      </c>
      <c r="C397" s="73">
        <v>121000</v>
      </c>
      <c r="D397" s="44"/>
      <c r="E397" s="32">
        <f t="shared" si="35"/>
        <v>974000</v>
      </c>
      <c r="F397" s="34">
        <v>20000</v>
      </c>
      <c r="G397" s="103"/>
      <c r="H397" s="3">
        <f t="shared" si="34"/>
        <v>0</v>
      </c>
      <c r="I397" s="29"/>
      <c r="J397" s="55"/>
      <c r="K397" s="44"/>
      <c r="L397" s="32"/>
      <c r="M397" s="62"/>
      <c r="N397" s="60"/>
      <c r="O397" s="60"/>
      <c r="P397" s="60"/>
      <c r="Q397" s="60"/>
    </row>
    <row r="398" spans="1:17" s="3" customFormat="1" ht="15" customHeight="1" x14ac:dyDescent="0.25">
      <c r="A398" s="47">
        <v>45553</v>
      </c>
      <c r="B398" s="1" t="s">
        <v>133</v>
      </c>
      <c r="C398" s="73">
        <v>804000</v>
      </c>
      <c r="D398" s="44"/>
      <c r="E398" s="32">
        <f t="shared" si="35"/>
        <v>1778000</v>
      </c>
      <c r="F398" s="34">
        <v>10000</v>
      </c>
      <c r="G398" s="103"/>
      <c r="H398" s="3">
        <f t="shared" si="34"/>
        <v>0</v>
      </c>
      <c r="I398" s="29"/>
      <c r="J398" s="55"/>
      <c r="K398" s="36"/>
      <c r="L398" s="32"/>
      <c r="M398" s="62"/>
      <c r="N398" s="60"/>
      <c r="O398" s="60"/>
      <c r="P398" s="60"/>
      <c r="Q398" s="60"/>
    </row>
    <row r="399" spans="1:17" s="3" customFormat="1" ht="15" customHeight="1" x14ac:dyDescent="0.25">
      <c r="A399" s="47">
        <v>45553</v>
      </c>
      <c r="B399" s="1" t="s">
        <v>150</v>
      </c>
      <c r="C399" s="73"/>
      <c r="D399" s="44"/>
      <c r="E399" s="32">
        <f t="shared" si="35"/>
        <v>1778000</v>
      </c>
      <c r="F399" s="34">
        <v>5000</v>
      </c>
      <c r="G399" s="103"/>
      <c r="H399" s="3">
        <f t="shared" si="34"/>
        <v>0</v>
      </c>
      <c r="I399" s="29"/>
      <c r="J399" s="55"/>
      <c r="K399" s="44"/>
      <c r="L399" s="32"/>
      <c r="M399" s="60"/>
      <c r="N399" s="60"/>
      <c r="O399" s="60"/>
      <c r="P399" s="60"/>
      <c r="Q399" s="60"/>
    </row>
    <row r="400" spans="1:17" s="3" customFormat="1" ht="15" customHeight="1" x14ac:dyDescent="0.25">
      <c r="A400" s="47">
        <v>45553</v>
      </c>
      <c r="B400" s="1" t="s">
        <v>146</v>
      </c>
      <c r="C400" s="73">
        <f>6436500+200000</f>
        <v>6636500</v>
      </c>
      <c r="D400" s="44"/>
      <c r="E400" s="32">
        <f t="shared" si="35"/>
        <v>8414500</v>
      </c>
      <c r="F400" s="34">
        <v>2000</v>
      </c>
      <c r="G400" s="103"/>
      <c r="H400" s="3">
        <f t="shared" si="34"/>
        <v>0</v>
      </c>
      <c r="I400" s="29"/>
      <c r="J400" s="55"/>
      <c r="K400" s="44"/>
      <c r="L400" s="32"/>
      <c r="M400" s="60"/>
      <c r="N400" s="60"/>
      <c r="O400" s="60"/>
      <c r="P400" s="60"/>
      <c r="Q400" s="60"/>
    </row>
    <row r="401" spans="1:17" s="3" customFormat="1" ht="15" customHeight="1" x14ac:dyDescent="0.25">
      <c r="A401" s="47">
        <v>45553</v>
      </c>
      <c r="B401" s="1" t="s">
        <v>163</v>
      </c>
      <c r="C401" s="86"/>
      <c r="D401" s="44"/>
      <c r="E401" s="32">
        <f t="shared" si="35"/>
        <v>8414500</v>
      </c>
      <c r="F401" s="34">
        <v>1000</v>
      </c>
      <c r="G401" s="103"/>
      <c r="H401" s="3">
        <f t="shared" si="34"/>
        <v>0</v>
      </c>
      <c r="I401" s="29"/>
      <c r="J401" s="55"/>
      <c r="K401" s="44"/>
      <c r="L401" s="32"/>
      <c r="M401" s="60"/>
      <c r="N401" s="60"/>
      <c r="O401" s="60"/>
      <c r="P401" s="60"/>
      <c r="Q401" s="60"/>
    </row>
    <row r="402" spans="1:17" s="3" customFormat="1" ht="15" customHeight="1" x14ac:dyDescent="0.25">
      <c r="A402" s="47">
        <v>45553</v>
      </c>
      <c r="B402" s="1" t="s">
        <v>159</v>
      </c>
      <c r="C402" s="86">
        <v>1162000</v>
      </c>
      <c r="D402" s="44"/>
      <c r="E402" s="32">
        <f t="shared" si="35"/>
        <v>9576500</v>
      </c>
      <c r="F402" s="34">
        <v>500</v>
      </c>
      <c r="G402" s="103"/>
      <c r="H402" s="3">
        <f t="shared" si="34"/>
        <v>0</v>
      </c>
      <c r="I402" s="29"/>
      <c r="J402" s="55"/>
      <c r="K402" s="60"/>
      <c r="L402" s="60"/>
      <c r="M402" s="60"/>
      <c r="N402" s="60"/>
      <c r="O402" s="60"/>
      <c r="P402" s="60"/>
      <c r="Q402" s="60"/>
    </row>
    <row r="403" spans="1:17" s="3" customFormat="1" ht="15" customHeight="1" x14ac:dyDescent="0.25">
      <c r="A403" s="47">
        <v>45553</v>
      </c>
      <c r="B403" s="1" t="s">
        <v>145</v>
      </c>
      <c r="C403" s="86"/>
      <c r="D403" s="44"/>
      <c r="E403" s="32">
        <f t="shared" si="35"/>
        <v>9576500</v>
      </c>
      <c r="F403" s="34">
        <v>200</v>
      </c>
      <c r="G403" s="103"/>
      <c r="H403" s="3">
        <f t="shared" si="34"/>
        <v>0</v>
      </c>
      <c r="I403" s="29"/>
      <c r="J403" s="55"/>
      <c r="K403" s="60"/>
      <c r="L403" s="60"/>
      <c r="M403" s="60"/>
      <c r="N403" s="60"/>
      <c r="O403" s="60"/>
      <c r="P403" s="60"/>
      <c r="Q403" s="60"/>
    </row>
    <row r="404" spans="1:17" s="3" customFormat="1" ht="15" customHeight="1" x14ac:dyDescent="0.25">
      <c r="A404" s="47">
        <v>45553</v>
      </c>
      <c r="B404" s="1" t="s">
        <v>143</v>
      </c>
      <c r="C404" s="86"/>
      <c r="D404" s="44">
        <f>SUM(C396:C404)</f>
        <v>9179500</v>
      </c>
      <c r="E404" s="32">
        <f t="shared" si="35"/>
        <v>397000</v>
      </c>
      <c r="F404" s="34">
        <v>100</v>
      </c>
      <c r="G404" s="104"/>
      <c r="H404" s="3">
        <f t="shared" si="34"/>
        <v>0</v>
      </c>
      <c r="I404" s="29"/>
      <c r="J404" s="55"/>
      <c r="K404" s="60"/>
      <c r="L404" s="60"/>
      <c r="M404" s="60"/>
      <c r="N404" s="60"/>
      <c r="O404" s="60"/>
      <c r="P404" s="60"/>
      <c r="Q404" s="60"/>
    </row>
    <row r="405" spans="1:17" s="3" customFormat="1" ht="15" customHeight="1" x14ac:dyDescent="0.25">
      <c r="A405" s="47">
        <v>45553</v>
      </c>
      <c r="B405" s="1" t="s">
        <v>160</v>
      </c>
      <c r="C405" s="86"/>
      <c r="D405" s="46"/>
      <c r="E405" s="32">
        <f t="shared" si="35"/>
        <v>397000</v>
      </c>
      <c r="F405" s="1"/>
      <c r="G405" s="1"/>
      <c r="H405" s="1"/>
      <c r="I405" s="29"/>
      <c r="J405" s="55"/>
      <c r="K405" s="60"/>
      <c r="L405" s="60"/>
      <c r="M405" s="60"/>
      <c r="N405" s="60"/>
      <c r="O405" s="60"/>
      <c r="P405" s="60"/>
      <c r="Q405" s="60"/>
    </row>
    <row r="406" spans="1:17" s="3" customFormat="1" ht="15" customHeight="1" x14ac:dyDescent="0.25">
      <c r="A406" s="47">
        <v>45553</v>
      </c>
      <c r="B406" s="1"/>
      <c r="C406" s="86"/>
      <c r="D406" s="44"/>
      <c r="E406" s="32">
        <f t="shared" si="35"/>
        <v>397000</v>
      </c>
      <c r="G406" s="34"/>
      <c r="H406" s="34"/>
      <c r="I406" s="29"/>
      <c r="J406" s="55"/>
      <c r="K406" s="61"/>
      <c r="L406" s="61"/>
      <c r="M406" s="61"/>
      <c r="N406" s="60"/>
      <c r="O406" s="60"/>
      <c r="P406" s="60"/>
      <c r="Q406" s="60"/>
    </row>
    <row r="407" spans="1:17" s="3" customFormat="1" ht="15" customHeight="1" x14ac:dyDescent="0.25">
      <c r="A407" s="47">
        <v>45553</v>
      </c>
      <c r="B407" s="31" t="s">
        <v>139</v>
      </c>
      <c r="C407" s="86"/>
      <c r="D407" s="44">
        <v>177800</v>
      </c>
      <c r="E407" s="32">
        <f t="shared" si="35"/>
        <v>219200</v>
      </c>
      <c r="G407" s="34"/>
      <c r="H407" s="34"/>
      <c r="I407" s="29"/>
      <c r="J407" s="55"/>
      <c r="K407" s="60"/>
      <c r="L407" s="60"/>
      <c r="M407" s="59"/>
      <c r="N407" s="60"/>
      <c r="O407" s="60"/>
      <c r="P407" s="60"/>
      <c r="Q407" s="60"/>
    </row>
    <row r="408" spans="1:17" s="3" customFormat="1" ht="15" customHeight="1" x14ac:dyDescent="0.25">
      <c r="A408" s="47">
        <v>45553</v>
      </c>
      <c r="B408" s="47"/>
      <c r="C408" s="87"/>
      <c r="D408" s="44"/>
      <c r="E408" s="32">
        <f t="shared" si="35"/>
        <v>219200</v>
      </c>
      <c r="G408" s="34"/>
      <c r="H408" s="34"/>
      <c r="I408" s="29"/>
      <c r="J408" s="55"/>
      <c r="K408" s="60"/>
      <c r="L408" s="60"/>
      <c r="M408" s="59"/>
      <c r="N408" s="60"/>
      <c r="O408" s="60"/>
      <c r="P408" s="60"/>
      <c r="Q408" s="60"/>
    </row>
    <row r="409" spans="1:17" s="3" customFormat="1" ht="15" customHeight="1" x14ac:dyDescent="0.25">
      <c r="A409" s="47">
        <v>45553</v>
      </c>
      <c r="B409" s="82"/>
      <c r="C409" s="87"/>
      <c r="D409" s="44"/>
      <c r="E409" s="32">
        <f t="shared" si="35"/>
        <v>219200</v>
      </c>
      <c r="G409" s="34"/>
      <c r="H409" s="34"/>
      <c r="I409" s="29"/>
      <c r="J409" s="55"/>
      <c r="K409" s="59"/>
      <c r="L409" s="60"/>
      <c r="M409" s="59"/>
      <c r="N409" s="60"/>
      <c r="O409" s="60"/>
      <c r="P409" s="60"/>
      <c r="Q409" s="60"/>
    </row>
    <row r="410" spans="1:17" s="3" customFormat="1" ht="15" customHeight="1" x14ac:dyDescent="0.25">
      <c r="A410" s="47">
        <v>45553</v>
      </c>
      <c r="C410" s="87"/>
      <c r="D410" s="44"/>
      <c r="E410" s="32">
        <f t="shared" si="35"/>
        <v>219200</v>
      </c>
      <c r="G410" s="34"/>
      <c r="H410" s="34"/>
      <c r="I410" s="29"/>
      <c r="J410" s="55"/>
      <c r="K410" s="59"/>
      <c r="L410" s="59"/>
      <c r="M410" s="59"/>
      <c r="N410" s="60"/>
      <c r="O410" s="60"/>
      <c r="P410" s="60"/>
      <c r="Q410" s="60"/>
    </row>
    <row r="411" spans="1:17" s="3" customFormat="1" ht="15" customHeight="1" x14ac:dyDescent="0.25">
      <c r="A411" s="47">
        <v>45553</v>
      </c>
      <c r="B411" s="1"/>
      <c r="C411" s="88"/>
      <c r="D411" s="36"/>
      <c r="E411" s="32">
        <f t="shared" si="35"/>
        <v>219200</v>
      </c>
      <c r="F411" s="1"/>
      <c r="G411" s="34"/>
      <c r="I411" s="29"/>
      <c r="J411" s="55"/>
      <c r="K411" s="60"/>
      <c r="L411" s="60"/>
      <c r="M411" s="60"/>
      <c r="N411" s="60"/>
      <c r="O411" s="60"/>
      <c r="P411" s="60"/>
      <c r="Q411" s="60"/>
    </row>
    <row r="412" spans="1:17" s="3" customFormat="1" ht="15" customHeight="1" x14ac:dyDescent="0.25">
      <c r="A412" s="47">
        <v>45553</v>
      </c>
      <c r="B412" s="1" t="s">
        <v>143</v>
      </c>
      <c r="C412" s="89"/>
      <c r="D412" s="44"/>
      <c r="E412" s="32">
        <f t="shared" si="35"/>
        <v>219200</v>
      </c>
      <c r="F412" s="1"/>
      <c r="G412" s="34"/>
      <c r="I412" s="29"/>
      <c r="J412" s="55"/>
      <c r="K412" s="60"/>
      <c r="L412" s="60"/>
      <c r="M412" s="60"/>
      <c r="N412" s="60"/>
      <c r="O412" s="60"/>
      <c r="P412" s="60"/>
      <c r="Q412" s="60"/>
    </row>
    <row r="413" spans="1:17" s="3" customFormat="1" ht="15" customHeight="1" x14ac:dyDescent="0.25">
      <c r="A413" s="47">
        <v>45553</v>
      </c>
      <c r="B413" s="47"/>
      <c r="C413" s="90"/>
      <c r="D413" s="44"/>
      <c r="E413" s="32">
        <f t="shared" si="35"/>
        <v>219200</v>
      </c>
      <c r="F413" s="43"/>
      <c r="G413" s="34"/>
      <c r="I413" s="29"/>
      <c r="J413" s="55"/>
      <c r="K413" s="60"/>
      <c r="L413" s="60"/>
      <c r="M413" s="60"/>
      <c r="N413" s="60"/>
      <c r="O413" s="60"/>
      <c r="P413" s="60"/>
      <c r="Q413" s="60"/>
    </row>
    <row r="414" spans="1:17" s="3" customFormat="1" ht="15" customHeight="1" x14ac:dyDescent="0.25">
      <c r="A414" s="47">
        <v>45553</v>
      </c>
      <c r="B414" s="45" t="s">
        <v>136</v>
      </c>
      <c r="C414" s="86">
        <v>50000</v>
      </c>
      <c r="D414" s="44">
        <v>19000</v>
      </c>
      <c r="E414" s="32">
        <f t="shared" si="35"/>
        <v>250200</v>
      </c>
      <c r="F414" s="3">
        <f>SUM(H394:H410)</f>
        <v>250000</v>
      </c>
      <c r="G414" s="49"/>
      <c r="I414" s="29"/>
      <c r="J414" s="55"/>
      <c r="K414" s="60"/>
      <c r="L414" s="60"/>
      <c r="M414" s="60"/>
      <c r="N414" s="60"/>
      <c r="O414" s="60"/>
      <c r="P414" s="60"/>
      <c r="Q414" s="60"/>
    </row>
    <row r="415" spans="1:17" s="3" customFormat="1" ht="15" customHeight="1" x14ac:dyDescent="0.25">
      <c r="A415" s="47">
        <v>45553</v>
      </c>
      <c r="B415" s="4" t="s">
        <v>161</v>
      </c>
      <c r="C415" s="86">
        <f>SUM(C395:C414)</f>
        <v>9376500</v>
      </c>
      <c r="D415" s="33">
        <f>SUM(D396:D414)</f>
        <v>9376300</v>
      </c>
      <c r="E415" s="32"/>
      <c r="F415" s="25">
        <f>F414-E414</f>
        <v>-200</v>
      </c>
      <c r="G415" s="34"/>
      <c r="I415" s="29"/>
      <c r="J415" s="55"/>
      <c r="K415" s="60"/>
      <c r="L415" s="60"/>
      <c r="M415" s="60"/>
      <c r="N415" s="60"/>
      <c r="O415" s="60"/>
      <c r="P415" s="60"/>
      <c r="Q415" s="60"/>
    </row>
    <row r="416" spans="1:17" s="3" customFormat="1" ht="15" customHeight="1" x14ac:dyDescent="0.25">
      <c r="B416" s="45"/>
      <c r="C416" s="86"/>
      <c r="D416" s="33"/>
      <c r="E416" s="32"/>
      <c r="F416" s="25"/>
      <c r="G416" s="34"/>
      <c r="I416" s="29"/>
      <c r="J416" s="55"/>
      <c r="K416" s="60"/>
      <c r="L416" s="60"/>
      <c r="M416" s="60"/>
      <c r="N416" s="60"/>
      <c r="O416" s="60"/>
      <c r="P416" s="60"/>
      <c r="Q416" s="60"/>
    </row>
    <row r="417" spans="1:17" s="3" customFormat="1" ht="15" customHeight="1" x14ac:dyDescent="0.25">
      <c r="A417" s="47">
        <v>45554</v>
      </c>
      <c r="B417" s="1" t="s">
        <v>140</v>
      </c>
      <c r="C417" s="65"/>
      <c r="D417" s="8"/>
      <c r="E417" s="8">
        <v>250000</v>
      </c>
      <c r="F417" s="49">
        <v>100000</v>
      </c>
      <c r="G417" s="103"/>
      <c r="H417" s="3">
        <f>G417*F417</f>
        <v>0</v>
      </c>
      <c r="I417" s="29"/>
      <c r="J417" s="55"/>
      <c r="K417" s="60"/>
      <c r="L417" s="60"/>
      <c r="M417" s="60"/>
      <c r="N417" s="60"/>
      <c r="O417" s="60"/>
      <c r="P417" s="60"/>
      <c r="Q417" s="60"/>
    </row>
    <row r="418" spans="1:17" s="3" customFormat="1" ht="15" customHeight="1" x14ac:dyDescent="0.25">
      <c r="A418" s="47">
        <v>45554</v>
      </c>
      <c r="B418" s="31" t="s">
        <v>138</v>
      </c>
      <c r="C418" s="73">
        <v>197000</v>
      </c>
      <c r="D418" s="44"/>
      <c r="E418" s="32">
        <f>E417+C418-D418</f>
        <v>447000</v>
      </c>
      <c r="F418" s="3">
        <v>75000</v>
      </c>
      <c r="G418" s="103"/>
      <c r="H418" s="3">
        <f t="shared" ref="H418:H427" si="36">G418*F418</f>
        <v>0</v>
      </c>
      <c r="I418" s="29"/>
      <c r="J418" s="55"/>
      <c r="K418" s="60"/>
      <c r="L418" s="60"/>
      <c r="M418" s="60"/>
      <c r="N418" s="60"/>
      <c r="O418" s="60"/>
      <c r="P418" s="60"/>
      <c r="Q418" s="60"/>
    </row>
    <row r="419" spans="1:17" s="3" customFormat="1" ht="15" customHeight="1" x14ac:dyDescent="0.25">
      <c r="A419" s="47">
        <v>45554</v>
      </c>
      <c r="B419" s="1" t="s">
        <v>155</v>
      </c>
      <c r="C419" s="73">
        <v>272000</v>
      </c>
      <c r="D419" s="44"/>
      <c r="E419" s="32">
        <f>E418+C419-D419</f>
        <v>719000</v>
      </c>
      <c r="F419" s="34">
        <v>50000</v>
      </c>
      <c r="G419" s="103">
        <v>5</v>
      </c>
      <c r="H419" s="3">
        <f t="shared" si="36"/>
        <v>250000</v>
      </c>
      <c r="I419" s="29"/>
      <c r="J419" s="55"/>
      <c r="K419" s="60"/>
      <c r="L419" s="60"/>
      <c r="M419" s="60"/>
      <c r="N419" s="60"/>
      <c r="O419" s="60"/>
      <c r="P419" s="60"/>
      <c r="Q419" s="60"/>
    </row>
    <row r="420" spans="1:17" s="3" customFormat="1" ht="15" customHeight="1" x14ac:dyDescent="0.25">
      <c r="A420" s="47">
        <v>45554</v>
      </c>
      <c r="B420" s="1" t="s">
        <v>156</v>
      </c>
      <c r="C420" s="73">
        <v>757000</v>
      </c>
      <c r="D420" s="44"/>
      <c r="E420" s="32">
        <f t="shared" ref="E420:E437" si="37">E419+C420-D420</f>
        <v>1476000</v>
      </c>
      <c r="F420" s="34">
        <v>20000</v>
      </c>
      <c r="G420" s="103"/>
      <c r="H420" s="3">
        <f t="shared" si="36"/>
        <v>0</v>
      </c>
      <c r="I420" s="29"/>
      <c r="J420" s="55"/>
      <c r="K420" s="60"/>
      <c r="L420" s="60"/>
      <c r="M420" s="60"/>
      <c r="N420" s="60"/>
      <c r="O420" s="60"/>
      <c r="P420" s="60"/>
      <c r="Q420" s="60"/>
    </row>
    <row r="421" spans="1:17" s="3" customFormat="1" ht="15" customHeight="1" x14ac:dyDescent="0.25">
      <c r="A421" s="47">
        <v>45554</v>
      </c>
      <c r="B421" s="1" t="s">
        <v>133</v>
      </c>
      <c r="C421" s="73">
        <v>1529500</v>
      </c>
      <c r="D421" s="44"/>
      <c r="E421" s="32">
        <f t="shared" si="37"/>
        <v>3005500</v>
      </c>
      <c r="F421" s="34">
        <v>10000</v>
      </c>
      <c r="G421" s="103"/>
      <c r="H421" s="3">
        <f t="shared" si="36"/>
        <v>0</v>
      </c>
      <c r="I421" s="29"/>
      <c r="J421" s="55"/>
      <c r="K421" s="60"/>
      <c r="L421" s="60"/>
      <c r="M421" s="60"/>
      <c r="N421" s="60"/>
      <c r="O421" s="60"/>
      <c r="P421" s="60"/>
      <c r="Q421" s="60"/>
    </row>
    <row r="422" spans="1:17" s="3" customFormat="1" ht="15" customHeight="1" x14ac:dyDescent="0.25">
      <c r="A422" s="47">
        <v>45554</v>
      </c>
      <c r="B422" s="1" t="s">
        <v>150</v>
      </c>
      <c r="C422" s="73"/>
      <c r="D422" s="44"/>
      <c r="E422" s="32">
        <f t="shared" si="37"/>
        <v>3005500</v>
      </c>
      <c r="F422" s="34">
        <v>5000</v>
      </c>
      <c r="G422" s="103">
        <f>2-2</f>
        <v>0</v>
      </c>
      <c r="H422" s="3">
        <f t="shared" si="36"/>
        <v>0</v>
      </c>
      <c r="I422" s="29"/>
      <c r="J422" s="55"/>
      <c r="K422" s="60"/>
      <c r="L422" s="60"/>
      <c r="M422" s="60"/>
      <c r="N422" s="60"/>
      <c r="O422" s="60"/>
      <c r="P422" s="60"/>
      <c r="Q422" s="60"/>
    </row>
    <row r="423" spans="1:17" s="3" customFormat="1" ht="15" customHeight="1" x14ac:dyDescent="0.25">
      <c r="A423" s="47">
        <v>45554</v>
      </c>
      <c r="B423" s="1" t="s">
        <v>146</v>
      </c>
      <c r="C423" s="73">
        <v>4971000</v>
      </c>
      <c r="D423" s="44"/>
      <c r="E423" s="32">
        <f t="shared" si="37"/>
        <v>7976500</v>
      </c>
      <c r="F423" s="34">
        <v>2000</v>
      </c>
      <c r="G423" s="103">
        <f>4-4</f>
        <v>0</v>
      </c>
      <c r="H423" s="3">
        <f t="shared" si="36"/>
        <v>0</v>
      </c>
      <c r="I423" s="29"/>
      <c r="J423" s="55"/>
      <c r="K423" s="60"/>
      <c r="L423" s="60"/>
      <c r="M423" s="60"/>
      <c r="N423" s="60"/>
      <c r="O423" s="60"/>
      <c r="P423" s="60"/>
      <c r="Q423" s="60"/>
    </row>
    <row r="424" spans="1:17" s="3" customFormat="1" ht="15" customHeight="1" x14ac:dyDescent="0.25">
      <c r="A424" s="47">
        <v>45554</v>
      </c>
      <c r="B424" s="1" t="s">
        <v>163</v>
      </c>
      <c r="C424" s="86"/>
      <c r="D424" s="44"/>
      <c r="E424" s="32">
        <f t="shared" si="37"/>
        <v>7976500</v>
      </c>
      <c r="F424" s="34">
        <v>1000</v>
      </c>
      <c r="G424" s="103">
        <f>2-2</f>
        <v>0</v>
      </c>
      <c r="H424" s="3">
        <f t="shared" si="36"/>
        <v>0</v>
      </c>
      <c r="I424" s="29"/>
      <c r="J424" s="55"/>
      <c r="K424" s="60"/>
      <c r="L424" s="60"/>
      <c r="M424" s="60"/>
      <c r="N424" s="60"/>
      <c r="O424" s="60"/>
      <c r="P424" s="60"/>
      <c r="Q424" s="60"/>
    </row>
    <row r="425" spans="1:17" s="3" customFormat="1" ht="15" customHeight="1" x14ac:dyDescent="0.25">
      <c r="A425" s="47">
        <v>45554</v>
      </c>
      <c r="B425" s="1" t="s">
        <v>159</v>
      </c>
      <c r="C425" s="86">
        <v>1987000</v>
      </c>
      <c r="D425" s="44"/>
      <c r="E425" s="32">
        <f t="shared" si="37"/>
        <v>9963500</v>
      </c>
      <c r="F425" s="34">
        <v>500</v>
      </c>
      <c r="G425" s="103">
        <f>4-4</f>
        <v>0</v>
      </c>
      <c r="H425" s="3">
        <f t="shared" si="36"/>
        <v>0</v>
      </c>
      <c r="I425" s="29"/>
      <c r="J425" s="55"/>
      <c r="K425" s="60"/>
      <c r="L425" s="60"/>
      <c r="M425" s="60"/>
      <c r="N425" s="60"/>
      <c r="O425" s="60"/>
      <c r="P425" s="60"/>
      <c r="Q425" s="60"/>
    </row>
    <row r="426" spans="1:17" s="3" customFormat="1" ht="15" customHeight="1" x14ac:dyDescent="0.25">
      <c r="A426" s="47">
        <v>45554</v>
      </c>
      <c r="B426" s="1" t="s">
        <v>145</v>
      </c>
      <c r="C426" s="86"/>
      <c r="D426" s="44"/>
      <c r="E426" s="32">
        <f t="shared" si="37"/>
        <v>9963500</v>
      </c>
      <c r="F426" s="34">
        <v>200</v>
      </c>
      <c r="G426" s="103"/>
      <c r="H426" s="3">
        <f t="shared" si="36"/>
        <v>0</v>
      </c>
      <c r="I426" s="29"/>
      <c r="J426" s="55"/>
      <c r="K426" s="60"/>
      <c r="L426" s="60"/>
      <c r="M426" s="60"/>
      <c r="N426" s="60"/>
      <c r="O426" s="60"/>
      <c r="P426" s="60"/>
      <c r="Q426" s="60"/>
    </row>
    <row r="427" spans="1:17" s="3" customFormat="1" ht="15" customHeight="1" x14ac:dyDescent="0.25">
      <c r="A427" s="47">
        <v>45554</v>
      </c>
      <c r="B427" s="1" t="s">
        <v>143</v>
      </c>
      <c r="C427" s="86"/>
      <c r="D427" s="44">
        <f>SUM(C419:C427)</f>
        <v>9516500</v>
      </c>
      <c r="E427" s="32">
        <f>E426+C427-D427</f>
        <v>447000</v>
      </c>
      <c r="F427" s="34">
        <v>100</v>
      </c>
      <c r="G427" s="104"/>
      <c r="H427" s="3">
        <f t="shared" si="36"/>
        <v>0</v>
      </c>
      <c r="I427" s="29"/>
      <c r="J427" s="55"/>
      <c r="K427" s="60"/>
      <c r="L427" s="60"/>
      <c r="M427" s="60"/>
      <c r="N427" s="60"/>
      <c r="O427" s="60"/>
      <c r="P427" s="60"/>
      <c r="Q427" s="60"/>
    </row>
    <row r="428" spans="1:17" s="3" customFormat="1" ht="15" customHeight="1" x14ac:dyDescent="0.25">
      <c r="A428" s="47">
        <v>45554</v>
      </c>
      <c r="B428" s="1" t="s">
        <v>160</v>
      </c>
      <c r="C428" s="86"/>
      <c r="D428" s="46"/>
      <c r="E428" s="32">
        <f t="shared" si="37"/>
        <v>447000</v>
      </c>
      <c r="F428" s="1"/>
      <c r="G428" s="1"/>
      <c r="H428" s="1"/>
      <c r="I428" s="29"/>
      <c r="J428" s="55"/>
      <c r="K428" s="60"/>
      <c r="L428" s="60"/>
      <c r="M428" s="60"/>
      <c r="N428" s="60"/>
      <c r="O428" s="60"/>
      <c r="P428" s="60"/>
      <c r="Q428" s="60"/>
    </row>
    <row r="429" spans="1:17" s="3" customFormat="1" ht="15" customHeight="1" x14ac:dyDescent="0.25">
      <c r="A429" s="47">
        <v>45554</v>
      </c>
      <c r="B429" s="1"/>
      <c r="C429" s="86"/>
      <c r="D429" s="44"/>
      <c r="E429" s="32">
        <f t="shared" si="37"/>
        <v>447000</v>
      </c>
      <c r="G429" s="34"/>
      <c r="H429" s="34"/>
      <c r="I429" s="29"/>
      <c r="J429" s="55"/>
      <c r="K429" s="60"/>
      <c r="L429" s="60"/>
      <c r="M429" s="60"/>
      <c r="N429" s="60"/>
      <c r="O429" s="60"/>
      <c r="P429" s="60"/>
      <c r="Q429" s="60"/>
    </row>
    <row r="430" spans="1:17" s="3" customFormat="1" ht="15" customHeight="1" x14ac:dyDescent="0.25">
      <c r="A430" s="47">
        <v>45554</v>
      </c>
      <c r="B430" s="31" t="s">
        <v>139</v>
      </c>
      <c r="C430" s="86">
        <v>4000</v>
      </c>
      <c r="D430" s="44">
        <v>262000</v>
      </c>
      <c r="E430" s="32">
        <f t="shared" si="37"/>
        <v>189000</v>
      </c>
      <c r="G430" s="34"/>
      <c r="H430" s="34"/>
      <c r="I430" s="29"/>
      <c r="J430" s="55"/>
      <c r="K430" s="60"/>
      <c r="L430" s="60"/>
      <c r="M430" s="60"/>
      <c r="N430" s="60"/>
      <c r="O430" s="60"/>
      <c r="P430" s="60"/>
      <c r="Q430" s="60"/>
    </row>
    <row r="431" spans="1:17" s="3" customFormat="1" ht="15" customHeight="1" x14ac:dyDescent="0.25">
      <c r="A431" s="47">
        <v>45554</v>
      </c>
      <c r="B431" s="47"/>
      <c r="C431" s="87"/>
      <c r="D431" s="44"/>
      <c r="E431" s="32">
        <f t="shared" si="37"/>
        <v>189000</v>
      </c>
      <c r="G431" s="34"/>
      <c r="H431" s="34"/>
      <c r="I431" s="29"/>
      <c r="J431" s="55"/>
      <c r="K431" s="60"/>
      <c r="L431" s="60"/>
      <c r="M431" s="60"/>
      <c r="N431" s="60"/>
      <c r="O431" s="60"/>
      <c r="P431" s="60"/>
      <c r="Q431" s="60"/>
    </row>
    <row r="432" spans="1:17" s="3" customFormat="1" ht="15" customHeight="1" x14ac:dyDescent="0.25">
      <c r="A432" s="47">
        <v>45554</v>
      </c>
      <c r="B432" s="82"/>
      <c r="C432" s="87"/>
      <c r="D432" s="44"/>
      <c r="E432" s="32">
        <f t="shared" si="37"/>
        <v>189000</v>
      </c>
      <c r="G432" s="34"/>
      <c r="H432" s="34"/>
      <c r="I432" s="29"/>
      <c r="J432" s="55"/>
      <c r="K432" s="60"/>
      <c r="L432" s="60"/>
      <c r="M432" s="60"/>
      <c r="N432" s="60"/>
      <c r="O432" s="60"/>
      <c r="P432" s="60"/>
      <c r="Q432" s="60"/>
    </row>
    <row r="433" spans="1:17" s="3" customFormat="1" ht="15" customHeight="1" x14ac:dyDescent="0.25">
      <c r="A433" s="47">
        <v>45554</v>
      </c>
      <c r="C433" s="87"/>
      <c r="D433" s="44"/>
      <c r="E433" s="32">
        <f t="shared" si="37"/>
        <v>189000</v>
      </c>
      <c r="G433" s="34"/>
      <c r="H433" s="34"/>
      <c r="I433" s="29"/>
      <c r="J433" s="55"/>
      <c r="K433" s="60"/>
      <c r="L433" s="60"/>
      <c r="M433" s="60"/>
      <c r="N433" s="60"/>
      <c r="O433" s="60"/>
      <c r="P433" s="60"/>
      <c r="Q433" s="60"/>
    </row>
    <row r="434" spans="1:17" s="3" customFormat="1" ht="15" customHeight="1" x14ac:dyDescent="0.25">
      <c r="A434" s="47">
        <v>45554</v>
      </c>
      <c r="B434" s="1"/>
      <c r="C434" s="88"/>
      <c r="D434" s="36"/>
      <c r="E434" s="32">
        <f t="shared" si="37"/>
        <v>189000</v>
      </c>
      <c r="F434" s="1"/>
      <c r="G434" s="34"/>
      <c r="I434" s="29"/>
      <c r="J434" s="55"/>
      <c r="K434" s="60"/>
      <c r="L434" s="60"/>
      <c r="M434" s="60"/>
      <c r="N434" s="60"/>
      <c r="O434" s="60"/>
      <c r="P434" s="60"/>
      <c r="Q434" s="60"/>
    </row>
    <row r="435" spans="1:17" s="3" customFormat="1" ht="15" customHeight="1" x14ac:dyDescent="0.25">
      <c r="A435" s="47">
        <v>45554</v>
      </c>
      <c r="B435" s="1" t="s">
        <v>143</v>
      </c>
      <c r="C435" s="89"/>
      <c r="D435" s="44"/>
      <c r="E435" s="32">
        <f t="shared" si="37"/>
        <v>189000</v>
      </c>
      <c r="F435" s="1"/>
      <c r="G435" s="34"/>
      <c r="I435" s="29"/>
      <c r="J435" s="55"/>
      <c r="K435" s="60"/>
      <c r="L435" s="60"/>
      <c r="M435" s="60"/>
      <c r="N435" s="60"/>
      <c r="O435" s="60"/>
      <c r="P435" s="60"/>
      <c r="Q435" s="60"/>
    </row>
    <row r="436" spans="1:17" s="3" customFormat="1" ht="15" customHeight="1" x14ac:dyDescent="0.25">
      <c r="A436" s="47">
        <v>45554</v>
      </c>
      <c r="B436" s="47"/>
      <c r="C436" s="90"/>
      <c r="D436" s="44"/>
      <c r="E436" s="32">
        <f t="shared" si="37"/>
        <v>189000</v>
      </c>
      <c r="F436" s="43"/>
      <c r="G436" s="34"/>
      <c r="I436" s="29"/>
      <c r="J436" s="55"/>
      <c r="K436" s="60"/>
      <c r="L436" s="60"/>
      <c r="M436" s="60"/>
      <c r="N436" s="60"/>
      <c r="O436" s="60"/>
      <c r="P436" s="60"/>
      <c r="Q436" s="60"/>
    </row>
    <row r="437" spans="1:17" s="3" customFormat="1" ht="15" customHeight="1" x14ac:dyDescent="0.25">
      <c r="A437" s="47">
        <v>45554</v>
      </c>
      <c r="B437" s="45" t="s">
        <v>136</v>
      </c>
      <c r="C437" s="86">
        <v>50000</v>
      </c>
      <c r="D437" s="44">
        <v>22000</v>
      </c>
      <c r="E437" s="32">
        <f t="shared" si="37"/>
        <v>217000</v>
      </c>
      <c r="F437" s="3">
        <f>SUM(H417:H433)</f>
        <v>250000</v>
      </c>
      <c r="G437" s="49"/>
      <c r="I437" s="29"/>
      <c r="J437" s="55"/>
      <c r="K437" s="60"/>
      <c r="L437" s="60"/>
      <c r="M437" s="60"/>
      <c r="N437" s="60"/>
      <c r="O437" s="60"/>
      <c r="P437" s="60"/>
      <c r="Q437" s="60"/>
    </row>
    <row r="438" spans="1:17" s="3" customFormat="1" ht="15" customHeight="1" x14ac:dyDescent="0.25">
      <c r="A438" s="47">
        <v>45554</v>
      </c>
      <c r="B438" s="4" t="s">
        <v>161</v>
      </c>
      <c r="C438" s="86">
        <f>SUM(C418:C437)</f>
        <v>9767500</v>
      </c>
      <c r="D438" s="33">
        <f>SUM(D419:D437)</f>
        <v>9800500</v>
      </c>
      <c r="E438" s="32"/>
      <c r="F438" s="25">
        <f>F437-E437</f>
        <v>33000</v>
      </c>
      <c r="G438" s="34"/>
      <c r="I438" s="29"/>
      <c r="J438" s="55"/>
      <c r="K438" s="60"/>
      <c r="L438" s="60"/>
      <c r="M438" s="60"/>
      <c r="N438" s="60"/>
      <c r="O438" s="60"/>
      <c r="P438" s="60"/>
      <c r="Q438" s="60"/>
    </row>
    <row r="439" spans="1:17" s="3" customFormat="1" ht="15" customHeight="1" x14ac:dyDescent="0.25">
      <c r="B439" s="45"/>
      <c r="C439" s="86"/>
      <c r="D439" s="44"/>
      <c r="E439" s="32"/>
      <c r="G439" s="49"/>
      <c r="I439" s="29"/>
      <c r="J439" s="55"/>
      <c r="K439" s="60"/>
      <c r="L439" s="60"/>
      <c r="M439" s="60"/>
      <c r="N439" s="60"/>
      <c r="O439" s="60"/>
      <c r="P439" s="60"/>
      <c r="Q439" s="60"/>
    </row>
    <row r="440" spans="1:17" s="3" customFormat="1" ht="15" customHeight="1" x14ac:dyDescent="0.25">
      <c r="A440" s="47">
        <v>45555</v>
      </c>
      <c r="B440" s="1" t="s">
        <v>140</v>
      </c>
      <c r="C440" s="65"/>
      <c r="D440" s="8"/>
      <c r="E440" s="8">
        <v>250000</v>
      </c>
      <c r="F440" s="49">
        <v>100000</v>
      </c>
      <c r="G440" s="103">
        <v>3</v>
      </c>
      <c r="H440" s="3">
        <f>G440*F440</f>
        <v>300000</v>
      </c>
      <c r="I440" s="29"/>
      <c r="J440" s="55"/>
      <c r="K440" s="60"/>
      <c r="L440" s="60"/>
      <c r="M440" s="60"/>
      <c r="N440" s="60"/>
      <c r="O440" s="60"/>
      <c r="P440" s="60"/>
      <c r="Q440" s="60"/>
    </row>
    <row r="441" spans="1:17" s="3" customFormat="1" ht="15" customHeight="1" x14ac:dyDescent="0.25">
      <c r="A441" s="47">
        <v>45555</v>
      </c>
      <c r="B441" s="31" t="s">
        <v>138</v>
      </c>
      <c r="C441" s="73">
        <v>653000</v>
      </c>
      <c r="D441" s="44"/>
      <c r="E441" s="32">
        <f>E440+C441-D441</f>
        <v>903000</v>
      </c>
      <c r="F441" s="3">
        <v>75000</v>
      </c>
      <c r="G441" s="103"/>
      <c r="H441" s="3">
        <f t="shared" ref="H441:H450" si="38">G441*F441</f>
        <v>0</v>
      </c>
      <c r="I441" s="29"/>
      <c r="J441" s="55"/>
      <c r="K441" s="60"/>
      <c r="L441" s="60"/>
      <c r="M441" s="60"/>
      <c r="N441" s="60"/>
      <c r="O441" s="60"/>
      <c r="P441" s="60"/>
      <c r="Q441" s="60"/>
    </row>
    <row r="442" spans="1:17" s="3" customFormat="1" ht="15" customHeight="1" x14ac:dyDescent="0.25">
      <c r="A442" s="47">
        <v>45555</v>
      </c>
      <c r="B442" s="1" t="s">
        <v>155</v>
      </c>
      <c r="C442" s="73">
        <v>158000</v>
      </c>
      <c r="D442" s="44"/>
      <c r="E442" s="32">
        <f>E441+C442-D442</f>
        <v>1061000</v>
      </c>
      <c r="F442" s="34">
        <v>50000</v>
      </c>
      <c r="G442" s="103"/>
      <c r="H442" s="3">
        <f t="shared" si="38"/>
        <v>0</v>
      </c>
      <c r="I442" s="29"/>
      <c r="J442" s="55"/>
      <c r="K442" s="61"/>
      <c r="L442" s="61"/>
      <c r="M442" s="61"/>
      <c r="N442" s="60"/>
      <c r="O442" s="60"/>
      <c r="P442" s="60"/>
      <c r="Q442" s="60"/>
    </row>
    <row r="443" spans="1:17" s="3" customFormat="1" ht="15" customHeight="1" x14ac:dyDescent="0.25">
      <c r="A443" s="47">
        <v>45555</v>
      </c>
      <c r="B443" s="1" t="s">
        <v>156</v>
      </c>
      <c r="C443" s="73">
        <v>140000</v>
      </c>
      <c r="D443" s="44"/>
      <c r="E443" s="32">
        <f t="shared" ref="E443:E449" si="39">E442+C443-D443</f>
        <v>1201000</v>
      </c>
      <c r="F443" s="34">
        <v>20000</v>
      </c>
      <c r="G443" s="103"/>
      <c r="H443" s="3">
        <f t="shared" si="38"/>
        <v>0</v>
      </c>
      <c r="I443" s="29"/>
      <c r="J443" s="55"/>
      <c r="K443" s="61"/>
      <c r="L443" s="61"/>
      <c r="M443" s="61"/>
      <c r="N443" s="60"/>
      <c r="O443" s="60"/>
      <c r="P443" s="60"/>
      <c r="Q443" s="60"/>
    </row>
    <row r="444" spans="1:17" s="3" customFormat="1" ht="15" customHeight="1" x14ac:dyDescent="0.25">
      <c r="A444" s="47">
        <v>45555</v>
      </c>
      <c r="B444" s="1" t="s">
        <v>133</v>
      </c>
      <c r="C444" s="73">
        <v>807000</v>
      </c>
      <c r="D444" s="44"/>
      <c r="E444" s="32">
        <f t="shared" si="39"/>
        <v>2008000</v>
      </c>
      <c r="F444" s="34">
        <v>10000</v>
      </c>
      <c r="G444" s="103"/>
      <c r="H444" s="3">
        <f t="shared" si="38"/>
        <v>0</v>
      </c>
      <c r="I444" s="29"/>
      <c r="J444" s="55"/>
      <c r="K444" s="60"/>
      <c r="L444" s="60"/>
      <c r="M444" s="59"/>
      <c r="N444" s="60"/>
      <c r="O444" s="60"/>
      <c r="P444" s="60"/>
      <c r="Q444" s="60"/>
    </row>
    <row r="445" spans="1:17" s="3" customFormat="1" ht="15" customHeight="1" x14ac:dyDescent="0.25">
      <c r="A445" s="47">
        <v>45555</v>
      </c>
      <c r="B445" s="1" t="s">
        <v>150</v>
      </c>
      <c r="C445" s="73"/>
      <c r="D445" s="44"/>
      <c r="E445" s="32">
        <f t="shared" si="39"/>
        <v>2008000</v>
      </c>
      <c r="F445" s="34">
        <v>5000</v>
      </c>
      <c r="G445" s="103"/>
      <c r="H445" s="3">
        <f t="shared" si="38"/>
        <v>0</v>
      </c>
      <c r="I445" s="29"/>
      <c r="J445" s="55"/>
      <c r="K445" s="60"/>
      <c r="L445" s="60"/>
      <c r="M445" s="59"/>
      <c r="N445" s="60"/>
      <c r="O445" s="60"/>
      <c r="P445" s="60"/>
      <c r="Q445" s="60"/>
    </row>
    <row r="446" spans="1:17" s="3" customFormat="1" ht="15" customHeight="1" x14ac:dyDescent="0.25">
      <c r="A446" s="47">
        <v>45555</v>
      </c>
      <c r="B446" s="1" t="s">
        <v>146</v>
      </c>
      <c r="C446" s="73">
        <f>4986500+322000</f>
        <v>5308500</v>
      </c>
      <c r="D446" s="44"/>
      <c r="E446" s="32">
        <f t="shared" si="39"/>
        <v>7316500</v>
      </c>
      <c r="F446" s="34">
        <v>2000</v>
      </c>
      <c r="G446" s="103"/>
      <c r="H446" s="3">
        <f t="shared" si="38"/>
        <v>0</v>
      </c>
      <c r="I446" s="29"/>
      <c r="J446" s="55"/>
      <c r="K446" s="59"/>
      <c r="L446" s="60"/>
      <c r="M446" s="59"/>
      <c r="N446" s="60"/>
      <c r="O446" s="60"/>
      <c r="P446" s="60"/>
      <c r="Q446" s="60"/>
    </row>
    <row r="447" spans="1:17" s="3" customFormat="1" ht="15" customHeight="1" x14ac:dyDescent="0.25">
      <c r="A447" s="47">
        <v>45555</v>
      </c>
      <c r="B447" s="1" t="s">
        <v>163</v>
      </c>
      <c r="C447" s="86"/>
      <c r="D447" s="44"/>
      <c r="E447" s="32">
        <f t="shared" si="39"/>
        <v>7316500</v>
      </c>
      <c r="F447" s="34">
        <v>1000</v>
      </c>
      <c r="G447" s="103"/>
      <c r="H447" s="3">
        <f t="shared" si="38"/>
        <v>0</v>
      </c>
      <c r="I447" s="29"/>
      <c r="J447" s="55"/>
      <c r="K447" s="59"/>
      <c r="L447" s="59"/>
      <c r="M447" s="59"/>
      <c r="N447" s="60"/>
      <c r="O447" s="60"/>
      <c r="P447" s="60"/>
      <c r="Q447" s="60"/>
    </row>
    <row r="448" spans="1:17" s="3" customFormat="1" ht="15" customHeight="1" x14ac:dyDescent="0.25">
      <c r="A448" s="47">
        <v>45555</v>
      </c>
      <c r="B448" s="1" t="s">
        <v>159</v>
      </c>
      <c r="C448" s="86">
        <v>2418000</v>
      </c>
      <c r="D448" s="44"/>
      <c r="E448" s="32">
        <f t="shared" si="39"/>
        <v>9734500</v>
      </c>
      <c r="F448" s="34">
        <v>500</v>
      </c>
      <c r="G448" s="103"/>
      <c r="H448" s="3">
        <f t="shared" si="38"/>
        <v>0</v>
      </c>
      <c r="I448" s="29"/>
      <c r="J448" s="55"/>
      <c r="K448" s="60"/>
      <c r="L448" s="60"/>
      <c r="M448" s="60"/>
      <c r="N448" s="60"/>
      <c r="O448" s="60"/>
      <c r="P448" s="60"/>
      <c r="Q448" s="60"/>
    </row>
    <row r="449" spans="1:17" s="3" customFormat="1" ht="15" customHeight="1" x14ac:dyDescent="0.25">
      <c r="A449" s="47">
        <v>45555</v>
      </c>
      <c r="B449" s="1" t="s">
        <v>145</v>
      </c>
      <c r="C449" s="86"/>
      <c r="D449" s="44"/>
      <c r="E449" s="32">
        <f t="shared" si="39"/>
        <v>9734500</v>
      </c>
      <c r="F449" s="34">
        <v>200</v>
      </c>
      <c r="G449" s="103"/>
      <c r="H449" s="3">
        <f t="shared" si="38"/>
        <v>0</v>
      </c>
      <c r="I449" s="29"/>
      <c r="J449" s="55"/>
      <c r="K449" s="60"/>
      <c r="L449" s="60"/>
      <c r="M449" s="60"/>
      <c r="N449" s="60"/>
      <c r="O449" s="60"/>
      <c r="P449" s="60"/>
      <c r="Q449" s="60"/>
    </row>
    <row r="450" spans="1:17" s="3" customFormat="1" ht="15" customHeight="1" x14ac:dyDescent="0.25">
      <c r="A450" s="47">
        <v>45555</v>
      </c>
      <c r="B450" s="1" t="s">
        <v>143</v>
      </c>
      <c r="C450" s="86"/>
      <c r="D450" s="44">
        <f>SUM(C442:C450)</f>
        <v>8831500</v>
      </c>
      <c r="E450" s="32">
        <f>E449+C450-D450</f>
        <v>903000</v>
      </c>
      <c r="F450" s="34">
        <v>100</v>
      </c>
      <c r="G450" s="104"/>
      <c r="H450" s="3">
        <f t="shared" si="38"/>
        <v>0</v>
      </c>
      <c r="I450" s="29"/>
      <c r="J450" s="55"/>
      <c r="K450" s="60"/>
      <c r="L450" s="60"/>
      <c r="M450" s="60"/>
      <c r="N450" s="60"/>
      <c r="O450" s="60"/>
      <c r="P450" s="60"/>
      <c r="Q450" s="60"/>
    </row>
    <row r="451" spans="1:17" s="3" customFormat="1" ht="15" customHeight="1" x14ac:dyDescent="0.25">
      <c r="A451" s="47">
        <v>45555</v>
      </c>
      <c r="B451" s="1" t="s">
        <v>160</v>
      </c>
      <c r="C451" s="86"/>
      <c r="D451" s="46"/>
      <c r="E451" s="32">
        <f t="shared" ref="E451:E460" si="40">E450+C451-D451</f>
        <v>903000</v>
      </c>
      <c r="F451" s="1"/>
      <c r="G451" s="1"/>
      <c r="H451" s="1"/>
      <c r="I451" s="29"/>
      <c r="J451" s="55"/>
      <c r="K451" s="60"/>
      <c r="L451" s="60"/>
      <c r="M451" s="60"/>
      <c r="N451" s="60"/>
      <c r="O451" s="60"/>
      <c r="P451" s="60"/>
      <c r="Q451" s="60"/>
    </row>
    <row r="452" spans="1:17" s="3" customFormat="1" ht="15" customHeight="1" x14ac:dyDescent="0.25">
      <c r="A452" s="47">
        <v>45555</v>
      </c>
      <c r="B452" s="1"/>
      <c r="C452" s="86"/>
      <c r="D452" s="44"/>
      <c r="E452" s="32">
        <f t="shared" si="40"/>
        <v>903000</v>
      </c>
      <c r="G452" s="34"/>
      <c r="H452" s="34"/>
      <c r="I452" s="29"/>
      <c r="J452" s="55"/>
      <c r="K452" s="60"/>
      <c r="L452" s="60"/>
      <c r="M452" s="60"/>
      <c r="N452" s="60"/>
      <c r="O452" s="60"/>
      <c r="P452" s="60"/>
      <c r="Q452" s="60"/>
    </row>
    <row r="453" spans="1:17" s="3" customFormat="1" ht="15" customHeight="1" x14ac:dyDescent="0.25">
      <c r="A453" s="47">
        <v>45555</v>
      </c>
      <c r="B453" s="31" t="s">
        <v>139</v>
      </c>
      <c r="C453" s="86"/>
      <c r="D453" s="44">
        <v>306700</v>
      </c>
      <c r="E453" s="32">
        <f t="shared" si="40"/>
        <v>596300</v>
      </c>
      <c r="G453" s="34"/>
      <c r="H453" s="34"/>
      <c r="I453" s="29"/>
      <c r="J453" s="55"/>
      <c r="K453" s="60"/>
      <c r="L453" s="60"/>
      <c r="M453" s="60"/>
      <c r="N453" s="60"/>
      <c r="O453" s="60"/>
      <c r="P453" s="60"/>
      <c r="Q453" s="60"/>
    </row>
    <row r="454" spans="1:17" s="3" customFormat="1" ht="15" customHeight="1" x14ac:dyDescent="0.25">
      <c r="A454" s="47">
        <v>45555</v>
      </c>
      <c r="B454" s="47"/>
      <c r="C454" s="87"/>
      <c r="D454" s="44"/>
      <c r="E454" s="32">
        <f t="shared" si="40"/>
        <v>596300</v>
      </c>
      <c r="G454" s="34"/>
      <c r="H454" s="34"/>
      <c r="I454" s="29"/>
      <c r="J454" s="55"/>
      <c r="K454" s="60"/>
      <c r="L454" s="60"/>
      <c r="M454" s="60"/>
      <c r="N454" s="60"/>
      <c r="O454" s="60"/>
      <c r="P454" s="60"/>
      <c r="Q454" s="60"/>
    </row>
    <row r="455" spans="1:17" s="3" customFormat="1" ht="15" customHeight="1" x14ac:dyDescent="0.25">
      <c r="A455" s="47">
        <v>45555</v>
      </c>
      <c r="B455" s="82"/>
      <c r="C455" s="87"/>
      <c r="D455" s="44"/>
      <c r="E455" s="32">
        <f t="shared" si="40"/>
        <v>596300</v>
      </c>
      <c r="G455" s="34"/>
      <c r="H455" s="34"/>
      <c r="I455" s="29"/>
      <c r="J455" s="55"/>
      <c r="K455" s="60"/>
      <c r="L455" s="60"/>
      <c r="M455" s="60"/>
      <c r="N455" s="65"/>
      <c r="O455" s="60"/>
      <c r="P455" s="60"/>
      <c r="Q455" s="60"/>
    </row>
    <row r="456" spans="1:17" s="3" customFormat="1" ht="15" customHeight="1" x14ac:dyDescent="0.25">
      <c r="A456" s="47">
        <v>45555</v>
      </c>
      <c r="C456" s="87"/>
      <c r="D456" s="44"/>
      <c r="E456" s="32">
        <f t="shared" si="40"/>
        <v>596300</v>
      </c>
      <c r="G456" s="34"/>
      <c r="H456" s="34"/>
      <c r="I456" s="29"/>
      <c r="J456" s="55"/>
      <c r="K456" s="60"/>
      <c r="L456" s="60"/>
      <c r="M456" s="60"/>
      <c r="N456" s="60"/>
      <c r="O456" s="60"/>
      <c r="P456" s="60"/>
      <c r="Q456" s="60"/>
    </row>
    <row r="457" spans="1:17" s="3" customFormat="1" ht="15" customHeight="1" x14ac:dyDescent="0.25">
      <c r="A457" s="47">
        <v>45555</v>
      </c>
      <c r="B457" s="1"/>
      <c r="C457" s="88"/>
      <c r="D457" s="36"/>
      <c r="E457" s="32">
        <f t="shared" si="40"/>
        <v>596300</v>
      </c>
      <c r="F457" s="1"/>
      <c r="G457" s="34"/>
      <c r="I457" s="29"/>
      <c r="J457" s="55"/>
      <c r="K457" s="60"/>
      <c r="L457" s="60"/>
      <c r="M457" s="60"/>
      <c r="N457" s="60"/>
      <c r="O457" s="60"/>
      <c r="P457" s="60"/>
      <c r="Q457" s="60"/>
    </row>
    <row r="458" spans="1:17" s="3" customFormat="1" ht="15" customHeight="1" x14ac:dyDescent="0.25">
      <c r="A458" s="47">
        <v>45555</v>
      </c>
      <c r="B458" s="1" t="s">
        <v>143</v>
      </c>
      <c r="C458" s="89"/>
      <c r="D458" s="44"/>
      <c r="E458" s="32">
        <f t="shared" si="40"/>
        <v>596300</v>
      </c>
      <c r="F458" s="1"/>
      <c r="G458" s="34"/>
      <c r="I458" s="29"/>
      <c r="J458" s="55"/>
      <c r="K458" s="60"/>
      <c r="L458" s="60"/>
      <c r="M458" s="60"/>
      <c r="N458" s="60"/>
      <c r="O458" s="60"/>
      <c r="P458" s="60"/>
      <c r="Q458" s="60"/>
    </row>
    <row r="459" spans="1:17" s="3" customFormat="1" ht="15" customHeight="1" x14ac:dyDescent="0.25">
      <c r="A459" s="47">
        <v>45555</v>
      </c>
      <c r="B459" s="47"/>
      <c r="C459" s="90"/>
      <c r="D459" s="44"/>
      <c r="E459" s="32">
        <f t="shared" si="40"/>
        <v>596300</v>
      </c>
      <c r="F459" s="43"/>
      <c r="G459" s="34"/>
      <c r="I459" s="29"/>
      <c r="J459" s="55"/>
      <c r="K459" s="60"/>
      <c r="L459" s="60"/>
      <c r="M459" s="60"/>
      <c r="N459" s="60"/>
      <c r="O459" s="60"/>
      <c r="P459" s="60"/>
      <c r="Q459" s="60"/>
    </row>
    <row r="460" spans="1:17" s="3" customFormat="1" ht="15" customHeight="1" x14ac:dyDescent="0.25">
      <c r="A460" s="47">
        <v>45555</v>
      </c>
      <c r="B460" s="45" t="s">
        <v>136</v>
      </c>
      <c r="C460" s="86"/>
      <c r="D460" s="44">
        <v>300000</v>
      </c>
      <c r="E460" s="32">
        <f t="shared" si="40"/>
        <v>296300</v>
      </c>
      <c r="F460" s="3">
        <f>SUM(H440:H456)</f>
        <v>300000</v>
      </c>
      <c r="G460" s="49"/>
      <c r="I460" s="29"/>
      <c r="J460" s="55"/>
      <c r="K460" s="60"/>
      <c r="L460" s="60"/>
      <c r="M460" s="60"/>
      <c r="N460" s="60"/>
      <c r="O460" s="60"/>
      <c r="P460" s="60"/>
      <c r="Q460" s="60"/>
    </row>
    <row r="461" spans="1:17" s="3" customFormat="1" ht="15" customHeight="1" x14ac:dyDescent="0.25">
      <c r="A461" s="47">
        <v>45555</v>
      </c>
      <c r="B461" s="4" t="s">
        <v>161</v>
      </c>
      <c r="C461" s="86">
        <f>SUM(C441:C460)</f>
        <v>9484500</v>
      </c>
      <c r="D461" s="33">
        <f>SUM(D442:D460)</f>
        <v>9438200</v>
      </c>
      <c r="E461" s="32"/>
      <c r="F461" s="25">
        <f>F460-E460</f>
        <v>3700</v>
      </c>
      <c r="G461" s="34"/>
      <c r="I461" s="29"/>
      <c r="J461" s="55"/>
      <c r="K461" s="60"/>
      <c r="L461" s="60"/>
      <c r="M461" s="60"/>
      <c r="N461" s="60"/>
      <c r="O461" s="60"/>
      <c r="P461" s="60"/>
      <c r="Q461" s="60"/>
    </row>
    <row r="462" spans="1:17" s="3" customFormat="1" ht="15" customHeight="1" x14ac:dyDescent="0.25">
      <c r="B462" s="45"/>
      <c r="C462" s="86"/>
      <c r="D462" s="33"/>
      <c r="E462" s="32"/>
      <c r="F462" s="25"/>
      <c r="G462" s="34"/>
      <c r="I462" s="29"/>
      <c r="J462" s="55"/>
      <c r="K462" s="60"/>
      <c r="L462" s="60"/>
      <c r="M462" s="60"/>
      <c r="N462" s="60"/>
      <c r="O462" s="60"/>
      <c r="P462" s="60"/>
      <c r="Q462" s="60"/>
    </row>
    <row r="463" spans="1:17" s="3" customFormat="1" ht="15" customHeight="1" x14ac:dyDescent="0.25">
      <c r="A463" s="47">
        <v>45556</v>
      </c>
      <c r="B463" s="1" t="s">
        <v>140</v>
      </c>
      <c r="C463" s="65"/>
      <c r="D463" s="8"/>
      <c r="E463" s="8">
        <v>300000</v>
      </c>
      <c r="F463" s="49">
        <v>100000</v>
      </c>
      <c r="G463" s="103">
        <f>2-2</f>
        <v>0</v>
      </c>
      <c r="H463" s="3">
        <f>G463*F463</f>
        <v>0</v>
      </c>
      <c r="I463" s="29"/>
      <c r="J463" s="55"/>
      <c r="K463" s="61"/>
      <c r="L463" s="61"/>
      <c r="M463" s="61"/>
      <c r="N463" s="60"/>
      <c r="O463" s="60"/>
      <c r="P463" s="60"/>
      <c r="Q463" s="60"/>
    </row>
    <row r="464" spans="1:17" s="3" customFormat="1" ht="15" customHeight="1" x14ac:dyDescent="0.25">
      <c r="A464" s="47">
        <v>45556</v>
      </c>
      <c r="B464" s="31" t="s">
        <v>138</v>
      </c>
      <c r="C464" s="73">
        <v>681000</v>
      </c>
      <c r="D464" s="44"/>
      <c r="E464" s="32">
        <f>E463+C464-D464</f>
        <v>981000</v>
      </c>
      <c r="F464" s="3">
        <v>75000</v>
      </c>
      <c r="G464" s="103"/>
      <c r="H464" s="3">
        <f t="shared" ref="H464:H473" si="41">G464*F464</f>
        <v>0</v>
      </c>
      <c r="I464" s="29"/>
      <c r="J464" s="55"/>
      <c r="K464" s="60"/>
      <c r="L464" s="60"/>
      <c r="M464" s="59"/>
      <c r="N464" s="60"/>
      <c r="O464" s="60"/>
      <c r="P464" s="60"/>
      <c r="Q464" s="60"/>
    </row>
    <row r="465" spans="1:17" s="3" customFormat="1" ht="15" customHeight="1" x14ac:dyDescent="0.25">
      <c r="A465" s="47">
        <v>45556</v>
      </c>
      <c r="B465" s="1" t="s">
        <v>155</v>
      </c>
      <c r="C465" s="73">
        <v>315000</v>
      </c>
      <c r="D465" s="44"/>
      <c r="E465" s="32">
        <f>E464+C465-D465</f>
        <v>1296000</v>
      </c>
      <c r="F465" s="34">
        <v>50000</v>
      </c>
      <c r="G465" s="103">
        <f>4-2</f>
        <v>2</v>
      </c>
      <c r="H465" s="3">
        <f t="shared" si="41"/>
        <v>100000</v>
      </c>
      <c r="I465" s="29"/>
      <c r="J465" s="55"/>
      <c r="K465" s="60"/>
      <c r="L465" s="60"/>
      <c r="M465" s="59"/>
      <c r="N465" s="60"/>
      <c r="O465" s="60"/>
      <c r="P465" s="60"/>
      <c r="Q465" s="60"/>
    </row>
    <row r="466" spans="1:17" s="3" customFormat="1" ht="15" customHeight="1" x14ac:dyDescent="0.25">
      <c r="A466" s="47">
        <v>45556</v>
      </c>
      <c r="B466" s="1" t="s">
        <v>156</v>
      </c>
      <c r="C466" s="73">
        <v>930000</v>
      </c>
      <c r="D466" s="44"/>
      <c r="E466" s="32">
        <f t="shared" ref="E466:E472" si="42">E465+C466-D466</f>
        <v>2226000</v>
      </c>
      <c r="F466" s="34">
        <v>20000</v>
      </c>
      <c r="G466" s="103">
        <v>5</v>
      </c>
      <c r="H466" s="3">
        <f t="shared" si="41"/>
        <v>100000</v>
      </c>
      <c r="I466" s="29"/>
      <c r="J466" s="55"/>
      <c r="K466" s="60"/>
      <c r="L466" s="60"/>
      <c r="M466" s="59"/>
      <c r="N466" s="60"/>
      <c r="O466" s="60"/>
      <c r="P466" s="60"/>
      <c r="Q466" s="60"/>
    </row>
    <row r="467" spans="1:17" s="3" customFormat="1" ht="15" customHeight="1" x14ac:dyDescent="0.25">
      <c r="A467" s="47">
        <v>45556</v>
      </c>
      <c r="B467" s="1" t="s">
        <v>133</v>
      </c>
      <c r="C467" s="73">
        <v>1933500</v>
      </c>
      <c r="D467" s="44"/>
      <c r="E467" s="32">
        <f t="shared" si="42"/>
        <v>4159500</v>
      </c>
      <c r="F467" s="34">
        <v>10000</v>
      </c>
      <c r="G467" s="103">
        <v>4</v>
      </c>
      <c r="H467" s="3">
        <f t="shared" si="41"/>
        <v>40000</v>
      </c>
      <c r="I467" s="29"/>
      <c r="J467" s="55"/>
      <c r="K467" s="59"/>
      <c r="L467" s="59"/>
      <c r="M467" s="59"/>
      <c r="N467" s="60"/>
      <c r="O467" s="60"/>
      <c r="P467" s="60"/>
      <c r="Q467" s="60"/>
    </row>
    <row r="468" spans="1:17" s="3" customFormat="1" ht="15" customHeight="1" x14ac:dyDescent="0.25">
      <c r="A468" s="47">
        <v>45556</v>
      </c>
      <c r="B468" s="1" t="s">
        <v>150</v>
      </c>
      <c r="C468" s="73"/>
      <c r="D468" s="44"/>
      <c r="E468" s="32">
        <f t="shared" si="42"/>
        <v>4159500</v>
      </c>
      <c r="F468" s="34">
        <v>5000</v>
      </c>
      <c r="G468" s="103">
        <f>10-1</f>
        <v>9</v>
      </c>
      <c r="H468" s="3">
        <f t="shared" si="41"/>
        <v>45000</v>
      </c>
      <c r="I468" s="29"/>
      <c r="J468" s="55"/>
      <c r="K468" s="60"/>
      <c r="L468" s="60"/>
      <c r="M468" s="60"/>
      <c r="N468" s="60"/>
      <c r="O468" s="60"/>
      <c r="P468" s="60"/>
      <c r="Q468" s="60"/>
    </row>
    <row r="469" spans="1:17" s="3" customFormat="1" ht="15" customHeight="1" x14ac:dyDescent="0.25">
      <c r="A469" s="47">
        <v>45556</v>
      </c>
      <c r="B469" s="1" t="s">
        <v>146</v>
      </c>
      <c r="C469" s="73">
        <v>6486000</v>
      </c>
      <c r="D469" s="44"/>
      <c r="E469" s="32">
        <f t="shared" si="42"/>
        <v>10645500</v>
      </c>
      <c r="F469" s="34">
        <v>2000</v>
      </c>
      <c r="G469" s="103">
        <v>7</v>
      </c>
      <c r="H469" s="3">
        <f t="shared" si="41"/>
        <v>14000</v>
      </c>
      <c r="I469" s="29"/>
      <c r="J469" s="55"/>
      <c r="K469" s="60"/>
      <c r="L469" s="60"/>
      <c r="M469" s="60"/>
      <c r="N469" s="60"/>
      <c r="O469" s="60"/>
      <c r="P469" s="60"/>
      <c r="Q469" s="60"/>
    </row>
    <row r="470" spans="1:17" s="3" customFormat="1" ht="15" customHeight="1" x14ac:dyDescent="0.25">
      <c r="A470" s="47">
        <v>45556</v>
      </c>
      <c r="B470" s="1" t="s">
        <v>163</v>
      </c>
      <c r="C470" s="86"/>
      <c r="D470" s="44"/>
      <c r="E470" s="32">
        <f t="shared" si="42"/>
        <v>10645500</v>
      </c>
      <c r="F470" s="34">
        <v>1000</v>
      </c>
      <c r="G470" s="103">
        <f>1-1</f>
        <v>0</v>
      </c>
      <c r="H470" s="3">
        <f t="shared" si="41"/>
        <v>0</v>
      </c>
      <c r="I470" s="29"/>
      <c r="J470" s="55"/>
      <c r="K470" s="60"/>
      <c r="L470" s="60"/>
      <c r="M470" s="60"/>
      <c r="N470" s="60"/>
      <c r="O470" s="60"/>
      <c r="P470" s="60"/>
      <c r="Q470" s="60"/>
    </row>
    <row r="471" spans="1:17" s="3" customFormat="1" ht="15" customHeight="1" x14ac:dyDescent="0.25">
      <c r="A471" s="47">
        <v>45556</v>
      </c>
      <c r="B471" s="1" t="s">
        <v>159</v>
      </c>
      <c r="C471" s="86">
        <v>1994000</v>
      </c>
      <c r="D471" s="44"/>
      <c r="E471" s="32">
        <f t="shared" si="42"/>
        <v>12639500</v>
      </c>
      <c r="F471" s="34">
        <v>500</v>
      </c>
      <c r="G471" s="103">
        <v>2</v>
      </c>
      <c r="H471" s="3">
        <f t="shared" si="41"/>
        <v>1000</v>
      </c>
      <c r="I471" s="29"/>
      <c r="J471" s="55"/>
      <c r="K471" s="60"/>
      <c r="L471" s="60"/>
      <c r="M471" s="60"/>
      <c r="N471" s="60"/>
      <c r="O471" s="60"/>
      <c r="P471" s="60"/>
      <c r="Q471" s="60"/>
    </row>
    <row r="472" spans="1:17" s="3" customFormat="1" ht="15" customHeight="1" x14ac:dyDescent="0.25">
      <c r="A472" s="47">
        <v>45556</v>
      </c>
      <c r="B472" s="1" t="s">
        <v>145</v>
      </c>
      <c r="C472" s="86"/>
      <c r="D472" s="44"/>
      <c r="E472" s="32">
        <f t="shared" si="42"/>
        <v>12639500</v>
      </c>
      <c r="F472" s="34">
        <v>200</v>
      </c>
      <c r="G472" s="103"/>
      <c r="H472" s="3">
        <f t="shared" si="41"/>
        <v>0</v>
      </c>
      <c r="I472" s="29"/>
      <c r="J472" s="55"/>
      <c r="K472" s="60"/>
      <c r="L472" s="60"/>
      <c r="M472" s="60"/>
      <c r="N472" s="60"/>
      <c r="O472" s="60"/>
      <c r="P472" s="60"/>
      <c r="Q472" s="60"/>
    </row>
    <row r="473" spans="1:17" s="3" customFormat="1" ht="15" customHeight="1" x14ac:dyDescent="0.25">
      <c r="A473" s="47">
        <v>45556</v>
      </c>
      <c r="B473" s="1" t="s">
        <v>143</v>
      </c>
      <c r="C473" s="86"/>
      <c r="D473" s="44">
        <f>SUM(C465:C473)</f>
        <v>11658500</v>
      </c>
      <c r="E473" s="32">
        <f>E472+C473-D473</f>
        <v>981000</v>
      </c>
      <c r="F473" s="34">
        <v>100</v>
      </c>
      <c r="G473" s="104"/>
      <c r="H473" s="3">
        <f t="shared" si="41"/>
        <v>0</v>
      </c>
      <c r="I473" s="29"/>
      <c r="J473" s="55"/>
      <c r="K473" s="60"/>
      <c r="L473" s="60"/>
      <c r="M473" s="60"/>
      <c r="N473" s="60"/>
      <c r="O473" s="60"/>
      <c r="P473" s="60"/>
      <c r="Q473" s="60"/>
    </row>
    <row r="474" spans="1:17" s="3" customFormat="1" ht="15" customHeight="1" x14ac:dyDescent="0.25">
      <c r="A474" s="47">
        <v>45556</v>
      </c>
      <c r="B474" s="1" t="s">
        <v>160</v>
      </c>
      <c r="C474" s="86">
        <v>-27000</v>
      </c>
      <c r="D474" s="46"/>
      <c r="E474" s="32">
        <f t="shared" ref="E474:E483" si="43">E473+C474-D474</f>
        <v>954000</v>
      </c>
      <c r="F474" s="1"/>
      <c r="G474" s="1"/>
      <c r="H474" s="1"/>
      <c r="I474" s="29"/>
      <c r="J474" s="55"/>
      <c r="K474" s="60"/>
      <c r="L474" s="60"/>
      <c r="M474" s="60"/>
      <c r="N474" s="60"/>
      <c r="O474" s="60"/>
      <c r="P474" s="60"/>
      <c r="Q474" s="60"/>
    </row>
    <row r="475" spans="1:17" s="3" customFormat="1" ht="15" customHeight="1" x14ac:dyDescent="0.25">
      <c r="A475" s="47">
        <v>45556</v>
      </c>
      <c r="B475" s="1"/>
      <c r="C475" s="86"/>
      <c r="D475" s="44"/>
      <c r="E475" s="32">
        <f t="shared" si="43"/>
        <v>954000</v>
      </c>
      <c r="G475" s="34"/>
      <c r="H475" s="34"/>
      <c r="I475" s="29"/>
      <c r="J475" s="55"/>
      <c r="K475" s="60"/>
      <c r="L475" s="60"/>
      <c r="M475" s="60"/>
      <c r="N475" s="60"/>
      <c r="O475" s="60"/>
      <c r="P475" s="60"/>
      <c r="Q475" s="60"/>
    </row>
    <row r="476" spans="1:17" s="3" customFormat="1" ht="15" customHeight="1" x14ac:dyDescent="0.25">
      <c r="A476" s="47">
        <v>45556</v>
      </c>
      <c r="B476" s="31" t="s">
        <v>139</v>
      </c>
      <c r="C476" s="86"/>
      <c r="D476" s="44">
        <f>375000-27000</f>
        <v>348000</v>
      </c>
      <c r="E476" s="32">
        <f t="shared" si="43"/>
        <v>606000</v>
      </c>
      <c r="G476" s="34"/>
      <c r="H476" s="34"/>
      <c r="I476" s="29"/>
      <c r="J476" s="55"/>
      <c r="K476" s="60"/>
      <c r="L476" s="60"/>
      <c r="M476" s="61"/>
      <c r="N476" s="60"/>
      <c r="O476" s="60"/>
      <c r="P476" s="60"/>
      <c r="Q476" s="60"/>
    </row>
    <row r="477" spans="1:17" s="3" customFormat="1" ht="15" customHeight="1" x14ac:dyDescent="0.25">
      <c r="A477" s="47">
        <v>45556</v>
      </c>
      <c r="B477" s="47"/>
      <c r="C477" s="87"/>
      <c r="D477" s="44"/>
      <c r="E477" s="32">
        <f t="shared" si="43"/>
        <v>606000</v>
      </c>
      <c r="G477" s="34"/>
      <c r="H477" s="34"/>
      <c r="I477" s="29"/>
      <c r="J477" s="55"/>
      <c r="K477" s="60"/>
      <c r="L477" s="60"/>
      <c r="M477" s="59"/>
      <c r="N477" s="60"/>
      <c r="O477" s="60"/>
      <c r="P477" s="60"/>
      <c r="Q477" s="60"/>
    </row>
    <row r="478" spans="1:17" s="3" customFormat="1" ht="15" customHeight="1" x14ac:dyDescent="0.25">
      <c r="A478" s="47">
        <v>45556</v>
      </c>
      <c r="B478" s="82"/>
      <c r="C478" s="87"/>
      <c r="D478" s="44"/>
      <c r="E478" s="32">
        <f t="shared" si="43"/>
        <v>606000</v>
      </c>
      <c r="G478" s="34"/>
      <c r="H478" s="34"/>
      <c r="I478" s="29"/>
      <c r="J478" s="55"/>
      <c r="K478" s="60"/>
      <c r="L478" s="60"/>
      <c r="M478" s="59"/>
      <c r="N478" s="60"/>
      <c r="O478" s="60"/>
      <c r="P478" s="60"/>
      <c r="Q478" s="60"/>
    </row>
    <row r="479" spans="1:17" s="3" customFormat="1" ht="15" customHeight="1" x14ac:dyDescent="0.25">
      <c r="A479" s="47">
        <v>45556</v>
      </c>
      <c r="C479" s="87"/>
      <c r="D479" s="44"/>
      <c r="E479" s="32">
        <f t="shared" si="43"/>
        <v>606000</v>
      </c>
      <c r="G479" s="34"/>
      <c r="H479" s="34"/>
      <c r="I479" s="29"/>
      <c r="J479" s="55"/>
      <c r="K479" s="59"/>
      <c r="L479" s="60"/>
      <c r="M479" s="59"/>
      <c r="N479" s="60"/>
      <c r="O479" s="60"/>
      <c r="P479" s="60"/>
      <c r="Q479" s="60"/>
    </row>
    <row r="480" spans="1:17" s="3" customFormat="1" ht="15" customHeight="1" x14ac:dyDescent="0.25">
      <c r="A480" s="47">
        <v>45556</v>
      </c>
      <c r="B480" s="1"/>
      <c r="C480" s="88"/>
      <c r="D480" s="36"/>
      <c r="E480" s="32">
        <f t="shared" si="43"/>
        <v>606000</v>
      </c>
      <c r="F480" s="1"/>
      <c r="G480" s="34"/>
      <c r="I480" s="29"/>
      <c r="J480" s="55"/>
      <c r="K480" s="59"/>
      <c r="L480" s="59"/>
      <c r="M480" s="59"/>
      <c r="N480" s="60"/>
      <c r="O480" s="60"/>
      <c r="P480" s="60"/>
      <c r="Q480" s="60"/>
    </row>
    <row r="481" spans="1:17" s="3" customFormat="1" ht="15" customHeight="1" x14ac:dyDescent="0.25">
      <c r="A481" s="47">
        <v>45556</v>
      </c>
      <c r="B481" s="1" t="s">
        <v>143</v>
      </c>
      <c r="C481" s="89"/>
      <c r="D481" s="44"/>
      <c r="E481" s="32">
        <f t="shared" si="43"/>
        <v>606000</v>
      </c>
      <c r="F481" s="1"/>
      <c r="G481" s="34"/>
      <c r="I481" s="29"/>
      <c r="J481" s="55"/>
      <c r="K481" s="60"/>
      <c r="L481" s="60"/>
      <c r="M481" s="60"/>
      <c r="N481" s="60"/>
      <c r="O481" s="60"/>
      <c r="P481" s="60"/>
      <c r="Q481" s="60"/>
    </row>
    <row r="482" spans="1:17" s="3" customFormat="1" ht="15" customHeight="1" x14ac:dyDescent="0.25">
      <c r="A482" s="47">
        <v>45556</v>
      </c>
      <c r="B482" s="47"/>
      <c r="C482" s="90"/>
      <c r="D482" s="44"/>
      <c r="E482" s="32">
        <f t="shared" si="43"/>
        <v>606000</v>
      </c>
      <c r="F482" s="43"/>
      <c r="G482" s="34"/>
      <c r="I482" s="29"/>
      <c r="J482" s="55"/>
      <c r="K482" s="60"/>
      <c r="L482" s="60"/>
      <c r="M482" s="60"/>
      <c r="N482" s="60"/>
      <c r="O482" s="60"/>
      <c r="P482" s="60"/>
      <c r="Q482" s="60"/>
    </row>
    <row r="483" spans="1:17" s="3" customFormat="1" ht="15" customHeight="1" x14ac:dyDescent="0.25">
      <c r="A483" s="47">
        <v>45556</v>
      </c>
      <c r="B483" s="45" t="s">
        <v>136</v>
      </c>
      <c r="C483" s="86"/>
      <c r="D483" s="44">
        <v>306000</v>
      </c>
      <c r="E483" s="32">
        <f t="shared" si="43"/>
        <v>300000</v>
      </c>
      <c r="F483" s="3">
        <f>SUM(H463:H479)</f>
        <v>300000</v>
      </c>
      <c r="G483" s="49"/>
      <c r="I483" s="29"/>
      <c r="J483" s="55"/>
      <c r="K483" s="60"/>
      <c r="L483" s="60"/>
      <c r="M483" s="60"/>
      <c r="N483" s="60"/>
      <c r="O483" s="60"/>
      <c r="P483" s="60"/>
      <c r="Q483" s="60"/>
    </row>
    <row r="484" spans="1:17" s="3" customFormat="1" ht="15" customHeight="1" x14ac:dyDescent="0.25">
      <c r="A484" s="47">
        <v>45556</v>
      </c>
      <c r="B484" s="4" t="s">
        <v>161</v>
      </c>
      <c r="C484" s="86">
        <f>SUM(C464:C483)</f>
        <v>12312500</v>
      </c>
      <c r="D484" s="33">
        <f>SUM(D465:D483)</f>
        <v>12312500</v>
      </c>
      <c r="E484" s="32"/>
      <c r="F484" s="25">
        <f>F483-E483</f>
        <v>0</v>
      </c>
      <c r="G484" s="34"/>
      <c r="I484" s="29"/>
      <c r="J484" s="55"/>
      <c r="K484" s="60"/>
      <c r="L484" s="60"/>
      <c r="M484" s="60"/>
      <c r="N484" s="60"/>
      <c r="O484" s="60"/>
      <c r="P484" s="60"/>
      <c r="Q484" s="60"/>
    </row>
    <row r="485" spans="1:17" s="3" customFormat="1" ht="15" customHeight="1" x14ac:dyDescent="0.25">
      <c r="B485" s="45"/>
      <c r="C485" s="86"/>
      <c r="D485" s="44"/>
      <c r="E485" s="32"/>
      <c r="G485" s="49"/>
      <c r="I485" s="29"/>
      <c r="J485" s="55"/>
      <c r="K485" s="60"/>
      <c r="L485" s="60"/>
      <c r="M485" s="60"/>
      <c r="N485" s="60"/>
      <c r="O485" s="60"/>
      <c r="P485" s="60"/>
      <c r="Q485" s="60"/>
    </row>
    <row r="486" spans="1:17" s="3" customFormat="1" ht="15" customHeight="1" x14ac:dyDescent="0.25">
      <c r="A486" s="47">
        <v>45557</v>
      </c>
      <c r="B486" s="1" t="s">
        <v>140</v>
      </c>
      <c r="C486" s="65"/>
      <c r="D486" s="8"/>
      <c r="E486" s="8">
        <v>300000</v>
      </c>
      <c r="F486" s="49">
        <v>100000</v>
      </c>
      <c r="G486" s="103">
        <f>10-8</f>
        <v>2</v>
      </c>
      <c r="H486" s="3">
        <f>G486*F486</f>
        <v>200000</v>
      </c>
      <c r="I486" s="29"/>
      <c r="J486" s="55"/>
      <c r="K486" s="60"/>
      <c r="L486" s="60"/>
      <c r="M486" s="60"/>
      <c r="N486" s="60"/>
      <c r="O486" s="60"/>
      <c r="P486" s="60"/>
      <c r="Q486" s="60"/>
    </row>
    <row r="487" spans="1:17" s="3" customFormat="1" ht="15" customHeight="1" x14ac:dyDescent="0.25">
      <c r="A487" s="47">
        <v>45557</v>
      </c>
      <c r="B487" s="31" t="s">
        <v>138</v>
      </c>
      <c r="C487" s="73">
        <f>1077000-14000</f>
        <v>1063000</v>
      </c>
      <c r="D487" s="44"/>
      <c r="E487" s="32">
        <f>E486+C487-D487</f>
        <v>1363000</v>
      </c>
      <c r="F487" s="3">
        <v>75000</v>
      </c>
      <c r="G487" s="103"/>
      <c r="H487" s="3">
        <f t="shared" ref="H487:H496" si="44">G487*F487</f>
        <v>0</v>
      </c>
      <c r="I487" s="29"/>
      <c r="J487" s="55"/>
      <c r="K487" s="60"/>
      <c r="L487" s="60"/>
      <c r="M487" s="60"/>
      <c r="N487" s="60"/>
      <c r="O487" s="60"/>
      <c r="P487" s="60"/>
      <c r="Q487" s="60"/>
    </row>
    <row r="488" spans="1:17" s="3" customFormat="1" ht="15" customHeight="1" x14ac:dyDescent="0.25">
      <c r="A488" s="47">
        <v>45557</v>
      </c>
      <c r="B488" s="1" t="s">
        <v>155</v>
      </c>
      <c r="C488" s="73">
        <v>697000</v>
      </c>
      <c r="D488" s="44"/>
      <c r="E488" s="32">
        <f>E487+C488-D488</f>
        <v>2060000</v>
      </c>
      <c r="F488" s="34">
        <v>50000</v>
      </c>
      <c r="G488" s="103"/>
      <c r="H488" s="3">
        <f t="shared" si="44"/>
        <v>0</v>
      </c>
      <c r="I488" s="29"/>
      <c r="J488" s="55"/>
      <c r="K488" s="60"/>
      <c r="L488" s="60"/>
      <c r="M488" s="60"/>
      <c r="N488" s="60"/>
      <c r="O488" s="60"/>
      <c r="P488" s="60"/>
      <c r="Q488" s="60"/>
    </row>
    <row r="489" spans="1:17" s="3" customFormat="1" ht="15" customHeight="1" x14ac:dyDescent="0.25">
      <c r="A489" s="47">
        <v>45557</v>
      </c>
      <c r="B489" s="1" t="s">
        <v>156</v>
      </c>
      <c r="C489" s="73">
        <v>437000</v>
      </c>
      <c r="D489" s="44"/>
      <c r="E489" s="32">
        <f t="shared" ref="E489:E495" si="45">E488+C489-D489</f>
        <v>2497000</v>
      </c>
      <c r="F489" s="34">
        <v>20000</v>
      </c>
      <c r="G489" s="103"/>
      <c r="H489" s="3">
        <f t="shared" si="44"/>
        <v>0</v>
      </c>
      <c r="I489" s="29"/>
      <c r="J489" s="55"/>
      <c r="K489" s="60"/>
      <c r="L489" s="60"/>
      <c r="M489" s="60"/>
      <c r="N489" s="60"/>
      <c r="O489" s="60"/>
      <c r="P489" s="60"/>
      <c r="Q489" s="60"/>
    </row>
    <row r="490" spans="1:17" s="3" customFormat="1" ht="15" customHeight="1" x14ac:dyDescent="0.25">
      <c r="A490" s="47">
        <v>45557</v>
      </c>
      <c r="B490" s="1" t="s">
        <v>133</v>
      </c>
      <c r="C490" s="73">
        <v>1447000</v>
      </c>
      <c r="D490" s="44"/>
      <c r="E490" s="32">
        <f t="shared" si="45"/>
        <v>3944000</v>
      </c>
      <c r="F490" s="34">
        <v>10000</v>
      </c>
      <c r="G490" s="103">
        <v>1</v>
      </c>
      <c r="H490" s="3">
        <f t="shared" si="44"/>
        <v>10000</v>
      </c>
      <c r="I490" s="29"/>
      <c r="J490" s="55"/>
      <c r="K490" s="60"/>
      <c r="L490" s="60"/>
      <c r="M490" s="60"/>
      <c r="N490" s="60"/>
      <c r="O490" s="60"/>
      <c r="P490" s="60"/>
      <c r="Q490" s="60"/>
    </row>
    <row r="491" spans="1:17" s="3" customFormat="1" ht="15" customHeight="1" x14ac:dyDescent="0.25">
      <c r="A491" s="47">
        <v>45557</v>
      </c>
      <c r="B491" s="1" t="s">
        <v>150</v>
      </c>
      <c r="C491" s="73"/>
      <c r="D491" s="44"/>
      <c r="E491" s="32">
        <f t="shared" si="45"/>
        <v>3944000</v>
      </c>
      <c r="F491" s="34">
        <v>5000</v>
      </c>
      <c r="G491" s="103">
        <v>4</v>
      </c>
      <c r="H491" s="3">
        <f t="shared" si="44"/>
        <v>20000</v>
      </c>
      <c r="I491" s="29"/>
      <c r="J491" s="55"/>
      <c r="K491" s="60"/>
      <c r="L491" s="60"/>
      <c r="M491" s="60"/>
      <c r="N491" s="60"/>
      <c r="O491" s="60"/>
      <c r="P491" s="60"/>
      <c r="Q491" s="60"/>
    </row>
    <row r="492" spans="1:17" s="3" customFormat="1" ht="15" customHeight="1" x14ac:dyDescent="0.25">
      <c r="A492" s="47">
        <v>45557</v>
      </c>
      <c r="B492" s="1" t="s">
        <v>146</v>
      </c>
      <c r="C492" s="73">
        <f>5896000+352000</f>
        <v>6248000</v>
      </c>
      <c r="D492" s="44"/>
      <c r="E492" s="32">
        <f t="shared" si="45"/>
        <v>10192000</v>
      </c>
      <c r="F492" s="34">
        <v>2000</v>
      </c>
      <c r="G492" s="103">
        <v>9</v>
      </c>
      <c r="H492" s="3">
        <f t="shared" si="44"/>
        <v>18000</v>
      </c>
      <c r="I492" s="29"/>
      <c r="J492" s="55"/>
      <c r="K492" s="60"/>
      <c r="L492" s="60"/>
      <c r="M492" s="60"/>
      <c r="N492" s="60"/>
      <c r="O492" s="60"/>
      <c r="P492" s="60"/>
      <c r="Q492" s="60"/>
    </row>
    <row r="493" spans="1:17" s="3" customFormat="1" ht="15" customHeight="1" x14ac:dyDescent="0.25">
      <c r="A493" s="47">
        <v>45557</v>
      </c>
      <c r="B493" s="1" t="s">
        <v>163</v>
      </c>
      <c r="C493" s="86"/>
      <c r="D493" s="44"/>
      <c r="E493" s="32">
        <f t="shared" si="45"/>
        <v>10192000</v>
      </c>
      <c r="F493" s="34">
        <v>1000</v>
      </c>
      <c r="G493" s="103">
        <v>1</v>
      </c>
      <c r="H493" s="3">
        <f t="shared" si="44"/>
        <v>1000</v>
      </c>
      <c r="I493" s="29"/>
      <c r="J493" s="55"/>
      <c r="K493" s="60"/>
      <c r="L493" s="60"/>
      <c r="M493" s="60"/>
      <c r="N493" s="60"/>
      <c r="O493" s="60"/>
      <c r="P493" s="60"/>
      <c r="Q493" s="60"/>
    </row>
    <row r="494" spans="1:17" s="3" customFormat="1" ht="15" customHeight="1" x14ac:dyDescent="0.25">
      <c r="A494" s="47">
        <v>45557</v>
      </c>
      <c r="B494" s="1" t="s">
        <v>159</v>
      </c>
      <c r="C494" s="86">
        <f>2919000+14000</f>
        <v>2933000</v>
      </c>
      <c r="D494" s="44"/>
      <c r="E494" s="32">
        <f t="shared" si="45"/>
        <v>13125000</v>
      </c>
      <c r="F494" s="34">
        <v>500</v>
      </c>
      <c r="G494" s="103">
        <v>2</v>
      </c>
      <c r="H494" s="3">
        <f t="shared" si="44"/>
        <v>1000</v>
      </c>
      <c r="I494" s="29"/>
      <c r="J494" s="55"/>
      <c r="K494" s="60"/>
      <c r="L494" s="60"/>
      <c r="M494" s="60"/>
      <c r="N494" s="60"/>
      <c r="O494" s="60"/>
      <c r="P494" s="60"/>
      <c r="Q494" s="60"/>
    </row>
    <row r="495" spans="1:17" s="3" customFormat="1" ht="15" customHeight="1" x14ac:dyDescent="0.25">
      <c r="A495" s="47">
        <v>45557</v>
      </c>
      <c r="B495" s="1" t="s">
        <v>145</v>
      </c>
      <c r="C495" s="86">
        <v>213000</v>
      </c>
      <c r="D495" s="44"/>
      <c r="E495" s="32">
        <f t="shared" si="45"/>
        <v>13338000</v>
      </c>
      <c r="F495" s="34">
        <v>200</v>
      </c>
      <c r="G495" s="103"/>
      <c r="H495" s="3">
        <f t="shared" si="44"/>
        <v>0</v>
      </c>
      <c r="I495" s="29"/>
      <c r="J495" s="55"/>
      <c r="K495" s="60"/>
      <c r="L495" s="60"/>
      <c r="M495" s="60"/>
      <c r="N495" s="60"/>
      <c r="O495" s="60"/>
      <c r="P495" s="60"/>
      <c r="Q495" s="60"/>
    </row>
    <row r="496" spans="1:17" s="3" customFormat="1" ht="15" customHeight="1" x14ac:dyDescent="0.25">
      <c r="A496" s="47">
        <v>45557</v>
      </c>
      <c r="B496" s="1" t="s">
        <v>143</v>
      </c>
      <c r="C496" s="86"/>
      <c r="D496" s="44">
        <f>SUM(C488:C496)</f>
        <v>11975000</v>
      </c>
      <c r="E496" s="32">
        <f>E495+C496-D496</f>
        <v>1363000</v>
      </c>
      <c r="F496" s="34">
        <v>100</v>
      </c>
      <c r="G496" s="104"/>
      <c r="H496" s="3">
        <f t="shared" si="44"/>
        <v>0</v>
      </c>
      <c r="I496" s="29"/>
      <c r="J496" s="55"/>
      <c r="K496" s="60"/>
      <c r="L496" s="60"/>
      <c r="M496" s="60"/>
      <c r="N496" s="60"/>
      <c r="O496" s="60"/>
      <c r="P496" s="60"/>
      <c r="Q496" s="60"/>
    </row>
    <row r="497" spans="1:17" s="3" customFormat="1" ht="15" customHeight="1" x14ac:dyDescent="0.25">
      <c r="A497" s="47">
        <v>45557</v>
      </c>
      <c r="B497" s="1" t="s">
        <v>160</v>
      </c>
      <c r="C497" s="86"/>
      <c r="D497" s="46"/>
      <c r="E497" s="32">
        <f t="shared" ref="E497:E506" si="46">E496+C497-D497</f>
        <v>1363000</v>
      </c>
      <c r="F497" s="1"/>
      <c r="G497" s="1"/>
      <c r="H497" s="1"/>
      <c r="I497" s="29"/>
      <c r="J497" s="55"/>
      <c r="K497" s="60"/>
      <c r="L497" s="60"/>
      <c r="M497" s="60"/>
      <c r="N497" s="60"/>
      <c r="O497" s="60"/>
      <c r="P497" s="60"/>
      <c r="Q497" s="60"/>
    </row>
    <row r="498" spans="1:17" s="3" customFormat="1" ht="15" customHeight="1" x14ac:dyDescent="0.25">
      <c r="A498" s="47">
        <v>45557</v>
      </c>
      <c r="B498" s="1"/>
      <c r="C498" s="86"/>
      <c r="D498" s="44"/>
      <c r="E498" s="32">
        <f t="shared" si="46"/>
        <v>1363000</v>
      </c>
      <c r="G498" s="34"/>
      <c r="H498" s="34"/>
      <c r="I498" s="29"/>
      <c r="J498" s="55"/>
      <c r="K498" s="60"/>
      <c r="L498" s="60"/>
      <c r="M498" s="60"/>
      <c r="N498" s="60"/>
      <c r="O498" s="60"/>
      <c r="P498" s="60"/>
      <c r="Q498" s="60"/>
    </row>
    <row r="499" spans="1:17" s="3" customFormat="1" ht="15" customHeight="1" x14ac:dyDescent="0.25">
      <c r="A499" s="47">
        <v>45557</v>
      </c>
      <c r="B499" s="31" t="s">
        <v>139</v>
      </c>
      <c r="C499" s="86"/>
      <c r="D499" s="44">
        <v>344000</v>
      </c>
      <c r="E499" s="32">
        <f t="shared" si="46"/>
        <v>1019000</v>
      </c>
      <c r="G499" s="34"/>
      <c r="H499" s="34"/>
      <c r="I499" s="29"/>
      <c r="J499" s="55"/>
      <c r="K499" s="60"/>
      <c r="L499" s="60"/>
      <c r="M499" s="60"/>
      <c r="N499" s="60"/>
      <c r="O499" s="60"/>
      <c r="P499" s="60"/>
      <c r="Q499" s="60"/>
    </row>
    <row r="500" spans="1:17" s="3" customFormat="1" ht="15" customHeight="1" x14ac:dyDescent="0.25">
      <c r="A500" s="47">
        <v>45557</v>
      </c>
      <c r="B500" s="47"/>
      <c r="C500" s="87"/>
      <c r="D500" s="44"/>
      <c r="E500" s="32">
        <f t="shared" si="46"/>
        <v>1019000</v>
      </c>
      <c r="G500" s="34"/>
      <c r="H500" s="34"/>
      <c r="I500" s="29"/>
      <c r="J500" s="55"/>
      <c r="K500" s="61"/>
      <c r="L500" s="61"/>
      <c r="M500" s="61"/>
      <c r="N500" s="60"/>
      <c r="O500" s="60"/>
      <c r="P500" s="60"/>
      <c r="Q500" s="60"/>
    </row>
    <row r="501" spans="1:17" s="3" customFormat="1" ht="15" customHeight="1" x14ac:dyDescent="0.25">
      <c r="A501" s="47">
        <v>45557</v>
      </c>
      <c r="B501" s="82"/>
      <c r="C501" s="87"/>
      <c r="D501" s="44"/>
      <c r="E501" s="32">
        <f t="shared" si="46"/>
        <v>1019000</v>
      </c>
      <c r="G501" s="34"/>
      <c r="H501" s="34"/>
      <c r="I501" s="29"/>
      <c r="J501" s="55"/>
      <c r="K501" s="60"/>
      <c r="L501" s="60"/>
      <c r="M501" s="62"/>
      <c r="N501" s="60"/>
      <c r="O501" s="60"/>
      <c r="P501" s="60"/>
      <c r="Q501" s="60"/>
    </row>
    <row r="502" spans="1:17" s="3" customFormat="1" ht="15" customHeight="1" x14ac:dyDescent="0.25">
      <c r="A502" s="47">
        <v>45557</v>
      </c>
      <c r="C502" s="87"/>
      <c r="D502" s="44"/>
      <c r="E502" s="32">
        <f t="shared" si="46"/>
        <v>1019000</v>
      </c>
      <c r="G502" s="34"/>
      <c r="H502" s="34"/>
      <c r="I502" s="29"/>
      <c r="J502" s="55"/>
      <c r="K502" s="60"/>
      <c r="L502" s="60"/>
      <c r="M502" s="62"/>
      <c r="N502" s="60"/>
      <c r="O502" s="60"/>
      <c r="P502" s="60"/>
      <c r="Q502" s="60"/>
    </row>
    <row r="503" spans="1:17" s="3" customFormat="1" ht="15" customHeight="1" x14ac:dyDescent="0.25">
      <c r="A503" s="47">
        <v>45557</v>
      </c>
      <c r="B503" s="1"/>
      <c r="C503" s="88"/>
      <c r="D503" s="36"/>
      <c r="E503" s="32">
        <f t="shared" si="46"/>
        <v>1019000</v>
      </c>
      <c r="F503" s="1"/>
      <c r="G503" s="34"/>
      <c r="I503" s="29"/>
      <c r="J503" s="55"/>
      <c r="K503" s="62"/>
      <c r="L503" s="60"/>
      <c r="M503" s="62"/>
      <c r="N503" s="60"/>
      <c r="O503" s="60"/>
      <c r="P503" s="60"/>
      <c r="Q503" s="60"/>
    </row>
    <row r="504" spans="1:17" s="3" customFormat="1" ht="15" customHeight="1" x14ac:dyDescent="0.25">
      <c r="A504" s="47">
        <v>45557</v>
      </c>
      <c r="B504" s="1" t="s">
        <v>143</v>
      </c>
      <c r="C504" s="89"/>
      <c r="D504" s="44"/>
      <c r="E504" s="32">
        <f t="shared" si="46"/>
        <v>1019000</v>
      </c>
      <c r="F504" s="1"/>
      <c r="G504" s="34"/>
      <c r="I504" s="29"/>
      <c r="J504" s="55"/>
      <c r="K504" s="62"/>
      <c r="L504" s="62"/>
      <c r="M504" s="62"/>
      <c r="N504" s="60"/>
      <c r="O504" s="60"/>
      <c r="P504" s="60"/>
      <c r="Q504" s="60"/>
    </row>
    <row r="505" spans="1:17" s="3" customFormat="1" ht="15" customHeight="1" x14ac:dyDescent="0.25">
      <c r="A505" s="47">
        <v>45557</v>
      </c>
      <c r="B505" s="47"/>
      <c r="C505" s="90"/>
      <c r="D505" s="44"/>
      <c r="E505" s="32">
        <f t="shared" si="46"/>
        <v>1019000</v>
      </c>
      <c r="F505" s="43"/>
      <c r="G505" s="34"/>
      <c r="I505" s="29"/>
      <c r="J505" s="55"/>
      <c r="K505" s="60"/>
      <c r="L505" s="60"/>
      <c r="M505" s="60"/>
      <c r="N505" s="60"/>
      <c r="O505" s="60"/>
      <c r="P505" s="60"/>
      <c r="Q505" s="60"/>
    </row>
    <row r="506" spans="1:17" s="3" customFormat="1" ht="15" customHeight="1" x14ac:dyDescent="0.25">
      <c r="A506" s="47">
        <v>45557</v>
      </c>
      <c r="B506" s="45" t="s">
        <v>136</v>
      </c>
      <c r="C506" s="86">
        <v>31000</v>
      </c>
      <c r="D506" s="44">
        <v>800000</v>
      </c>
      <c r="E506" s="32">
        <f t="shared" si="46"/>
        <v>250000</v>
      </c>
      <c r="F506" s="3">
        <f>SUM(H486:H502)</f>
        <v>250000</v>
      </c>
      <c r="G506" s="49"/>
      <c r="I506" s="29"/>
      <c r="J506" s="55"/>
      <c r="K506" s="61"/>
      <c r="L506" s="61"/>
      <c r="M506" s="61"/>
      <c r="N506" s="60"/>
      <c r="O506" s="60"/>
      <c r="P506" s="60"/>
      <c r="Q506" s="60"/>
    </row>
    <row r="507" spans="1:17" s="3" customFormat="1" ht="15" customHeight="1" x14ac:dyDescent="0.25">
      <c r="A507" s="47">
        <v>45557</v>
      </c>
      <c r="B507" s="4" t="s">
        <v>161</v>
      </c>
      <c r="C507" s="86">
        <f>SUM(C487:C506)</f>
        <v>13069000</v>
      </c>
      <c r="D507" s="33">
        <f>SUM(D488:D506)</f>
        <v>13119000</v>
      </c>
      <c r="E507" s="32"/>
      <c r="F507" s="25">
        <f>F506-E506</f>
        <v>0</v>
      </c>
      <c r="G507" s="34"/>
      <c r="I507" s="29"/>
      <c r="J507" s="55"/>
      <c r="K507" s="60"/>
      <c r="L507" s="60"/>
      <c r="M507" s="60"/>
      <c r="N507" s="60"/>
      <c r="O507" s="60"/>
      <c r="P507" s="60"/>
      <c r="Q507" s="60"/>
    </row>
    <row r="508" spans="1:17" s="3" customFormat="1" ht="15" customHeight="1" x14ac:dyDescent="0.25">
      <c r="B508" s="45"/>
      <c r="C508" s="86"/>
      <c r="D508" s="44"/>
      <c r="E508" s="32"/>
      <c r="G508" s="49"/>
      <c r="I508" s="29"/>
      <c r="J508" s="55"/>
      <c r="K508" s="60"/>
      <c r="L508" s="60"/>
      <c r="M508" s="60"/>
      <c r="N508" s="60"/>
      <c r="O508" s="60"/>
      <c r="P508" s="60"/>
      <c r="Q508" s="60"/>
    </row>
    <row r="509" spans="1:17" s="3" customFormat="1" ht="15" customHeight="1" x14ac:dyDescent="0.25">
      <c r="A509" s="47">
        <v>45558</v>
      </c>
      <c r="B509" s="1" t="s">
        <v>140</v>
      </c>
      <c r="C509" s="65"/>
      <c r="D509" s="8"/>
      <c r="E509" s="8">
        <v>250000</v>
      </c>
      <c r="F509" s="49">
        <v>100000</v>
      </c>
      <c r="G509" s="103">
        <f>4-3</f>
        <v>1</v>
      </c>
      <c r="H509" s="3">
        <f>G509*F509</f>
        <v>100000</v>
      </c>
      <c r="I509" s="29"/>
      <c r="J509" s="55"/>
      <c r="K509" s="60"/>
      <c r="L509" s="60"/>
      <c r="M509" s="60"/>
      <c r="N509" s="60"/>
      <c r="O509" s="60"/>
      <c r="P509" s="60"/>
      <c r="Q509" s="60"/>
    </row>
    <row r="510" spans="1:17" s="3" customFormat="1" ht="15" customHeight="1" x14ac:dyDescent="0.25">
      <c r="A510" s="47">
        <v>45558</v>
      </c>
      <c r="B510" s="31" t="s">
        <v>138</v>
      </c>
      <c r="C510" s="73">
        <v>700000</v>
      </c>
      <c r="D510" s="44"/>
      <c r="E510" s="32">
        <f>E509+C510-D510</f>
        <v>950000</v>
      </c>
      <c r="F510" s="3">
        <v>75000</v>
      </c>
      <c r="G510" s="103"/>
      <c r="H510" s="3">
        <f t="shared" ref="H510:H519" si="47">G510*F510</f>
        <v>0</v>
      </c>
      <c r="I510" s="29"/>
      <c r="J510" s="55"/>
      <c r="K510" s="60"/>
      <c r="L510" s="60"/>
      <c r="M510" s="60"/>
      <c r="N510" s="60"/>
      <c r="O510" s="60"/>
      <c r="P510" s="60"/>
      <c r="Q510" s="60"/>
    </row>
    <row r="511" spans="1:17" s="3" customFormat="1" ht="15" customHeight="1" x14ac:dyDescent="0.25">
      <c r="A511" s="47">
        <v>45558</v>
      </c>
      <c r="B511" s="1" t="s">
        <v>155</v>
      </c>
      <c r="C511" s="73">
        <v>398000</v>
      </c>
      <c r="D511" s="44"/>
      <c r="E511" s="32">
        <f>E510+C511-D511</f>
        <v>1348000</v>
      </c>
      <c r="F511" s="34">
        <v>50000</v>
      </c>
      <c r="G511" s="103">
        <f>3-1</f>
        <v>2</v>
      </c>
      <c r="H511" s="3">
        <f t="shared" si="47"/>
        <v>100000</v>
      </c>
      <c r="I511" s="29"/>
      <c r="J511" s="55"/>
      <c r="K511" s="60"/>
      <c r="L511" s="60"/>
      <c r="M511" s="60"/>
      <c r="N511" s="60"/>
      <c r="O511" s="60"/>
      <c r="P511" s="60"/>
      <c r="Q511" s="60"/>
    </row>
    <row r="512" spans="1:17" s="3" customFormat="1" ht="15" customHeight="1" x14ac:dyDescent="0.25">
      <c r="A512" s="47">
        <v>45558</v>
      </c>
      <c r="B512" s="1" t="s">
        <v>156</v>
      </c>
      <c r="C512" s="73">
        <v>988000</v>
      </c>
      <c r="D512" s="44"/>
      <c r="E512" s="32">
        <f t="shared" ref="E512:E518" si="48">E511+C512-D512</f>
        <v>2336000</v>
      </c>
      <c r="F512" s="34">
        <v>20000</v>
      </c>
      <c r="G512" s="103"/>
      <c r="H512" s="3">
        <f t="shared" si="47"/>
        <v>0</v>
      </c>
      <c r="I512" s="29"/>
      <c r="J512" s="55"/>
      <c r="K512" s="60"/>
      <c r="L512" s="60"/>
      <c r="M512" s="60"/>
      <c r="N512" s="60"/>
      <c r="O512" s="60"/>
      <c r="P512" s="60"/>
      <c r="Q512" s="60"/>
    </row>
    <row r="513" spans="1:17" s="3" customFormat="1" ht="15" customHeight="1" x14ac:dyDescent="0.25">
      <c r="A513" s="47">
        <v>45558</v>
      </c>
      <c r="B513" s="1" t="s">
        <v>133</v>
      </c>
      <c r="C513" s="73">
        <v>1019000</v>
      </c>
      <c r="D513" s="44"/>
      <c r="E513" s="32">
        <f t="shared" si="48"/>
        <v>3355000</v>
      </c>
      <c r="F513" s="34">
        <v>10000</v>
      </c>
      <c r="G513" s="103">
        <v>1</v>
      </c>
      <c r="H513" s="3">
        <f t="shared" si="47"/>
        <v>10000</v>
      </c>
      <c r="I513" s="29"/>
      <c r="J513" s="55"/>
      <c r="K513" s="60"/>
      <c r="L513" s="60"/>
      <c r="M513" s="60"/>
      <c r="N513" s="60"/>
      <c r="O513" s="60"/>
      <c r="P513" s="60"/>
      <c r="Q513" s="60"/>
    </row>
    <row r="514" spans="1:17" s="3" customFormat="1" ht="15" customHeight="1" x14ac:dyDescent="0.25">
      <c r="A514" s="47">
        <v>45558</v>
      </c>
      <c r="B514" s="1" t="s">
        <v>150</v>
      </c>
      <c r="C514" s="73"/>
      <c r="D514" s="44"/>
      <c r="E514" s="32">
        <f t="shared" si="48"/>
        <v>3355000</v>
      </c>
      <c r="F514" s="34">
        <v>5000</v>
      </c>
      <c r="G514" s="103">
        <v>4</v>
      </c>
      <c r="H514" s="3">
        <f t="shared" si="47"/>
        <v>20000</v>
      </c>
      <c r="I514" s="29"/>
      <c r="J514" s="55"/>
      <c r="K514" s="60"/>
      <c r="L514" s="60"/>
      <c r="M514" s="60"/>
      <c r="N514" s="60"/>
      <c r="O514" s="60"/>
      <c r="P514" s="60"/>
      <c r="Q514" s="60"/>
    </row>
    <row r="515" spans="1:17" s="3" customFormat="1" ht="15" customHeight="1" x14ac:dyDescent="0.25">
      <c r="A515" s="47">
        <v>45558</v>
      </c>
      <c r="B515" s="1" t="s">
        <v>146</v>
      </c>
      <c r="C515" s="73">
        <v>1032000</v>
      </c>
      <c r="D515" s="44"/>
      <c r="E515" s="32">
        <f t="shared" si="48"/>
        <v>4387000</v>
      </c>
      <c r="F515" s="34">
        <v>2000</v>
      </c>
      <c r="G515" s="103">
        <v>7</v>
      </c>
      <c r="H515" s="3">
        <f t="shared" si="47"/>
        <v>14000</v>
      </c>
      <c r="I515" s="29"/>
      <c r="J515" s="55"/>
      <c r="K515" s="60"/>
      <c r="L515" s="60"/>
      <c r="M515" s="60"/>
      <c r="N515" s="60"/>
      <c r="O515" s="60"/>
      <c r="P515" s="60"/>
      <c r="Q515" s="60"/>
    </row>
    <row r="516" spans="1:17" s="3" customFormat="1" ht="15" customHeight="1" x14ac:dyDescent="0.25">
      <c r="A516" s="47">
        <v>45558</v>
      </c>
      <c r="B516" s="1" t="s">
        <v>163</v>
      </c>
      <c r="C516" s="86"/>
      <c r="D516" s="44"/>
      <c r="E516" s="32">
        <f t="shared" si="48"/>
        <v>4387000</v>
      </c>
      <c r="F516" s="34">
        <v>1000</v>
      </c>
      <c r="G516" s="103">
        <v>5</v>
      </c>
      <c r="H516" s="3">
        <f t="shared" si="47"/>
        <v>5000</v>
      </c>
      <c r="I516" s="29"/>
      <c r="J516" s="55"/>
      <c r="K516" s="60"/>
      <c r="L516" s="60"/>
      <c r="M516" s="60"/>
      <c r="N516" s="60"/>
      <c r="O516" s="60"/>
      <c r="P516" s="60"/>
      <c r="Q516" s="60"/>
    </row>
    <row r="517" spans="1:17" s="3" customFormat="1" ht="15" customHeight="1" x14ac:dyDescent="0.25">
      <c r="A517" s="47">
        <v>45558</v>
      </c>
      <c r="B517" s="1" t="s">
        <v>159</v>
      </c>
      <c r="C517" s="86">
        <v>1760600</v>
      </c>
      <c r="D517" s="44"/>
      <c r="E517" s="32">
        <f t="shared" si="48"/>
        <v>6147600</v>
      </c>
      <c r="F517" s="34">
        <v>500</v>
      </c>
      <c r="G517" s="103">
        <v>2</v>
      </c>
      <c r="H517" s="3">
        <f t="shared" si="47"/>
        <v>1000</v>
      </c>
      <c r="I517" s="29"/>
      <c r="J517" s="55"/>
      <c r="K517" s="60"/>
      <c r="L517" s="60"/>
      <c r="M517" s="60"/>
      <c r="N517" s="60"/>
      <c r="O517" s="60"/>
      <c r="P517" s="60"/>
      <c r="Q517" s="60"/>
    </row>
    <row r="518" spans="1:17" s="3" customFormat="1" ht="15" customHeight="1" x14ac:dyDescent="0.25">
      <c r="A518" s="47">
        <v>45558</v>
      </c>
      <c r="B518" s="1" t="s">
        <v>145</v>
      </c>
      <c r="C518" s="86"/>
      <c r="D518" s="44"/>
      <c r="E518" s="32">
        <f t="shared" si="48"/>
        <v>6147600</v>
      </c>
      <c r="F518" s="34">
        <v>200</v>
      </c>
      <c r="G518" s="103"/>
      <c r="H518" s="3">
        <f t="shared" si="47"/>
        <v>0</v>
      </c>
      <c r="I518" s="29"/>
      <c r="J518" s="55"/>
      <c r="K518" s="60"/>
      <c r="L518" s="60"/>
      <c r="M518" s="60"/>
      <c r="N518" s="60"/>
      <c r="O518" s="60"/>
      <c r="P518" s="60"/>
      <c r="Q518" s="60"/>
    </row>
    <row r="519" spans="1:17" s="3" customFormat="1" ht="15" customHeight="1" x14ac:dyDescent="0.25">
      <c r="A519" s="47">
        <v>45558</v>
      </c>
      <c r="B519" s="1" t="s">
        <v>143</v>
      </c>
      <c r="C519" s="86"/>
      <c r="D519" s="44">
        <f>SUM(C511:C519)</f>
        <v>5197600</v>
      </c>
      <c r="E519" s="32">
        <f>E518+C519-D519</f>
        <v>950000</v>
      </c>
      <c r="F519" s="34">
        <v>100</v>
      </c>
      <c r="G519" s="104"/>
      <c r="H519" s="3">
        <f t="shared" si="47"/>
        <v>0</v>
      </c>
      <c r="I519" s="29"/>
      <c r="J519" s="55"/>
      <c r="K519" s="60"/>
      <c r="L519" s="60"/>
      <c r="M519" s="60"/>
      <c r="N519" s="60"/>
      <c r="O519" s="60"/>
      <c r="P519" s="60"/>
      <c r="Q519" s="60"/>
    </row>
    <row r="520" spans="1:17" s="3" customFormat="1" ht="15" customHeight="1" x14ac:dyDescent="0.25">
      <c r="A520" s="47">
        <v>45558</v>
      </c>
      <c r="B520" s="1" t="s">
        <v>160</v>
      </c>
      <c r="C520" s="86">
        <v>-77000</v>
      </c>
      <c r="D520" s="46"/>
      <c r="E520" s="32">
        <f t="shared" ref="E520:E529" si="49">E519+C520-D520</f>
        <v>873000</v>
      </c>
      <c r="F520" s="1"/>
      <c r="G520" s="1"/>
      <c r="H520" s="1"/>
      <c r="I520" s="29"/>
      <c r="J520" s="55"/>
      <c r="K520" s="60"/>
      <c r="L520" s="60"/>
      <c r="M520" s="60"/>
      <c r="N520" s="60"/>
      <c r="O520" s="60"/>
      <c r="P520" s="60"/>
      <c r="Q520" s="60"/>
    </row>
    <row r="521" spans="1:17" s="3" customFormat="1" ht="15" customHeight="1" x14ac:dyDescent="0.25">
      <c r="A521" s="47">
        <v>45558</v>
      </c>
      <c r="B521" s="1"/>
      <c r="C521" s="86"/>
      <c r="D521" s="44"/>
      <c r="E521" s="32">
        <f t="shared" si="49"/>
        <v>873000</v>
      </c>
      <c r="G521" s="34"/>
      <c r="H521" s="34"/>
      <c r="I521" s="29"/>
      <c r="J521" s="55"/>
      <c r="K521" s="60"/>
      <c r="L521" s="60"/>
      <c r="M521" s="60"/>
      <c r="N521" s="60"/>
      <c r="O521" s="60"/>
      <c r="P521" s="60"/>
      <c r="Q521" s="60"/>
    </row>
    <row r="522" spans="1:17" s="3" customFormat="1" ht="15" customHeight="1" x14ac:dyDescent="0.25">
      <c r="A522" s="47">
        <v>45558</v>
      </c>
      <c r="B522" s="31" t="s">
        <v>139</v>
      </c>
      <c r="C522" s="86"/>
      <c r="D522" s="44">
        <v>297800</v>
      </c>
      <c r="E522" s="32">
        <f t="shared" si="49"/>
        <v>575200</v>
      </c>
      <c r="G522" s="34"/>
      <c r="H522" s="34"/>
      <c r="I522" s="29"/>
      <c r="J522" s="55"/>
      <c r="K522" s="58"/>
      <c r="L522" s="58"/>
      <c r="M522" s="58"/>
      <c r="N522" s="60"/>
      <c r="O522" s="60"/>
      <c r="P522" s="60"/>
      <c r="Q522" s="60"/>
    </row>
    <row r="523" spans="1:17" s="3" customFormat="1" ht="15" customHeight="1" x14ac:dyDescent="0.25">
      <c r="A523" s="47">
        <v>45558</v>
      </c>
      <c r="B523" s="47"/>
      <c r="C523" s="87"/>
      <c r="D523" s="44"/>
      <c r="E523" s="32">
        <f t="shared" si="49"/>
        <v>575200</v>
      </c>
      <c r="G523" s="34"/>
      <c r="H523" s="34"/>
      <c r="I523" s="29"/>
      <c r="J523" s="55"/>
      <c r="K523" s="60"/>
      <c r="L523" s="60"/>
      <c r="M523" s="62"/>
      <c r="N523" s="60"/>
      <c r="O523" s="60"/>
      <c r="P523" s="60"/>
      <c r="Q523" s="60"/>
    </row>
    <row r="524" spans="1:17" s="3" customFormat="1" ht="15" customHeight="1" x14ac:dyDescent="0.25">
      <c r="A524" s="47">
        <v>45558</v>
      </c>
      <c r="B524" s="82"/>
      <c r="C524" s="87"/>
      <c r="D524" s="44"/>
      <c r="E524" s="32">
        <f t="shared" si="49"/>
        <v>575200</v>
      </c>
      <c r="G524" s="34"/>
      <c r="H524" s="34"/>
      <c r="I524" s="29"/>
      <c r="J524" s="55"/>
      <c r="K524" s="60"/>
      <c r="L524" s="60"/>
      <c r="M524" s="62"/>
      <c r="N524" s="60"/>
      <c r="O524" s="60"/>
      <c r="P524" s="60"/>
      <c r="Q524" s="60"/>
    </row>
    <row r="525" spans="1:17" s="3" customFormat="1" ht="15" customHeight="1" x14ac:dyDescent="0.25">
      <c r="A525" s="47">
        <v>45558</v>
      </c>
      <c r="C525" s="87"/>
      <c r="D525" s="44"/>
      <c r="E525" s="32">
        <f t="shared" si="49"/>
        <v>575200</v>
      </c>
      <c r="G525" s="34"/>
      <c r="H525" s="34"/>
      <c r="I525" s="29"/>
      <c r="J525" s="55"/>
      <c r="K525" s="62"/>
      <c r="L525" s="60"/>
      <c r="M525" s="62"/>
      <c r="N525" s="60"/>
      <c r="O525" s="60"/>
      <c r="P525" s="60"/>
      <c r="Q525" s="60"/>
    </row>
    <row r="526" spans="1:17" s="3" customFormat="1" ht="15" customHeight="1" x14ac:dyDescent="0.25">
      <c r="A526" s="47">
        <v>45558</v>
      </c>
      <c r="B526" s="1"/>
      <c r="C526" s="88"/>
      <c r="D526" s="36"/>
      <c r="E526" s="32">
        <f t="shared" si="49"/>
        <v>575200</v>
      </c>
      <c r="F526" s="1"/>
      <c r="G526" s="34"/>
      <c r="I526" s="29"/>
      <c r="J526" s="55"/>
      <c r="K526" s="62"/>
      <c r="L526" s="62"/>
      <c r="M526" s="62"/>
      <c r="N526" s="60"/>
      <c r="O526" s="60"/>
      <c r="P526" s="60"/>
      <c r="Q526" s="60"/>
    </row>
    <row r="527" spans="1:17" s="3" customFormat="1" ht="15" customHeight="1" x14ac:dyDescent="0.25">
      <c r="A527" s="47">
        <v>45558</v>
      </c>
      <c r="B527" s="1" t="s">
        <v>143</v>
      </c>
      <c r="C527" s="89"/>
      <c r="D527" s="44"/>
      <c r="E527" s="32">
        <f t="shared" si="49"/>
        <v>575200</v>
      </c>
      <c r="F527" s="1"/>
      <c r="G527" s="34"/>
      <c r="I527" s="29"/>
      <c r="J527" s="55"/>
      <c r="K527" s="61"/>
      <c r="L527" s="61"/>
      <c r="M527" s="61"/>
      <c r="N527" s="60"/>
      <c r="O527" s="60"/>
      <c r="P527" s="60"/>
      <c r="Q527" s="60"/>
    </row>
    <row r="528" spans="1:17" s="3" customFormat="1" ht="15" customHeight="1" x14ac:dyDescent="0.25">
      <c r="A528" s="47">
        <v>45558</v>
      </c>
      <c r="B528" s="47"/>
      <c r="C528" s="90"/>
      <c r="D528" s="44"/>
      <c r="E528" s="32">
        <f t="shared" si="49"/>
        <v>575200</v>
      </c>
      <c r="F528" s="43"/>
      <c r="G528" s="34"/>
      <c r="I528" s="29"/>
      <c r="J528" s="55"/>
      <c r="K528" s="60"/>
      <c r="L528" s="60"/>
      <c r="M528" s="60"/>
      <c r="N528" s="60"/>
      <c r="O528" s="60"/>
      <c r="P528" s="60"/>
      <c r="Q528" s="60"/>
    </row>
    <row r="529" spans="1:17" s="3" customFormat="1" ht="15" customHeight="1" x14ac:dyDescent="0.25">
      <c r="A529" s="47">
        <v>45558</v>
      </c>
      <c r="B529" s="45" t="s">
        <v>136</v>
      </c>
      <c r="C529" s="86">
        <v>24800</v>
      </c>
      <c r="D529" s="44">
        <v>350000</v>
      </c>
      <c r="E529" s="32">
        <f t="shared" si="49"/>
        <v>250000</v>
      </c>
      <c r="F529" s="3">
        <f>SUM(H509:H525)</f>
        <v>250000</v>
      </c>
      <c r="G529" s="49">
        <f>250000-F529</f>
        <v>0</v>
      </c>
      <c r="I529" s="29"/>
      <c r="J529" s="55"/>
      <c r="K529" s="60"/>
      <c r="L529" s="60"/>
      <c r="M529" s="60"/>
      <c r="N529" s="60"/>
      <c r="O529" s="60"/>
      <c r="P529" s="60"/>
      <c r="Q529" s="60"/>
    </row>
    <row r="530" spans="1:17" s="3" customFormat="1" ht="15" customHeight="1" x14ac:dyDescent="0.25">
      <c r="A530" s="47">
        <v>45558</v>
      </c>
      <c r="B530" s="4" t="s">
        <v>161</v>
      </c>
      <c r="C530" s="86">
        <f>SUM(C510:C529)</f>
        <v>5845400</v>
      </c>
      <c r="D530" s="33">
        <f>SUM(D511:D529)</f>
        <v>5845400</v>
      </c>
      <c r="E530" s="32"/>
      <c r="F530" s="25">
        <f>F529-E529</f>
        <v>0</v>
      </c>
      <c r="G530" s="34"/>
      <c r="I530" s="29"/>
      <c r="J530" s="55"/>
      <c r="K530" s="60"/>
      <c r="L530" s="60"/>
      <c r="M530" s="60"/>
      <c r="N530" s="60"/>
      <c r="O530" s="60"/>
      <c r="P530" s="60"/>
      <c r="Q530" s="60"/>
    </row>
    <row r="531" spans="1:17" s="3" customFormat="1" ht="15" customHeight="1" x14ac:dyDescent="0.25">
      <c r="B531" s="45"/>
      <c r="C531" s="86"/>
      <c r="D531" s="44"/>
      <c r="E531" s="32"/>
      <c r="G531" s="49"/>
      <c r="I531" s="29"/>
      <c r="J531" s="55"/>
      <c r="K531" s="60"/>
      <c r="L531" s="60"/>
      <c r="M531" s="60"/>
      <c r="N531" s="60"/>
      <c r="O531" s="60"/>
      <c r="P531" s="60"/>
      <c r="Q531" s="60"/>
    </row>
    <row r="532" spans="1:17" s="3" customFormat="1" ht="15" customHeight="1" x14ac:dyDescent="0.25">
      <c r="A532" s="47">
        <v>45559</v>
      </c>
      <c r="B532" s="1" t="s">
        <v>140</v>
      </c>
      <c r="C532" s="65"/>
      <c r="D532" s="8"/>
      <c r="E532" s="8">
        <v>250000</v>
      </c>
      <c r="F532" s="49">
        <v>100000</v>
      </c>
      <c r="G532" s="103">
        <f>3-3</f>
        <v>0</v>
      </c>
      <c r="H532" s="3">
        <f>G532*F532</f>
        <v>0</v>
      </c>
      <c r="I532" s="29"/>
      <c r="J532" s="55"/>
      <c r="K532" s="76"/>
      <c r="L532" s="60"/>
      <c r="M532" s="60"/>
      <c r="N532" s="60"/>
      <c r="O532" s="60"/>
      <c r="P532" s="60"/>
      <c r="Q532" s="60"/>
    </row>
    <row r="533" spans="1:17" s="3" customFormat="1" ht="15" customHeight="1" x14ac:dyDescent="0.25">
      <c r="A533" s="47">
        <v>45559</v>
      </c>
      <c r="B533" s="31" t="s">
        <v>138</v>
      </c>
      <c r="C533" s="73">
        <v>553000</v>
      </c>
      <c r="D533" s="44"/>
      <c r="E533" s="32">
        <f>E532+C533-D533</f>
        <v>803000</v>
      </c>
      <c r="F533" s="3">
        <v>75000</v>
      </c>
      <c r="G533" s="103"/>
      <c r="H533" s="3">
        <f t="shared" ref="H533:H542" si="50">G533*F533</f>
        <v>0</v>
      </c>
      <c r="I533" s="29"/>
      <c r="J533" s="55"/>
      <c r="K533" s="60"/>
      <c r="L533" s="60"/>
      <c r="M533" s="60"/>
      <c r="N533" s="60"/>
      <c r="O533" s="60"/>
      <c r="P533" s="60"/>
      <c r="Q533" s="60"/>
    </row>
    <row r="534" spans="1:17" s="3" customFormat="1" ht="15" customHeight="1" x14ac:dyDescent="0.25">
      <c r="A534" s="47">
        <v>45559</v>
      </c>
      <c r="B534" s="1" t="s">
        <v>155</v>
      </c>
      <c r="C534" s="73"/>
      <c r="D534" s="44"/>
      <c r="E534" s="32">
        <f>E533+C534-D534</f>
        <v>803000</v>
      </c>
      <c r="F534" s="34">
        <v>50000</v>
      </c>
      <c r="G534" s="103">
        <f>5-1</f>
        <v>4</v>
      </c>
      <c r="H534" s="3">
        <f t="shared" si="50"/>
        <v>200000</v>
      </c>
      <c r="I534" s="29"/>
      <c r="J534" s="55"/>
      <c r="K534" s="60"/>
      <c r="L534" s="60"/>
      <c r="M534" s="60"/>
      <c r="N534" s="60"/>
      <c r="O534" s="60"/>
      <c r="P534" s="60"/>
      <c r="Q534" s="60"/>
    </row>
    <row r="535" spans="1:17" s="3" customFormat="1" ht="15" customHeight="1" x14ac:dyDescent="0.25">
      <c r="A535" s="47">
        <v>45559</v>
      </c>
      <c r="B535" s="1" t="s">
        <v>156</v>
      </c>
      <c r="C535" s="73"/>
      <c r="D535" s="44"/>
      <c r="E535" s="32">
        <f t="shared" ref="E535:E541" si="51">E534+C535-D535</f>
        <v>803000</v>
      </c>
      <c r="F535" s="34">
        <v>20000</v>
      </c>
      <c r="G535" s="103"/>
      <c r="H535" s="3">
        <f t="shared" si="50"/>
        <v>0</v>
      </c>
      <c r="I535" s="29"/>
      <c r="J535" s="55"/>
      <c r="K535" s="60"/>
      <c r="L535" s="60"/>
      <c r="M535" s="60"/>
      <c r="N535" s="60"/>
      <c r="O535" s="60"/>
      <c r="P535" s="60"/>
      <c r="Q535" s="60"/>
    </row>
    <row r="536" spans="1:17" s="3" customFormat="1" ht="15" customHeight="1" x14ac:dyDescent="0.25">
      <c r="A536" s="47">
        <v>45559</v>
      </c>
      <c r="B536" s="1" t="s">
        <v>133</v>
      </c>
      <c r="C536" s="73">
        <v>1014000</v>
      </c>
      <c r="D536" s="44"/>
      <c r="E536" s="32">
        <f t="shared" si="51"/>
        <v>1817000</v>
      </c>
      <c r="F536" s="34">
        <v>10000</v>
      </c>
      <c r="G536" s="103">
        <v>1</v>
      </c>
      <c r="H536" s="3">
        <f t="shared" si="50"/>
        <v>10000</v>
      </c>
      <c r="I536" s="29"/>
      <c r="J536" s="55"/>
      <c r="K536" s="60"/>
      <c r="L536" s="60"/>
      <c r="M536" s="60"/>
      <c r="N536" s="60"/>
      <c r="O536" s="60"/>
      <c r="P536" s="60"/>
      <c r="Q536" s="60"/>
    </row>
    <row r="537" spans="1:17" s="3" customFormat="1" ht="15" customHeight="1" x14ac:dyDescent="0.25">
      <c r="A537" s="47">
        <v>45559</v>
      </c>
      <c r="B537" s="1" t="s">
        <v>150</v>
      </c>
      <c r="C537" s="73"/>
      <c r="D537" s="44"/>
      <c r="E537" s="32">
        <f t="shared" si="51"/>
        <v>1817000</v>
      </c>
      <c r="F537" s="34">
        <v>5000</v>
      </c>
      <c r="G537" s="103">
        <v>5</v>
      </c>
      <c r="H537" s="3">
        <f t="shared" si="50"/>
        <v>25000</v>
      </c>
      <c r="I537" s="29"/>
      <c r="J537" s="55"/>
      <c r="K537" s="60"/>
      <c r="L537" s="60"/>
      <c r="M537" s="60"/>
      <c r="N537" s="60"/>
      <c r="O537" s="60"/>
      <c r="P537" s="60"/>
      <c r="Q537" s="60"/>
    </row>
    <row r="538" spans="1:17" s="3" customFormat="1" ht="15" customHeight="1" x14ac:dyDescent="0.25">
      <c r="A538" s="47">
        <v>45559</v>
      </c>
      <c r="B538" s="1" t="s">
        <v>146</v>
      </c>
      <c r="C538" s="73">
        <f>1859500+100000</f>
        <v>1959500</v>
      </c>
      <c r="D538" s="44"/>
      <c r="E538" s="32">
        <f t="shared" si="51"/>
        <v>3776500</v>
      </c>
      <c r="F538" s="34">
        <v>2000</v>
      </c>
      <c r="G538" s="103">
        <v>7</v>
      </c>
      <c r="H538" s="3">
        <f t="shared" si="50"/>
        <v>14000</v>
      </c>
      <c r="I538" s="29"/>
      <c r="J538" s="55"/>
      <c r="K538" s="60"/>
      <c r="L538" s="60"/>
      <c r="M538" s="60"/>
      <c r="N538" s="60"/>
      <c r="O538" s="60"/>
      <c r="P538" s="60"/>
      <c r="Q538" s="60"/>
    </row>
    <row r="539" spans="1:17" s="3" customFormat="1" ht="15" customHeight="1" x14ac:dyDescent="0.25">
      <c r="A539" s="47">
        <v>45559</v>
      </c>
      <c r="B539" s="1" t="s">
        <v>163</v>
      </c>
      <c r="C539" s="86"/>
      <c r="D539" s="44"/>
      <c r="E539" s="32">
        <f t="shared" si="51"/>
        <v>3776500</v>
      </c>
      <c r="F539" s="34">
        <v>1000</v>
      </c>
      <c r="G539" s="103"/>
      <c r="H539" s="3">
        <f t="shared" si="50"/>
        <v>0</v>
      </c>
      <c r="I539" s="29"/>
      <c r="J539" s="55"/>
      <c r="K539" s="60"/>
      <c r="L539" s="60"/>
      <c r="M539" s="60"/>
      <c r="N539" s="60"/>
      <c r="O539" s="60"/>
      <c r="P539" s="60"/>
      <c r="Q539" s="60"/>
    </row>
    <row r="540" spans="1:17" s="3" customFormat="1" ht="15" customHeight="1" x14ac:dyDescent="0.25">
      <c r="A540" s="47">
        <v>45559</v>
      </c>
      <c r="B540" s="1" t="s">
        <v>159</v>
      </c>
      <c r="C540" s="86">
        <v>1285000</v>
      </c>
      <c r="D540" s="44"/>
      <c r="E540" s="32">
        <f t="shared" si="51"/>
        <v>5061500</v>
      </c>
      <c r="F540" s="34">
        <v>500</v>
      </c>
      <c r="G540" s="103">
        <v>2</v>
      </c>
      <c r="H540" s="3">
        <f t="shared" si="50"/>
        <v>1000</v>
      </c>
      <c r="I540" s="29"/>
      <c r="J540" s="55"/>
      <c r="K540" s="60"/>
      <c r="L540" s="60"/>
      <c r="M540" s="60"/>
      <c r="N540" s="60"/>
      <c r="O540" s="60"/>
      <c r="P540" s="60"/>
      <c r="Q540" s="60"/>
    </row>
    <row r="541" spans="1:17" s="3" customFormat="1" ht="15" customHeight="1" x14ac:dyDescent="0.25">
      <c r="A541" s="47">
        <v>45559</v>
      </c>
      <c r="B541" s="1" t="s">
        <v>145</v>
      </c>
      <c r="C541" s="86">
        <v>214000</v>
      </c>
      <c r="D541" s="44"/>
      <c r="E541" s="32">
        <f t="shared" si="51"/>
        <v>5275500</v>
      </c>
      <c r="F541" s="34">
        <v>200</v>
      </c>
      <c r="G541" s="103"/>
      <c r="H541" s="3">
        <f t="shared" si="50"/>
        <v>0</v>
      </c>
      <c r="I541" s="29"/>
      <c r="J541" s="55"/>
      <c r="K541" s="60"/>
      <c r="L541" s="60"/>
      <c r="M541" s="60"/>
      <c r="N541" s="60"/>
      <c r="O541" s="60"/>
      <c r="P541" s="60"/>
      <c r="Q541" s="60"/>
    </row>
    <row r="542" spans="1:17" s="3" customFormat="1" ht="15" customHeight="1" x14ac:dyDescent="0.25">
      <c r="A542" s="47">
        <v>45559</v>
      </c>
      <c r="B542" s="1" t="s">
        <v>143</v>
      </c>
      <c r="C542" s="86"/>
      <c r="D542" s="44">
        <f>SUM(C534:C542)</f>
        <v>4472500</v>
      </c>
      <c r="E542" s="32">
        <f>E541+C542-D542</f>
        <v>803000</v>
      </c>
      <c r="F542" s="34">
        <v>100</v>
      </c>
      <c r="G542" s="104"/>
      <c r="H542" s="3">
        <f t="shared" si="50"/>
        <v>0</v>
      </c>
      <c r="I542" s="29"/>
      <c r="J542" s="55"/>
      <c r="K542" s="60"/>
      <c r="L542" s="60"/>
      <c r="M542" s="60"/>
      <c r="N542" s="60"/>
      <c r="O542" s="60"/>
      <c r="P542" s="60"/>
      <c r="Q542" s="60"/>
    </row>
    <row r="543" spans="1:17" s="3" customFormat="1" ht="15" customHeight="1" x14ac:dyDescent="0.25">
      <c r="A543" s="47">
        <v>45559</v>
      </c>
      <c r="B543" s="1" t="s">
        <v>160</v>
      </c>
      <c r="C543" s="86">
        <v>-36000</v>
      </c>
      <c r="D543" s="46"/>
      <c r="E543" s="32">
        <f t="shared" ref="E543:E552" si="52">E542+C543-D543</f>
        <v>767000</v>
      </c>
      <c r="F543" s="1"/>
      <c r="G543" s="1"/>
      <c r="H543" s="1"/>
      <c r="I543" s="29"/>
      <c r="J543" s="55"/>
      <c r="K543" s="60"/>
      <c r="L543" s="60"/>
      <c r="M543" s="60"/>
      <c r="N543" s="60"/>
      <c r="O543" s="60"/>
      <c r="P543" s="60"/>
      <c r="Q543" s="60"/>
    </row>
    <row r="544" spans="1:17" s="3" customFormat="1" ht="15" customHeight="1" x14ac:dyDescent="0.25">
      <c r="A544" s="47">
        <v>45559</v>
      </c>
      <c r="B544" s="1"/>
      <c r="C544" s="86"/>
      <c r="D544" s="44"/>
      <c r="E544" s="32">
        <f t="shared" si="52"/>
        <v>767000</v>
      </c>
      <c r="G544" s="34"/>
      <c r="H544" s="34"/>
      <c r="I544" s="29"/>
      <c r="J544" s="55"/>
      <c r="K544" s="58"/>
      <c r="L544" s="58"/>
      <c r="M544" s="58"/>
      <c r="N544" s="60"/>
      <c r="O544" s="60"/>
      <c r="P544" s="60"/>
      <c r="Q544" s="60"/>
    </row>
    <row r="545" spans="1:17" s="3" customFormat="1" ht="15" customHeight="1" x14ac:dyDescent="0.25">
      <c r="A545" s="47">
        <v>45559</v>
      </c>
      <c r="B545" s="31" t="s">
        <v>139</v>
      </c>
      <c r="C545" s="86"/>
      <c r="D545" s="44">
        <f>216000-36000</f>
        <v>180000</v>
      </c>
      <c r="E545" s="32">
        <f t="shared" si="52"/>
        <v>587000</v>
      </c>
      <c r="G545" s="34"/>
      <c r="H545" s="34"/>
      <c r="I545" s="29"/>
      <c r="J545" s="55"/>
      <c r="K545" s="60"/>
      <c r="L545" s="60"/>
      <c r="M545" s="60"/>
      <c r="N545" s="60"/>
      <c r="O545" s="60"/>
      <c r="P545" s="60"/>
      <c r="Q545" s="60"/>
    </row>
    <row r="546" spans="1:17" s="3" customFormat="1" ht="15" customHeight="1" x14ac:dyDescent="0.25">
      <c r="A546" s="47">
        <v>45559</v>
      </c>
      <c r="B546" s="47"/>
      <c r="C546" s="87"/>
      <c r="D546" s="44"/>
      <c r="E546" s="32">
        <f t="shared" si="52"/>
        <v>587000</v>
      </c>
      <c r="G546" s="34"/>
      <c r="H546" s="34"/>
      <c r="I546" s="29"/>
      <c r="J546" s="55"/>
      <c r="K546" s="32"/>
      <c r="L546" s="60"/>
      <c r="M546" s="60"/>
      <c r="N546" s="60"/>
      <c r="O546" s="60"/>
      <c r="P546" s="60"/>
      <c r="Q546" s="60"/>
    </row>
    <row r="547" spans="1:17" s="3" customFormat="1" ht="15" customHeight="1" x14ac:dyDescent="0.25">
      <c r="A547" s="47">
        <v>45559</v>
      </c>
      <c r="B547" s="82"/>
      <c r="C547" s="87"/>
      <c r="D547" s="44"/>
      <c r="E547" s="32">
        <f t="shared" si="52"/>
        <v>587000</v>
      </c>
      <c r="G547" s="34"/>
      <c r="H547" s="34"/>
      <c r="I547" s="29"/>
      <c r="J547" s="55"/>
      <c r="K547" s="32"/>
      <c r="L547" s="61"/>
      <c r="M547" s="61"/>
      <c r="N547" s="60"/>
      <c r="O547" s="60"/>
      <c r="P547" s="60"/>
      <c r="Q547" s="60"/>
    </row>
    <row r="548" spans="1:17" s="3" customFormat="1" ht="15" customHeight="1" x14ac:dyDescent="0.25">
      <c r="A548" s="47">
        <v>45559</v>
      </c>
      <c r="C548" s="87"/>
      <c r="D548" s="44"/>
      <c r="E548" s="32">
        <f t="shared" si="52"/>
        <v>587000</v>
      </c>
      <c r="G548" s="34"/>
      <c r="H548" s="34"/>
      <c r="I548" s="29"/>
      <c r="J548" s="55"/>
      <c r="K548" s="32"/>
      <c r="L548" s="61"/>
      <c r="M548" s="61"/>
      <c r="N548" s="60"/>
      <c r="O548" s="60"/>
      <c r="P548" s="60"/>
      <c r="Q548" s="60"/>
    </row>
    <row r="549" spans="1:17" s="3" customFormat="1" ht="15" customHeight="1" x14ac:dyDescent="0.25">
      <c r="A549" s="47">
        <v>45559</v>
      </c>
      <c r="B549" s="1"/>
      <c r="C549" s="88"/>
      <c r="D549" s="36"/>
      <c r="E549" s="32">
        <f t="shared" si="52"/>
        <v>587000</v>
      </c>
      <c r="F549" s="1"/>
      <c r="G549" s="34"/>
      <c r="I549" s="29"/>
      <c r="J549" s="55"/>
      <c r="K549" s="32"/>
      <c r="L549" s="60"/>
      <c r="M549" s="60"/>
      <c r="N549" s="60"/>
      <c r="O549" s="60"/>
      <c r="P549" s="60"/>
      <c r="Q549" s="60"/>
    </row>
    <row r="550" spans="1:17" s="3" customFormat="1" ht="15" customHeight="1" x14ac:dyDescent="0.25">
      <c r="A550" s="47">
        <v>45559</v>
      </c>
      <c r="B550" s="1" t="s">
        <v>143</v>
      </c>
      <c r="C550" s="89"/>
      <c r="D550" s="44"/>
      <c r="E550" s="32">
        <f t="shared" si="52"/>
        <v>587000</v>
      </c>
      <c r="F550" s="1"/>
      <c r="G550" s="34"/>
      <c r="I550" s="29"/>
      <c r="J550" s="55"/>
      <c r="K550" s="32"/>
      <c r="L550" s="60"/>
      <c r="M550" s="60"/>
      <c r="N550" s="60"/>
      <c r="O550" s="60"/>
      <c r="P550" s="60"/>
      <c r="Q550" s="60"/>
    </row>
    <row r="551" spans="1:17" s="3" customFormat="1" ht="15" customHeight="1" x14ac:dyDescent="0.25">
      <c r="A551" s="47">
        <v>45559</v>
      </c>
      <c r="B551" s="47"/>
      <c r="C551" s="90"/>
      <c r="D551" s="44"/>
      <c r="E551" s="32">
        <f t="shared" si="52"/>
        <v>587000</v>
      </c>
      <c r="F551" s="43"/>
      <c r="G551" s="34"/>
      <c r="I551" s="29"/>
      <c r="J551" s="55"/>
      <c r="K551" s="32"/>
      <c r="L551" s="60"/>
      <c r="M551" s="60"/>
      <c r="N551" s="60"/>
      <c r="O551" s="60"/>
      <c r="P551" s="60"/>
      <c r="Q551" s="60"/>
    </row>
    <row r="552" spans="1:17" s="3" customFormat="1" ht="15" customHeight="1" x14ac:dyDescent="0.25">
      <c r="A552" s="47">
        <v>45559</v>
      </c>
      <c r="B552" s="45" t="s">
        <v>136</v>
      </c>
      <c r="C552" s="86">
        <v>13000</v>
      </c>
      <c r="D552" s="44">
        <v>350000</v>
      </c>
      <c r="E552" s="32">
        <f t="shared" si="52"/>
        <v>250000</v>
      </c>
      <c r="F552" s="3">
        <f>SUM(H532:H548)</f>
        <v>250000</v>
      </c>
      <c r="G552" s="49"/>
      <c r="I552" s="29"/>
      <c r="J552" s="55"/>
      <c r="K552" s="32"/>
      <c r="L552" s="60"/>
      <c r="M552" s="60"/>
      <c r="N552" s="60"/>
      <c r="O552" s="60"/>
      <c r="P552" s="60"/>
      <c r="Q552" s="60"/>
    </row>
    <row r="553" spans="1:17" s="3" customFormat="1" ht="15" customHeight="1" x14ac:dyDescent="0.25">
      <c r="A553" s="47">
        <v>45559</v>
      </c>
      <c r="B553" s="4" t="s">
        <v>161</v>
      </c>
      <c r="C553" s="86">
        <f>SUM(C533:C552)</f>
        <v>5002500</v>
      </c>
      <c r="D553" s="33">
        <f>SUM(D534:D552)</f>
        <v>5002500</v>
      </c>
      <c r="E553" s="32"/>
      <c r="F553" s="25">
        <f>F552-E552</f>
        <v>0</v>
      </c>
      <c r="G553" s="34"/>
      <c r="I553" s="29"/>
      <c r="J553" s="55"/>
      <c r="K553" s="32"/>
      <c r="L553" s="60"/>
      <c r="M553" s="60"/>
      <c r="N553" s="60"/>
      <c r="O553" s="60"/>
      <c r="P553" s="60"/>
      <c r="Q553" s="60"/>
    </row>
    <row r="554" spans="1:17" s="3" customFormat="1" ht="15" customHeight="1" x14ac:dyDescent="0.25">
      <c r="B554" s="45"/>
      <c r="C554" s="86"/>
      <c r="D554" s="44"/>
      <c r="E554" s="32"/>
      <c r="G554" s="49"/>
      <c r="I554" s="29"/>
      <c r="J554" s="55"/>
      <c r="K554" s="32"/>
      <c r="L554" s="60"/>
      <c r="M554" s="60"/>
      <c r="N554" s="60"/>
      <c r="O554" s="60"/>
      <c r="P554" s="60"/>
      <c r="Q554" s="60"/>
    </row>
    <row r="555" spans="1:17" s="3" customFormat="1" ht="15" customHeight="1" x14ac:dyDescent="0.25">
      <c r="A555" s="47">
        <v>45560</v>
      </c>
      <c r="B555" s="1" t="s">
        <v>140</v>
      </c>
      <c r="C555" s="65"/>
      <c r="D555" s="8"/>
      <c r="E555" s="8">
        <v>250000</v>
      </c>
      <c r="F555" s="49">
        <v>100000</v>
      </c>
      <c r="G555" s="103">
        <f>2-2</f>
        <v>0</v>
      </c>
      <c r="H555" s="3">
        <f>G555*F555</f>
        <v>0</v>
      </c>
      <c r="I555" s="29"/>
      <c r="J555" s="55"/>
      <c r="K555" s="60"/>
      <c r="L555" s="60"/>
      <c r="M555" s="60"/>
      <c r="N555" s="60"/>
      <c r="O555" s="60"/>
      <c r="P555" s="60"/>
      <c r="Q555" s="60"/>
    </row>
    <row r="556" spans="1:17" s="3" customFormat="1" ht="15" customHeight="1" x14ac:dyDescent="0.25">
      <c r="A556" s="47">
        <v>45560</v>
      </c>
      <c r="B556" s="31" t="s">
        <v>138</v>
      </c>
      <c r="C556" s="73">
        <v>703000</v>
      </c>
      <c r="D556" s="44"/>
      <c r="E556" s="32">
        <f>E555+C556-D556</f>
        <v>953000</v>
      </c>
      <c r="F556" s="3">
        <v>75000</v>
      </c>
      <c r="G556" s="103"/>
      <c r="H556" s="3">
        <f t="shared" ref="H556:H565" si="53">G556*F556</f>
        <v>0</v>
      </c>
      <c r="I556" s="29"/>
      <c r="J556" s="55"/>
      <c r="K556" s="60"/>
      <c r="L556" s="60"/>
      <c r="M556" s="60"/>
      <c r="N556" s="60"/>
      <c r="O556" s="60"/>
      <c r="P556" s="60"/>
      <c r="Q556" s="60"/>
    </row>
    <row r="557" spans="1:17" s="3" customFormat="1" ht="15" customHeight="1" x14ac:dyDescent="0.25">
      <c r="A557" s="47">
        <v>45560</v>
      </c>
      <c r="B557" s="1" t="s">
        <v>155</v>
      </c>
      <c r="C557" s="73">
        <v>274000</v>
      </c>
      <c r="D557" s="44"/>
      <c r="E557" s="32">
        <f>E556+C557-D557</f>
        <v>1227000</v>
      </c>
      <c r="F557" s="34">
        <v>50000</v>
      </c>
      <c r="G557" s="103">
        <f>7-4-1</f>
        <v>2</v>
      </c>
      <c r="H557" s="3">
        <f t="shared" si="53"/>
        <v>100000</v>
      </c>
      <c r="I557" s="29"/>
      <c r="J557" s="55"/>
      <c r="K557" s="60"/>
      <c r="L557" s="60"/>
      <c r="M557" s="60"/>
      <c r="N557" s="60"/>
      <c r="O557" s="60"/>
      <c r="P557" s="60"/>
      <c r="Q557" s="60"/>
    </row>
    <row r="558" spans="1:17" s="3" customFormat="1" ht="15" customHeight="1" x14ac:dyDescent="0.25">
      <c r="A558" s="47">
        <v>45560</v>
      </c>
      <c r="B558" s="1" t="s">
        <v>156</v>
      </c>
      <c r="C558" s="73"/>
      <c r="D558" s="44"/>
      <c r="E558" s="32">
        <f t="shared" ref="E558:E564" si="54">E557+C558-D558</f>
        <v>1227000</v>
      </c>
      <c r="F558" s="34">
        <v>20000</v>
      </c>
      <c r="G558" s="103">
        <v>4</v>
      </c>
      <c r="H558" s="3">
        <f t="shared" si="53"/>
        <v>80000</v>
      </c>
      <c r="I558" s="29"/>
      <c r="J558" s="55"/>
      <c r="K558" s="60"/>
      <c r="L558" s="60"/>
      <c r="M558" s="60"/>
      <c r="N558" s="60"/>
      <c r="O558" s="60"/>
      <c r="P558" s="60"/>
      <c r="Q558" s="60"/>
    </row>
    <row r="559" spans="1:17" s="3" customFormat="1" ht="15" customHeight="1" x14ac:dyDescent="0.25">
      <c r="A559" s="47">
        <v>45560</v>
      </c>
      <c r="B559" s="1" t="s">
        <v>133</v>
      </c>
      <c r="C559" s="73">
        <v>1157000</v>
      </c>
      <c r="D559" s="44"/>
      <c r="E559" s="32">
        <f t="shared" si="54"/>
        <v>2384000</v>
      </c>
      <c r="F559" s="34">
        <v>10000</v>
      </c>
      <c r="G559" s="103">
        <v>4</v>
      </c>
      <c r="H559" s="3">
        <f t="shared" si="53"/>
        <v>40000</v>
      </c>
      <c r="I559" s="29"/>
      <c r="J559" s="55"/>
      <c r="K559" s="60"/>
      <c r="L559" s="60"/>
      <c r="M559" s="60"/>
      <c r="N559" s="60"/>
      <c r="O559" s="60"/>
      <c r="P559" s="60"/>
      <c r="Q559" s="60"/>
    </row>
    <row r="560" spans="1:17" s="3" customFormat="1" ht="15" customHeight="1" x14ac:dyDescent="0.25">
      <c r="A560" s="47">
        <v>45560</v>
      </c>
      <c r="B560" s="1" t="s">
        <v>150</v>
      </c>
      <c r="C560" s="73"/>
      <c r="D560" s="44"/>
      <c r="E560" s="32">
        <f t="shared" si="54"/>
        <v>2384000</v>
      </c>
      <c r="F560" s="34">
        <v>5000</v>
      </c>
      <c r="G560" s="103">
        <v>2</v>
      </c>
      <c r="H560" s="3">
        <f t="shared" si="53"/>
        <v>10000</v>
      </c>
      <c r="I560" s="29"/>
      <c r="J560" s="55"/>
      <c r="K560" s="60"/>
      <c r="L560" s="60"/>
      <c r="M560" s="60"/>
      <c r="N560" s="60"/>
      <c r="O560" s="60"/>
      <c r="P560" s="60"/>
      <c r="Q560" s="60"/>
    </row>
    <row r="561" spans="1:17" s="3" customFormat="1" ht="15" customHeight="1" x14ac:dyDescent="0.25">
      <c r="A561" s="47">
        <v>45560</v>
      </c>
      <c r="B561" s="1" t="s">
        <v>146</v>
      </c>
      <c r="C561" s="73">
        <v>2085000</v>
      </c>
      <c r="D561" s="44"/>
      <c r="E561" s="32">
        <f t="shared" si="54"/>
        <v>4469000</v>
      </c>
      <c r="F561" s="34">
        <v>2000</v>
      </c>
      <c r="G561" s="103">
        <v>5</v>
      </c>
      <c r="H561" s="3">
        <f t="shared" si="53"/>
        <v>10000</v>
      </c>
      <c r="I561" s="29"/>
      <c r="J561" s="55"/>
      <c r="K561" s="60"/>
      <c r="L561" s="60"/>
      <c r="M561" s="60"/>
      <c r="N561" s="60"/>
      <c r="O561" s="60"/>
      <c r="P561" s="60"/>
      <c r="Q561" s="60"/>
    </row>
    <row r="562" spans="1:17" s="3" customFormat="1" ht="15" customHeight="1" x14ac:dyDescent="0.25">
      <c r="A562" s="47">
        <v>45560</v>
      </c>
      <c r="B562" s="1" t="s">
        <v>163</v>
      </c>
      <c r="C562" s="86"/>
      <c r="D562" s="44"/>
      <c r="E562" s="32">
        <f t="shared" si="54"/>
        <v>4469000</v>
      </c>
      <c r="F562" s="34">
        <v>1000</v>
      </c>
      <c r="G562" s="103">
        <v>5</v>
      </c>
      <c r="H562" s="3">
        <f t="shared" si="53"/>
        <v>5000</v>
      </c>
      <c r="I562" s="29"/>
      <c r="J562" s="55"/>
      <c r="K562" s="60"/>
      <c r="L562" s="60"/>
      <c r="M562" s="60"/>
      <c r="N562" s="60"/>
      <c r="O562" s="60"/>
      <c r="P562" s="60"/>
      <c r="Q562" s="60"/>
    </row>
    <row r="563" spans="1:17" s="3" customFormat="1" ht="15" customHeight="1" x14ac:dyDescent="0.25">
      <c r="A563" s="47">
        <v>45560</v>
      </c>
      <c r="B563" s="1" t="s">
        <v>159</v>
      </c>
      <c r="C563" s="86">
        <v>2394000</v>
      </c>
      <c r="D563" s="44"/>
      <c r="E563" s="32">
        <f t="shared" si="54"/>
        <v>6863000</v>
      </c>
      <c r="F563" s="34">
        <v>500</v>
      </c>
      <c r="G563" s="103">
        <v>9</v>
      </c>
      <c r="H563" s="3">
        <f t="shared" si="53"/>
        <v>4500</v>
      </c>
      <c r="I563" s="29"/>
      <c r="J563" s="55"/>
      <c r="K563" s="60"/>
      <c r="L563" s="60"/>
      <c r="M563" s="60"/>
      <c r="N563" s="60"/>
      <c r="O563" s="60"/>
      <c r="P563" s="60"/>
      <c r="Q563" s="60"/>
    </row>
    <row r="564" spans="1:17" s="3" customFormat="1" ht="15" customHeight="1" x14ac:dyDescent="0.25">
      <c r="A564" s="47">
        <v>45560</v>
      </c>
      <c r="B564" s="1" t="s">
        <v>145</v>
      </c>
      <c r="C564" s="86">
        <v>569000</v>
      </c>
      <c r="D564" s="44"/>
      <c r="E564" s="32">
        <f t="shared" si="54"/>
        <v>7432000</v>
      </c>
      <c r="F564" s="34">
        <v>200</v>
      </c>
      <c r="G564" s="103">
        <v>1</v>
      </c>
      <c r="H564" s="3">
        <f t="shared" si="53"/>
        <v>200</v>
      </c>
      <c r="I564" s="29"/>
      <c r="J564" s="55"/>
      <c r="K564" s="60"/>
      <c r="L564" s="60"/>
      <c r="M564" s="60"/>
      <c r="N564" s="60"/>
      <c r="O564" s="60"/>
      <c r="P564" s="60"/>
      <c r="Q564" s="60"/>
    </row>
    <row r="565" spans="1:17" s="3" customFormat="1" ht="15" customHeight="1" x14ac:dyDescent="0.25">
      <c r="A565" s="47">
        <v>45560</v>
      </c>
      <c r="B565" s="1" t="s">
        <v>143</v>
      </c>
      <c r="C565" s="86"/>
      <c r="D565" s="44">
        <f>SUM(C557:C565)</f>
        <v>6479000</v>
      </c>
      <c r="E565" s="32">
        <f>E564+C565-D565</f>
        <v>953000</v>
      </c>
      <c r="F565" s="34">
        <v>100</v>
      </c>
      <c r="G565" s="104">
        <v>3</v>
      </c>
      <c r="H565" s="3">
        <f t="shared" si="53"/>
        <v>300</v>
      </c>
      <c r="I565" s="29"/>
      <c r="J565" s="55"/>
      <c r="K565" s="60"/>
      <c r="L565" s="60"/>
      <c r="M565" s="60"/>
      <c r="N565" s="60"/>
      <c r="O565" s="60"/>
      <c r="P565" s="60"/>
      <c r="Q565" s="60"/>
    </row>
    <row r="566" spans="1:17" s="3" customFormat="1" ht="15" customHeight="1" x14ac:dyDescent="0.25">
      <c r="A566" s="47">
        <v>45560</v>
      </c>
      <c r="B566" s="1" t="s">
        <v>160</v>
      </c>
      <c r="C566" s="86"/>
      <c r="D566" s="46"/>
      <c r="E566" s="32">
        <f t="shared" ref="E566:E575" si="55">E565+C566-D566</f>
        <v>953000</v>
      </c>
      <c r="F566" s="1"/>
      <c r="G566" s="1"/>
      <c r="H566" s="1"/>
      <c r="I566" s="29"/>
      <c r="J566" s="55"/>
      <c r="K566" s="60"/>
      <c r="L566" s="60"/>
      <c r="M566" s="60"/>
      <c r="N566" s="60"/>
      <c r="O566" s="60"/>
      <c r="P566" s="60"/>
      <c r="Q566" s="60"/>
    </row>
    <row r="567" spans="1:17" s="3" customFormat="1" ht="15" customHeight="1" x14ac:dyDescent="0.25">
      <c r="A567" s="47">
        <v>45560</v>
      </c>
      <c r="B567" s="1"/>
      <c r="C567" s="86"/>
      <c r="D567" s="44"/>
      <c r="E567" s="32">
        <f t="shared" si="55"/>
        <v>953000</v>
      </c>
      <c r="G567" s="34"/>
      <c r="H567" s="34"/>
      <c r="I567" s="29"/>
      <c r="J567" s="55"/>
      <c r="K567" s="58"/>
      <c r="L567" s="58"/>
      <c r="M567" s="58"/>
      <c r="N567" s="60"/>
      <c r="O567" s="60"/>
      <c r="P567" s="60"/>
      <c r="Q567" s="60"/>
    </row>
    <row r="568" spans="1:17" s="3" customFormat="1" ht="15" customHeight="1" x14ac:dyDescent="0.25">
      <c r="A568" s="47">
        <v>45560</v>
      </c>
      <c r="B568" s="31" t="s">
        <v>139</v>
      </c>
      <c r="C568" s="86"/>
      <c r="D568" s="44">
        <v>315000</v>
      </c>
      <c r="E568" s="32">
        <f t="shared" si="55"/>
        <v>638000</v>
      </c>
      <c r="G568" s="34"/>
      <c r="H568" s="34"/>
      <c r="I568" s="29"/>
      <c r="J568" s="55"/>
      <c r="K568" s="60"/>
      <c r="L568" s="60"/>
      <c r="M568" s="59"/>
      <c r="N568" s="60"/>
      <c r="O568" s="60"/>
      <c r="P568" s="60"/>
      <c r="Q568" s="60"/>
    </row>
    <row r="569" spans="1:17" s="3" customFormat="1" ht="15" customHeight="1" x14ac:dyDescent="0.25">
      <c r="A569" s="47">
        <v>45560</v>
      </c>
      <c r="B569" s="47"/>
      <c r="C569" s="87"/>
      <c r="D569" s="44"/>
      <c r="E569" s="32">
        <f t="shared" si="55"/>
        <v>638000</v>
      </c>
      <c r="G569" s="34"/>
      <c r="H569" s="34"/>
      <c r="I569" s="29"/>
      <c r="J569" s="55"/>
      <c r="K569" s="59"/>
      <c r="L569" s="60"/>
      <c r="M569" s="59"/>
      <c r="N569" s="60"/>
      <c r="O569" s="60"/>
      <c r="P569" s="60"/>
      <c r="Q569" s="60"/>
    </row>
    <row r="570" spans="1:17" ht="15" customHeight="1" x14ac:dyDescent="0.25">
      <c r="A570" s="47">
        <v>45560</v>
      </c>
      <c r="B570" s="82"/>
      <c r="C570" s="87"/>
      <c r="D570" s="44"/>
      <c r="E570" s="32">
        <f t="shared" si="55"/>
        <v>638000</v>
      </c>
      <c r="F570" s="3"/>
      <c r="G570" s="34"/>
      <c r="H570" s="34"/>
      <c r="I570" s="29"/>
      <c r="J570" s="55"/>
      <c r="K570" s="61"/>
      <c r="L570" s="61"/>
      <c r="M570" s="61"/>
      <c r="N570" s="60"/>
    </row>
    <row r="571" spans="1:17" ht="15" customHeight="1" x14ac:dyDescent="0.25">
      <c r="A571" s="47">
        <v>45560</v>
      </c>
      <c r="B571" s="3"/>
      <c r="C571" s="87"/>
      <c r="D571" s="44"/>
      <c r="E571" s="32">
        <f t="shared" si="55"/>
        <v>638000</v>
      </c>
      <c r="F571" s="3"/>
      <c r="G571" s="34"/>
      <c r="H571" s="34"/>
      <c r="I571" s="29"/>
      <c r="J571" s="55"/>
      <c r="K571" s="60"/>
      <c r="L571" s="60"/>
      <c r="M571" s="60"/>
      <c r="N571" s="60"/>
    </row>
    <row r="572" spans="1:17" ht="15" customHeight="1" x14ac:dyDescent="0.25">
      <c r="A572" s="47">
        <v>45560</v>
      </c>
      <c r="B572" s="1"/>
      <c r="C572" s="88"/>
      <c r="D572" s="36"/>
      <c r="E572" s="32">
        <f t="shared" si="55"/>
        <v>638000</v>
      </c>
      <c r="F572" s="1"/>
      <c r="G572" s="34"/>
      <c r="I572" s="29"/>
      <c r="J572" s="55"/>
      <c r="K572" s="60"/>
      <c r="L572" s="60"/>
      <c r="M572" s="60"/>
      <c r="N572" s="60"/>
    </row>
    <row r="573" spans="1:17" ht="15" customHeight="1" x14ac:dyDescent="0.25">
      <c r="A573" s="47">
        <v>45560</v>
      </c>
      <c r="B573" s="1" t="s">
        <v>143</v>
      </c>
      <c r="C573" s="89"/>
      <c r="D573" s="44"/>
      <c r="E573" s="32">
        <f t="shared" si="55"/>
        <v>638000</v>
      </c>
      <c r="F573" s="1"/>
      <c r="G573" s="34"/>
      <c r="I573" s="29"/>
      <c r="J573" s="55"/>
      <c r="K573" s="60"/>
      <c r="L573" s="60"/>
      <c r="M573" s="60"/>
      <c r="N573" s="60"/>
    </row>
    <row r="574" spans="1:17" ht="15" customHeight="1" x14ac:dyDescent="0.25">
      <c r="A574" s="47">
        <v>45560</v>
      </c>
      <c r="B574" s="47"/>
      <c r="C574" s="90"/>
      <c r="D574" s="44"/>
      <c r="E574" s="32">
        <f t="shared" si="55"/>
        <v>638000</v>
      </c>
      <c r="G574" s="34"/>
      <c r="I574" s="29"/>
      <c r="J574" s="55"/>
      <c r="K574" s="60"/>
      <c r="L574" s="60"/>
      <c r="M574" s="60"/>
      <c r="N574" s="60"/>
    </row>
    <row r="575" spans="1:17" ht="15" customHeight="1" x14ac:dyDescent="0.25">
      <c r="A575" s="47">
        <v>45560</v>
      </c>
      <c r="B575" s="45" t="s">
        <v>136</v>
      </c>
      <c r="C575" s="86">
        <v>12000</v>
      </c>
      <c r="D575" s="44">
        <v>400000</v>
      </c>
      <c r="E575" s="32">
        <f t="shared" si="55"/>
        <v>250000</v>
      </c>
      <c r="F575" s="3">
        <f>SUM(H555:H571)</f>
        <v>250000</v>
      </c>
      <c r="G575" s="49"/>
      <c r="I575" s="29"/>
      <c r="J575" s="55"/>
      <c r="K575" s="60"/>
      <c r="L575" s="60"/>
      <c r="M575" s="60"/>
      <c r="N575" s="60"/>
    </row>
    <row r="576" spans="1:17" ht="15" customHeight="1" x14ac:dyDescent="0.25">
      <c r="A576" s="47">
        <v>45560</v>
      </c>
      <c r="B576" s="4" t="s">
        <v>161</v>
      </c>
      <c r="C576" s="86">
        <f>SUM(C556:C575)</f>
        <v>7194000</v>
      </c>
      <c r="D576" s="33">
        <f>SUM(D557:D575)</f>
        <v>7194000</v>
      </c>
      <c r="E576" s="32"/>
      <c r="F576" s="25">
        <f>F575-E575</f>
        <v>0</v>
      </c>
      <c r="G576" s="34"/>
      <c r="I576" s="29"/>
      <c r="J576" s="55"/>
      <c r="K576" s="60"/>
      <c r="L576" s="60"/>
      <c r="M576" s="60"/>
      <c r="N576" s="60"/>
    </row>
    <row r="577" spans="1:14" ht="15" customHeight="1" x14ac:dyDescent="0.25">
      <c r="B577" s="45"/>
      <c r="C577" s="86"/>
      <c r="D577" s="44"/>
      <c r="E577" s="32"/>
      <c r="F577" s="3"/>
      <c r="G577" s="49"/>
      <c r="I577" s="29"/>
      <c r="J577" s="55"/>
      <c r="K577" s="60"/>
      <c r="L577" s="60"/>
      <c r="M577" s="60"/>
      <c r="N577" s="60"/>
    </row>
    <row r="578" spans="1:14" ht="15" customHeight="1" x14ac:dyDescent="0.25">
      <c r="A578" s="47">
        <v>45561</v>
      </c>
      <c r="B578" s="1" t="s">
        <v>140</v>
      </c>
      <c r="C578" s="65"/>
      <c r="D578" s="8"/>
      <c r="E578" s="8">
        <v>250000</v>
      </c>
      <c r="F578" s="49">
        <v>100000</v>
      </c>
      <c r="G578" s="103">
        <f>6-4-2</f>
        <v>0</v>
      </c>
      <c r="H578" s="3">
        <f>G578*F578</f>
        <v>0</v>
      </c>
      <c r="I578" s="29"/>
      <c r="J578" s="55"/>
      <c r="K578" s="60"/>
      <c r="L578" s="60"/>
      <c r="M578" s="60"/>
      <c r="N578" s="60"/>
    </row>
    <row r="579" spans="1:14" ht="15" customHeight="1" x14ac:dyDescent="0.25">
      <c r="A579" s="47">
        <v>45561</v>
      </c>
      <c r="B579" s="31" t="s">
        <v>138</v>
      </c>
      <c r="C579" s="73">
        <v>820000</v>
      </c>
      <c r="D579" s="44"/>
      <c r="E579" s="32">
        <f>E578+C579-D579</f>
        <v>1070000</v>
      </c>
      <c r="F579" s="3">
        <v>75000</v>
      </c>
      <c r="G579" s="103"/>
      <c r="H579" s="3">
        <f t="shared" ref="H579:H588" si="56">G579*F579</f>
        <v>0</v>
      </c>
      <c r="I579" s="29"/>
      <c r="J579" s="55"/>
      <c r="K579" s="60"/>
      <c r="L579" s="60"/>
      <c r="M579" s="60"/>
      <c r="N579" s="60"/>
    </row>
    <row r="580" spans="1:14" ht="15" customHeight="1" x14ac:dyDescent="0.25">
      <c r="A580" s="47">
        <v>45561</v>
      </c>
      <c r="B580" s="1" t="s">
        <v>155</v>
      </c>
      <c r="C580" s="73">
        <v>959600</v>
      </c>
      <c r="D580" s="44"/>
      <c r="E580" s="32">
        <f>E579+C580-D580</f>
        <v>2029600</v>
      </c>
      <c r="F580" s="34">
        <v>50000</v>
      </c>
      <c r="G580" s="103">
        <f>1-1+4</f>
        <v>4</v>
      </c>
      <c r="H580" s="3">
        <f t="shared" si="56"/>
        <v>200000</v>
      </c>
      <c r="I580" s="29"/>
      <c r="J580" s="55"/>
      <c r="K580" s="60"/>
      <c r="L580" s="60"/>
      <c r="M580" s="60"/>
      <c r="N580" s="60"/>
    </row>
    <row r="581" spans="1:14" ht="15" customHeight="1" x14ac:dyDescent="0.25">
      <c r="A581" s="47">
        <v>45561</v>
      </c>
      <c r="B581" s="1" t="s">
        <v>156</v>
      </c>
      <c r="C581" s="73">
        <v>228000</v>
      </c>
      <c r="D581" s="44"/>
      <c r="E581" s="32">
        <f t="shared" ref="E581:E587" si="57">E580+C581-D581</f>
        <v>2257600</v>
      </c>
      <c r="F581" s="34">
        <v>20000</v>
      </c>
      <c r="G581" s="103"/>
      <c r="H581" s="3">
        <f t="shared" si="56"/>
        <v>0</v>
      </c>
      <c r="I581" s="29"/>
      <c r="J581" s="55"/>
      <c r="K581" s="60"/>
      <c r="L581" s="60"/>
      <c r="M581" s="60"/>
      <c r="N581" s="60"/>
    </row>
    <row r="582" spans="1:14" ht="15" customHeight="1" x14ac:dyDescent="0.25">
      <c r="A582" s="47">
        <v>45561</v>
      </c>
      <c r="B582" s="1" t="s">
        <v>133</v>
      </c>
      <c r="C582" s="73">
        <v>1143000</v>
      </c>
      <c r="D582" s="44"/>
      <c r="E582" s="32">
        <f t="shared" si="57"/>
        <v>3400600</v>
      </c>
      <c r="F582" s="34">
        <v>10000</v>
      </c>
      <c r="G582" s="103">
        <v>2</v>
      </c>
      <c r="H582" s="3">
        <f t="shared" si="56"/>
        <v>20000</v>
      </c>
      <c r="I582" s="29"/>
      <c r="J582" s="55"/>
      <c r="K582" s="60"/>
      <c r="L582" s="60"/>
      <c r="M582" s="60"/>
      <c r="N582" s="60"/>
    </row>
    <row r="583" spans="1:14" ht="15" customHeight="1" x14ac:dyDescent="0.25">
      <c r="A583" s="47">
        <v>45561</v>
      </c>
      <c r="B583" s="1" t="s">
        <v>150</v>
      </c>
      <c r="C583" s="73"/>
      <c r="D583" s="44"/>
      <c r="E583" s="32">
        <f t="shared" si="57"/>
        <v>3400600</v>
      </c>
      <c r="F583" s="34">
        <v>5000</v>
      </c>
      <c r="G583" s="103">
        <v>3</v>
      </c>
      <c r="H583" s="3">
        <f t="shared" si="56"/>
        <v>15000</v>
      </c>
      <c r="I583" s="29"/>
      <c r="J583" s="55"/>
      <c r="K583" s="60"/>
      <c r="L583" s="60"/>
      <c r="M583" s="60"/>
      <c r="N583" s="60"/>
    </row>
    <row r="584" spans="1:14" ht="15" customHeight="1" x14ac:dyDescent="0.25">
      <c r="A584" s="47">
        <v>45561</v>
      </c>
      <c r="B584" s="1" t="s">
        <v>146</v>
      </c>
      <c r="C584" s="73">
        <v>3367500</v>
      </c>
      <c r="D584" s="44"/>
      <c r="E584" s="32">
        <f t="shared" si="57"/>
        <v>6768100</v>
      </c>
      <c r="F584" s="34">
        <v>2000</v>
      </c>
      <c r="G584" s="103">
        <v>6</v>
      </c>
      <c r="H584" s="3">
        <f t="shared" si="56"/>
        <v>12000</v>
      </c>
      <c r="I584" s="29"/>
      <c r="J584" s="55"/>
      <c r="K584" s="60"/>
      <c r="L584" s="60"/>
      <c r="M584" s="60"/>
      <c r="N584" s="60"/>
    </row>
    <row r="585" spans="1:14" ht="15" customHeight="1" x14ac:dyDescent="0.25">
      <c r="A585" s="47">
        <v>45561</v>
      </c>
      <c r="B585" s="1" t="s">
        <v>163</v>
      </c>
      <c r="C585" s="86"/>
      <c r="D585" s="44"/>
      <c r="E585" s="32">
        <f t="shared" si="57"/>
        <v>6768100</v>
      </c>
      <c r="F585" s="34">
        <v>1000</v>
      </c>
      <c r="G585" s="103">
        <v>3</v>
      </c>
      <c r="H585" s="3">
        <f t="shared" si="56"/>
        <v>3000</v>
      </c>
      <c r="I585" s="29"/>
      <c r="J585" s="55"/>
      <c r="K585" s="60"/>
      <c r="L585" s="60"/>
      <c r="M585" s="60"/>
      <c r="N585" s="60"/>
    </row>
    <row r="586" spans="1:14" ht="15" customHeight="1" x14ac:dyDescent="0.25">
      <c r="A586" s="47">
        <v>45561</v>
      </c>
      <c r="B586" s="1" t="s">
        <v>159</v>
      </c>
      <c r="C586" s="86">
        <v>1958000</v>
      </c>
      <c r="D586" s="44"/>
      <c r="E586" s="32">
        <f t="shared" si="57"/>
        <v>8726100</v>
      </c>
      <c r="F586" s="34">
        <v>500</v>
      </c>
      <c r="G586" s="103">
        <f>1-1</f>
        <v>0</v>
      </c>
      <c r="H586" s="3">
        <f t="shared" si="56"/>
        <v>0</v>
      </c>
      <c r="I586" s="29"/>
      <c r="J586" s="55"/>
      <c r="K586" s="60"/>
      <c r="L586" s="60"/>
      <c r="M586" s="60"/>
      <c r="N586" s="60"/>
    </row>
    <row r="587" spans="1:14" ht="15" customHeight="1" x14ac:dyDescent="0.25">
      <c r="A587" s="47">
        <v>45561</v>
      </c>
      <c r="B587" s="1" t="s">
        <v>145</v>
      </c>
      <c r="C587" s="86"/>
      <c r="D587" s="44"/>
      <c r="E587" s="32">
        <f t="shared" si="57"/>
        <v>8726100</v>
      </c>
      <c r="F587" s="34">
        <v>200</v>
      </c>
      <c r="G587" s="103"/>
      <c r="H587" s="3">
        <f t="shared" si="56"/>
        <v>0</v>
      </c>
      <c r="I587" s="29"/>
      <c r="J587" s="55"/>
      <c r="K587" s="60"/>
      <c r="L587" s="60"/>
      <c r="M587" s="60"/>
      <c r="N587" s="60"/>
    </row>
    <row r="588" spans="1:14" ht="15" customHeight="1" x14ac:dyDescent="0.25">
      <c r="A588" s="47">
        <v>45561</v>
      </c>
      <c r="B588" s="1" t="s">
        <v>143</v>
      </c>
      <c r="C588" s="86"/>
      <c r="D588" s="44">
        <f>SUM(C580:C588)</f>
        <v>7656100</v>
      </c>
      <c r="E588" s="32">
        <f>E587+C588-D588</f>
        <v>1070000</v>
      </c>
      <c r="F588" s="34">
        <v>100</v>
      </c>
      <c r="G588" s="104"/>
      <c r="H588" s="3">
        <f t="shared" si="56"/>
        <v>0</v>
      </c>
      <c r="I588" s="29"/>
      <c r="J588" s="55"/>
      <c r="K588" s="60"/>
      <c r="L588" s="60"/>
      <c r="M588" s="60"/>
      <c r="N588" s="60"/>
    </row>
    <row r="589" spans="1:14" ht="15" customHeight="1" x14ac:dyDescent="0.25">
      <c r="A589" s="47">
        <v>45561</v>
      </c>
      <c r="B589" s="1" t="s">
        <v>160</v>
      </c>
      <c r="C589" s="86">
        <v>-6000</v>
      </c>
      <c r="D589" s="46"/>
      <c r="E589" s="32">
        <f t="shared" ref="E589:E598" si="58">E588+C589-D589</f>
        <v>1064000</v>
      </c>
      <c r="F589" s="1"/>
      <c r="G589" s="1"/>
      <c r="H589" s="1"/>
      <c r="I589" s="29"/>
      <c r="J589" s="55"/>
      <c r="K589" s="58"/>
      <c r="L589" s="58"/>
      <c r="M589" s="58"/>
      <c r="N589" s="60"/>
    </row>
    <row r="590" spans="1:14" ht="15" customHeight="1" x14ac:dyDescent="0.25">
      <c r="A590" s="47">
        <v>45561</v>
      </c>
      <c r="B590" s="1"/>
      <c r="C590" s="86"/>
      <c r="D590" s="44"/>
      <c r="E590" s="32">
        <f t="shared" si="58"/>
        <v>1064000</v>
      </c>
      <c r="F590" s="3"/>
      <c r="G590" s="34"/>
      <c r="H590" s="34"/>
      <c r="I590" s="29"/>
      <c r="J590" s="55"/>
      <c r="K590" s="60"/>
      <c r="L590" s="60"/>
      <c r="M590" s="59"/>
      <c r="N590" s="60"/>
    </row>
    <row r="591" spans="1:14" ht="15" customHeight="1" x14ac:dyDescent="0.25">
      <c r="A591" s="47">
        <v>45561</v>
      </c>
      <c r="B591" s="31" t="s">
        <v>139</v>
      </c>
      <c r="C591" s="86">
        <v>100000</v>
      </c>
      <c r="D591" s="44">
        <f>392900+86600-6000</f>
        <v>473500</v>
      </c>
      <c r="E591" s="32">
        <f t="shared" si="58"/>
        <v>690500</v>
      </c>
      <c r="F591" s="3"/>
      <c r="G591" s="34"/>
      <c r="H591" s="34"/>
      <c r="I591" s="29"/>
      <c r="J591" s="55"/>
      <c r="K591" s="60"/>
      <c r="L591" s="60"/>
      <c r="M591" s="60"/>
      <c r="N591" s="60"/>
    </row>
    <row r="592" spans="1:14" ht="15" customHeight="1" x14ac:dyDescent="0.25">
      <c r="A592" s="47">
        <v>45561</v>
      </c>
      <c r="B592" s="47"/>
      <c r="C592" s="87"/>
      <c r="D592" s="44"/>
      <c r="E592" s="32">
        <f t="shared" si="58"/>
        <v>690500</v>
      </c>
      <c r="F592" s="3"/>
      <c r="G592" s="34"/>
      <c r="H592" s="34"/>
      <c r="I592" s="29"/>
      <c r="J592" s="55"/>
      <c r="K592" s="60"/>
      <c r="L592" s="60"/>
      <c r="M592" s="60"/>
      <c r="N592" s="60"/>
    </row>
    <row r="593" spans="1:14" ht="15" customHeight="1" x14ac:dyDescent="0.25">
      <c r="A593" s="47">
        <v>45561</v>
      </c>
      <c r="B593" s="82"/>
      <c r="C593" s="87"/>
      <c r="D593" s="44"/>
      <c r="E593" s="32">
        <f t="shared" si="58"/>
        <v>690500</v>
      </c>
      <c r="F593" s="3"/>
      <c r="G593" s="34"/>
      <c r="H593" s="34"/>
      <c r="I593" s="29"/>
      <c r="J593" s="55"/>
      <c r="K593" s="60"/>
      <c r="L593" s="60"/>
      <c r="M593" s="60"/>
      <c r="N593" s="60"/>
    </row>
    <row r="594" spans="1:14" ht="15" customHeight="1" x14ac:dyDescent="0.25">
      <c r="A594" s="47">
        <v>45561</v>
      </c>
      <c r="B594" s="3"/>
      <c r="C594" s="87"/>
      <c r="D594" s="44"/>
      <c r="E594" s="32">
        <f t="shared" si="58"/>
        <v>690500</v>
      </c>
      <c r="F594" s="3"/>
      <c r="G594" s="34"/>
      <c r="H594" s="34"/>
      <c r="I594" s="29"/>
      <c r="J594" s="55"/>
      <c r="K594" s="60"/>
      <c r="L594" s="60"/>
      <c r="M594" s="60"/>
      <c r="N594" s="60"/>
    </row>
    <row r="595" spans="1:14" ht="15" customHeight="1" x14ac:dyDescent="0.25">
      <c r="A595" s="47">
        <v>45561</v>
      </c>
      <c r="B595" s="1"/>
      <c r="C595" s="88"/>
      <c r="D595" s="36"/>
      <c r="E595" s="32">
        <f t="shared" si="58"/>
        <v>690500</v>
      </c>
      <c r="F595" s="1"/>
      <c r="G595" s="34"/>
      <c r="I595" s="29"/>
      <c r="J595" s="55"/>
      <c r="K595" s="61"/>
      <c r="L595" s="61"/>
      <c r="M595" s="61"/>
      <c r="N595" s="60"/>
    </row>
    <row r="596" spans="1:14" ht="15" customHeight="1" x14ac:dyDescent="0.25">
      <c r="A596" s="47">
        <v>45561</v>
      </c>
      <c r="B596" s="1" t="s">
        <v>143</v>
      </c>
      <c r="C596" s="89"/>
      <c r="D596" s="44"/>
      <c r="E596" s="32">
        <f t="shared" si="58"/>
        <v>690500</v>
      </c>
      <c r="F596" s="1"/>
      <c r="G596" s="34"/>
      <c r="I596" s="29"/>
      <c r="J596" s="55"/>
      <c r="K596" s="60"/>
      <c r="L596" s="60"/>
      <c r="M596" s="59"/>
      <c r="N596" s="60"/>
    </row>
    <row r="597" spans="1:14" ht="15" customHeight="1" x14ac:dyDescent="0.25">
      <c r="A597" s="47">
        <v>45561</v>
      </c>
      <c r="B597" s="47"/>
      <c r="C597" s="90"/>
      <c r="D597" s="44"/>
      <c r="E597" s="32">
        <f t="shared" si="58"/>
        <v>690500</v>
      </c>
      <c r="G597" s="34"/>
      <c r="I597" s="29"/>
      <c r="J597" s="55"/>
      <c r="K597" s="60"/>
      <c r="L597" s="60"/>
      <c r="M597" s="59"/>
      <c r="N597" s="60"/>
    </row>
    <row r="598" spans="1:14" ht="15" customHeight="1" x14ac:dyDescent="0.25">
      <c r="A598" s="47">
        <v>45561</v>
      </c>
      <c r="B598" s="45" t="s">
        <v>136</v>
      </c>
      <c r="C598" s="86">
        <v>10000</v>
      </c>
      <c r="D598" s="44">
        <v>450500</v>
      </c>
      <c r="E598" s="32">
        <f t="shared" si="58"/>
        <v>250000</v>
      </c>
      <c r="F598" s="3">
        <f>SUM(H578:H594)</f>
        <v>250000</v>
      </c>
      <c r="G598" s="49"/>
      <c r="I598" s="29"/>
      <c r="J598" s="55"/>
      <c r="K598" s="59"/>
      <c r="L598" s="60"/>
      <c r="M598" s="59"/>
      <c r="N598" s="60"/>
    </row>
    <row r="599" spans="1:14" ht="15" customHeight="1" x14ac:dyDescent="0.25">
      <c r="A599" s="47">
        <v>45561</v>
      </c>
      <c r="B599" s="4" t="s">
        <v>161</v>
      </c>
      <c r="C599" s="86">
        <f>SUM(C579:C598)</f>
        <v>8580100</v>
      </c>
      <c r="D599" s="33">
        <f>SUM(D580:D598)</f>
        <v>8580100</v>
      </c>
      <c r="E599" s="32"/>
      <c r="F599" s="25">
        <f>F598-E598</f>
        <v>0</v>
      </c>
      <c r="G599" s="34"/>
      <c r="I599" s="29"/>
      <c r="J599" s="55"/>
      <c r="K599" s="59"/>
      <c r="L599" s="59"/>
      <c r="M599" s="59"/>
      <c r="N599" s="60"/>
    </row>
    <row r="600" spans="1:14" ht="15" customHeight="1" x14ac:dyDescent="0.25">
      <c r="B600" s="45"/>
      <c r="C600" s="86"/>
      <c r="D600" s="44"/>
      <c r="E600" s="32"/>
      <c r="F600" s="3"/>
      <c r="G600" s="49"/>
      <c r="I600" s="29"/>
      <c r="J600" s="55"/>
      <c r="K600" s="60"/>
      <c r="L600" s="60"/>
      <c r="M600" s="60"/>
      <c r="N600" s="60"/>
    </row>
    <row r="601" spans="1:14" ht="15" customHeight="1" x14ac:dyDescent="0.25">
      <c r="A601" s="47">
        <v>45562</v>
      </c>
      <c r="B601" s="1" t="s">
        <v>140</v>
      </c>
      <c r="C601" s="65"/>
      <c r="D601" s="8"/>
      <c r="E601" s="8">
        <v>250000</v>
      </c>
      <c r="F601" s="49">
        <v>100000</v>
      </c>
      <c r="G601" s="103">
        <v>2</v>
      </c>
      <c r="H601" s="3">
        <f>G601*F601</f>
        <v>200000</v>
      </c>
      <c r="I601" s="29"/>
      <c r="J601" s="55"/>
      <c r="K601" s="60"/>
      <c r="L601" s="60"/>
      <c r="M601" s="60"/>
      <c r="N601" s="60"/>
    </row>
    <row r="602" spans="1:14" ht="15" customHeight="1" x14ac:dyDescent="0.25">
      <c r="A602" s="47">
        <v>45562</v>
      </c>
      <c r="B602" s="31" t="s">
        <v>138</v>
      </c>
      <c r="C602" s="73">
        <v>361000</v>
      </c>
      <c r="D602" s="44"/>
      <c r="E602" s="32">
        <f>E601+C602-D602</f>
        <v>611000</v>
      </c>
      <c r="F602" s="3">
        <v>75000</v>
      </c>
      <c r="G602" s="103"/>
      <c r="H602" s="3">
        <f t="shared" ref="H602:H611" si="59">G602*F602</f>
        <v>0</v>
      </c>
      <c r="I602" s="29"/>
      <c r="J602" s="55"/>
      <c r="K602" s="60"/>
      <c r="L602" s="60"/>
      <c r="M602" s="60"/>
      <c r="N602" s="60"/>
    </row>
    <row r="603" spans="1:14" ht="15" customHeight="1" x14ac:dyDescent="0.25">
      <c r="A603" s="47">
        <v>45562</v>
      </c>
      <c r="B603" s="1" t="s">
        <v>155</v>
      </c>
      <c r="C603" s="73">
        <v>301000</v>
      </c>
      <c r="D603" s="44"/>
      <c r="E603" s="32">
        <f>E602+C603-D603</f>
        <v>912000</v>
      </c>
      <c r="F603" s="34">
        <v>50000</v>
      </c>
      <c r="G603" s="103">
        <v>1</v>
      </c>
      <c r="H603" s="3">
        <f t="shared" si="59"/>
        <v>50000</v>
      </c>
      <c r="I603" s="29"/>
      <c r="J603" s="55"/>
      <c r="K603" s="60"/>
      <c r="L603" s="60"/>
      <c r="M603" s="60"/>
      <c r="N603" s="60"/>
    </row>
    <row r="604" spans="1:14" ht="15" customHeight="1" x14ac:dyDescent="0.25">
      <c r="A604" s="47">
        <v>45562</v>
      </c>
      <c r="B604" s="1" t="s">
        <v>156</v>
      </c>
      <c r="C604" s="73"/>
      <c r="D604" s="44"/>
      <c r="E604" s="32">
        <f t="shared" ref="E604:E610" si="60">E603+C604-D604</f>
        <v>912000</v>
      </c>
      <c r="F604" s="34">
        <v>20000</v>
      </c>
      <c r="G604" s="103">
        <v>1</v>
      </c>
      <c r="H604" s="3">
        <f t="shared" si="59"/>
        <v>20000</v>
      </c>
      <c r="I604" s="29"/>
      <c r="J604" s="55"/>
      <c r="K604" s="60"/>
      <c r="L604" s="60"/>
      <c r="M604" s="60"/>
      <c r="N604" s="60"/>
    </row>
    <row r="605" spans="1:14" ht="15" customHeight="1" x14ac:dyDescent="0.25">
      <c r="A605" s="47">
        <v>45562</v>
      </c>
      <c r="B605" s="1" t="s">
        <v>133</v>
      </c>
      <c r="C605" s="73">
        <v>2187000</v>
      </c>
      <c r="D605" s="44"/>
      <c r="E605" s="32">
        <f t="shared" si="60"/>
        <v>3099000</v>
      </c>
      <c r="F605" s="34">
        <v>10000</v>
      </c>
      <c r="G605" s="103"/>
      <c r="H605" s="3">
        <f t="shared" si="59"/>
        <v>0</v>
      </c>
      <c r="I605" s="29"/>
      <c r="J605" s="55"/>
      <c r="K605" s="60"/>
      <c r="L605" s="60"/>
      <c r="M605" s="60"/>
      <c r="N605" s="60"/>
    </row>
    <row r="606" spans="1:14" ht="15" customHeight="1" x14ac:dyDescent="0.25">
      <c r="A606" s="47">
        <v>45562</v>
      </c>
      <c r="B606" s="1" t="s">
        <v>150</v>
      </c>
      <c r="C606" s="73"/>
      <c r="D606" s="44"/>
      <c r="E606" s="32">
        <f t="shared" si="60"/>
        <v>3099000</v>
      </c>
      <c r="F606" s="34">
        <v>5000</v>
      </c>
      <c r="G606" s="103">
        <v>5</v>
      </c>
      <c r="H606" s="3">
        <f t="shared" si="59"/>
        <v>25000</v>
      </c>
      <c r="I606" s="29"/>
      <c r="J606" s="55"/>
      <c r="K606" s="60"/>
      <c r="L606" s="60"/>
      <c r="M606" s="60"/>
      <c r="N606" s="60"/>
    </row>
    <row r="607" spans="1:14" ht="15" customHeight="1" x14ac:dyDescent="0.25">
      <c r="A607" s="47">
        <v>45562</v>
      </c>
      <c r="B607" s="1" t="s">
        <v>146</v>
      </c>
      <c r="C607" s="73">
        <f>5474000+150000</f>
        <v>5624000</v>
      </c>
      <c r="D607" s="44"/>
      <c r="E607" s="32">
        <f t="shared" si="60"/>
        <v>8723000</v>
      </c>
      <c r="F607" s="34">
        <v>2000</v>
      </c>
      <c r="G607" s="103">
        <v>1</v>
      </c>
      <c r="H607" s="3">
        <f t="shared" si="59"/>
        <v>2000</v>
      </c>
      <c r="I607" s="29"/>
      <c r="J607" s="55"/>
      <c r="K607" s="60"/>
      <c r="L607" s="60"/>
      <c r="M607" s="60"/>
      <c r="N607" s="60"/>
    </row>
    <row r="608" spans="1:14" ht="15" customHeight="1" x14ac:dyDescent="0.25">
      <c r="A608" s="47">
        <v>45562</v>
      </c>
      <c r="B608" s="1" t="s">
        <v>163</v>
      </c>
      <c r="C608" s="86"/>
      <c r="D608" s="44"/>
      <c r="E608" s="32">
        <f t="shared" si="60"/>
        <v>8723000</v>
      </c>
      <c r="F608" s="34">
        <v>1000</v>
      </c>
      <c r="G608" s="103">
        <v>2</v>
      </c>
      <c r="H608" s="3">
        <f t="shared" si="59"/>
        <v>2000</v>
      </c>
      <c r="I608" s="29"/>
      <c r="J608" s="55"/>
      <c r="K608" s="60"/>
      <c r="L608" s="60"/>
      <c r="M608" s="60"/>
      <c r="N608" s="60"/>
    </row>
    <row r="609" spans="1:13" ht="15" customHeight="1" x14ac:dyDescent="0.25">
      <c r="A609" s="47">
        <v>45562</v>
      </c>
      <c r="B609" s="1" t="s">
        <v>159</v>
      </c>
      <c r="C609" s="86">
        <v>2064000</v>
      </c>
      <c r="D609" s="44"/>
      <c r="E609" s="32">
        <f t="shared" si="60"/>
        <v>10787000</v>
      </c>
      <c r="F609" s="34">
        <v>500</v>
      </c>
      <c r="G609" s="103">
        <v>2</v>
      </c>
      <c r="H609" s="3">
        <f t="shared" si="59"/>
        <v>1000</v>
      </c>
      <c r="I609" s="29"/>
      <c r="J609" s="55"/>
      <c r="K609" s="60"/>
      <c r="L609" s="60"/>
      <c r="M609" s="60"/>
    </row>
    <row r="610" spans="1:13" ht="15" customHeight="1" x14ac:dyDescent="0.25">
      <c r="A610" s="47">
        <v>45562</v>
      </c>
      <c r="B610" s="1" t="s">
        <v>145</v>
      </c>
      <c r="C610" s="86"/>
      <c r="D610" s="44"/>
      <c r="E610" s="32">
        <f t="shared" si="60"/>
        <v>10787000</v>
      </c>
      <c r="F610" s="34">
        <v>200</v>
      </c>
      <c r="G610" s="103"/>
      <c r="H610" s="3">
        <f t="shared" si="59"/>
        <v>0</v>
      </c>
      <c r="I610" s="29"/>
      <c r="J610" s="55"/>
      <c r="K610" s="60"/>
      <c r="L610" s="60"/>
      <c r="M610" s="60"/>
    </row>
    <row r="611" spans="1:13" ht="15" customHeight="1" x14ac:dyDescent="0.25">
      <c r="A611" s="47">
        <v>45562</v>
      </c>
      <c r="B611" s="1" t="s">
        <v>143</v>
      </c>
      <c r="C611" s="86"/>
      <c r="D611" s="44">
        <f>SUM(C603:C611)</f>
        <v>10176000</v>
      </c>
      <c r="E611" s="32">
        <f>E610+C611-D611</f>
        <v>611000</v>
      </c>
      <c r="F611" s="34">
        <v>100</v>
      </c>
      <c r="G611" s="104"/>
      <c r="H611" s="3">
        <f t="shared" si="59"/>
        <v>0</v>
      </c>
      <c r="I611" s="29"/>
      <c r="J611" s="55"/>
      <c r="K611" s="60"/>
      <c r="L611" s="60"/>
      <c r="M611" s="60"/>
    </row>
    <row r="612" spans="1:13" ht="15" customHeight="1" x14ac:dyDescent="0.25">
      <c r="A612" s="47">
        <v>45562</v>
      </c>
      <c r="B612" s="1" t="s">
        <v>160</v>
      </c>
      <c r="C612" s="86"/>
      <c r="D612" s="46"/>
      <c r="E612" s="32">
        <f t="shared" ref="E612:E621" si="61">E611+C612-D612</f>
        <v>611000</v>
      </c>
      <c r="F612" s="1"/>
      <c r="G612" s="1"/>
      <c r="H612" s="1"/>
      <c r="I612" s="29"/>
      <c r="J612" s="55"/>
      <c r="K612" s="61"/>
      <c r="L612" s="61"/>
      <c r="M612" s="72"/>
    </row>
    <row r="613" spans="1:13" ht="15" customHeight="1" x14ac:dyDescent="0.25">
      <c r="A613" s="47">
        <v>45562</v>
      </c>
      <c r="B613" s="1"/>
      <c r="C613" s="86"/>
      <c r="D613" s="44"/>
      <c r="E613" s="32">
        <f t="shared" si="61"/>
        <v>611000</v>
      </c>
      <c r="F613" s="3"/>
      <c r="G613" s="34"/>
      <c r="H613" s="34"/>
      <c r="I613" s="29"/>
      <c r="J613" s="55"/>
      <c r="K613" s="60"/>
      <c r="L613" s="60"/>
      <c r="M613" s="70"/>
    </row>
    <row r="614" spans="1:13" ht="15" customHeight="1" x14ac:dyDescent="0.25">
      <c r="A614" s="47">
        <v>45562</v>
      </c>
      <c r="B614" s="31" t="s">
        <v>139</v>
      </c>
      <c r="C614" s="86"/>
      <c r="D614" s="44">
        <v>338000</v>
      </c>
      <c r="E614" s="32">
        <f t="shared" si="61"/>
        <v>273000</v>
      </c>
      <c r="F614" s="3"/>
      <c r="G614" s="34"/>
      <c r="H614" s="34"/>
      <c r="I614" s="29"/>
      <c r="J614" s="55"/>
      <c r="K614" s="60"/>
      <c r="L614" s="60"/>
      <c r="M614" s="70"/>
    </row>
    <row r="615" spans="1:13" ht="15" customHeight="1" x14ac:dyDescent="0.25">
      <c r="A615" s="47">
        <v>45562</v>
      </c>
      <c r="B615" s="47"/>
      <c r="C615" s="87"/>
      <c r="D615" s="44"/>
      <c r="E615" s="32">
        <f t="shared" si="61"/>
        <v>273000</v>
      </c>
      <c r="F615" s="3"/>
      <c r="G615" s="34"/>
      <c r="H615" s="34"/>
      <c r="I615" s="29"/>
      <c r="J615" s="55"/>
      <c r="K615" s="59"/>
      <c r="L615" s="60"/>
      <c r="M615" s="70"/>
    </row>
    <row r="616" spans="1:13" ht="15" customHeight="1" x14ac:dyDescent="0.25">
      <c r="A616" s="47">
        <v>45562</v>
      </c>
      <c r="B616" s="82"/>
      <c r="C616" s="87"/>
      <c r="D616" s="44"/>
      <c r="E616" s="32">
        <f t="shared" si="61"/>
        <v>273000</v>
      </c>
      <c r="F616" s="3"/>
      <c r="G616" s="34"/>
      <c r="H616" s="34"/>
      <c r="I616" s="29"/>
      <c r="J616" s="55"/>
      <c r="K616" s="59"/>
      <c r="L616" s="59"/>
      <c r="M616" s="70"/>
    </row>
    <row r="617" spans="1:13" ht="15" customHeight="1" x14ac:dyDescent="0.25">
      <c r="A617" s="47">
        <v>45562</v>
      </c>
      <c r="B617" s="3"/>
      <c r="C617" s="87"/>
      <c r="D617" s="44"/>
      <c r="E617" s="32">
        <f t="shared" si="61"/>
        <v>273000</v>
      </c>
      <c r="F617" s="3"/>
      <c r="G617" s="34"/>
      <c r="H617" s="34"/>
      <c r="I617" s="29"/>
      <c r="J617" s="55"/>
      <c r="K617" s="59"/>
      <c r="L617" s="59"/>
      <c r="M617" s="59"/>
    </row>
    <row r="618" spans="1:13" ht="15" customHeight="1" x14ac:dyDescent="0.25">
      <c r="A618" s="47">
        <v>45562</v>
      </c>
      <c r="B618" s="1"/>
      <c r="C618" s="88"/>
      <c r="D618" s="36"/>
      <c r="E618" s="32">
        <f t="shared" si="61"/>
        <v>273000</v>
      </c>
      <c r="F618" s="1"/>
      <c r="G618" s="34"/>
      <c r="I618" s="29"/>
      <c r="J618" s="55"/>
      <c r="K618" s="60"/>
      <c r="L618" s="60"/>
      <c r="M618" s="60"/>
    </row>
    <row r="619" spans="1:13" ht="15" customHeight="1" x14ac:dyDescent="0.25">
      <c r="A619" s="47">
        <v>45562</v>
      </c>
      <c r="B619" s="1" t="s">
        <v>143</v>
      </c>
      <c r="C619" s="89"/>
      <c r="D619" s="44"/>
      <c r="E619" s="32">
        <f t="shared" si="61"/>
        <v>273000</v>
      </c>
      <c r="F619" s="1"/>
      <c r="G619" s="34"/>
      <c r="I619" s="29"/>
      <c r="J619" s="55"/>
      <c r="K619" s="60"/>
      <c r="L619" s="60"/>
      <c r="M619" s="60"/>
    </row>
    <row r="620" spans="1:13" ht="15" customHeight="1" x14ac:dyDescent="0.25">
      <c r="A620" s="47">
        <v>45562</v>
      </c>
      <c r="B620" s="47"/>
      <c r="C620" s="90"/>
      <c r="D620" s="44"/>
      <c r="E620" s="32">
        <f t="shared" si="61"/>
        <v>273000</v>
      </c>
      <c r="G620" s="34"/>
      <c r="I620" s="29"/>
      <c r="J620" s="55"/>
      <c r="K620" s="60"/>
      <c r="L620" s="60"/>
      <c r="M620" s="60"/>
    </row>
    <row r="621" spans="1:13" ht="15" customHeight="1" x14ac:dyDescent="0.25">
      <c r="A621" s="47">
        <v>45562</v>
      </c>
      <c r="B621" s="45" t="s">
        <v>136</v>
      </c>
      <c r="C621" s="86">
        <v>29500</v>
      </c>
      <c r="D621" s="44"/>
      <c r="E621" s="32">
        <f t="shared" si="61"/>
        <v>302500</v>
      </c>
      <c r="F621" s="3">
        <f>SUM(H601:H617)</f>
        <v>300000</v>
      </c>
      <c r="G621" s="49"/>
      <c r="I621" s="29"/>
      <c r="J621" s="55"/>
      <c r="K621" s="61"/>
      <c r="L621" s="61"/>
      <c r="M621" s="61"/>
    </row>
    <row r="622" spans="1:13" ht="15" customHeight="1" x14ac:dyDescent="0.25">
      <c r="A622" s="47">
        <v>45562</v>
      </c>
      <c r="B622" s="4" t="s">
        <v>161</v>
      </c>
      <c r="C622" s="86">
        <f>SUM(C602:C621)</f>
        <v>10566500</v>
      </c>
      <c r="D622" s="33">
        <f>SUM(D603:D621)</f>
        <v>10514000</v>
      </c>
      <c r="E622" s="32"/>
      <c r="F622" s="25">
        <f>F621-E621</f>
        <v>-2500</v>
      </c>
      <c r="G622" s="34"/>
      <c r="I622" s="29"/>
      <c r="J622" s="55"/>
      <c r="K622" s="60"/>
      <c r="L622" s="60"/>
      <c r="M622" s="62"/>
    </row>
    <row r="623" spans="1:13" ht="15" customHeight="1" x14ac:dyDescent="0.25">
      <c r="B623" s="45"/>
      <c r="C623" s="86"/>
      <c r="D623" s="44"/>
      <c r="E623" s="32"/>
      <c r="F623" s="3"/>
      <c r="G623" s="49"/>
      <c r="I623" s="29"/>
      <c r="J623" s="55"/>
      <c r="K623" s="60"/>
      <c r="L623" s="60"/>
      <c r="M623" s="62"/>
    </row>
    <row r="624" spans="1:13" ht="15" customHeight="1" x14ac:dyDescent="0.25">
      <c r="A624" s="47">
        <v>45563</v>
      </c>
      <c r="B624" s="1" t="s">
        <v>140</v>
      </c>
      <c r="C624" s="65"/>
      <c r="D624" s="8"/>
      <c r="E624" s="8">
        <v>250000</v>
      </c>
      <c r="F624" s="49">
        <v>100000</v>
      </c>
      <c r="G624" s="103">
        <f>18-1-16</f>
        <v>1</v>
      </c>
      <c r="H624" s="3">
        <f>G624*F624</f>
        <v>100000</v>
      </c>
      <c r="I624" s="29"/>
      <c r="J624" s="55"/>
      <c r="K624" s="62"/>
      <c r="L624" s="60"/>
      <c r="M624" s="62"/>
    </row>
    <row r="625" spans="1:13" ht="15" customHeight="1" x14ac:dyDescent="0.25">
      <c r="A625" s="47">
        <v>45563</v>
      </c>
      <c r="B625" s="31" t="s">
        <v>138</v>
      </c>
      <c r="C625" s="73">
        <v>2240000</v>
      </c>
      <c r="D625" s="44"/>
      <c r="E625" s="32">
        <f>E624+C625-D625</f>
        <v>2490000</v>
      </c>
      <c r="F625" s="3">
        <v>75000</v>
      </c>
      <c r="G625" s="103"/>
      <c r="H625" s="3">
        <f t="shared" ref="H625:H634" si="62">G625*F625</f>
        <v>0</v>
      </c>
      <c r="I625" s="29"/>
      <c r="J625" s="55"/>
      <c r="K625" s="62"/>
      <c r="L625" s="62"/>
      <c r="M625" s="62"/>
    </row>
    <row r="626" spans="1:13" ht="15" customHeight="1" x14ac:dyDescent="0.25">
      <c r="A626" s="47">
        <v>45563</v>
      </c>
      <c r="B626" s="1" t="s">
        <v>155</v>
      </c>
      <c r="C626" s="73">
        <v>1710000</v>
      </c>
      <c r="D626" s="44"/>
      <c r="E626" s="32">
        <f>E625+C626-D626</f>
        <v>4200000</v>
      </c>
      <c r="F626" s="34">
        <v>50000</v>
      </c>
      <c r="G626" s="103">
        <v>2</v>
      </c>
      <c r="H626" s="3">
        <f t="shared" si="62"/>
        <v>100000</v>
      </c>
      <c r="I626" s="29"/>
      <c r="J626" s="55"/>
      <c r="K626" s="62"/>
      <c r="L626" s="60"/>
      <c r="M626" s="60"/>
    </row>
    <row r="627" spans="1:13" ht="15" customHeight="1" x14ac:dyDescent="0.25">
      <c r="A627" s="47">
        <v>45563</v>
      </c>
      <c r="B627" s="1" t="s">
        <v>156</v>
      </c>
      <c r="C627" s="73">
        <v>360000</v>
      </c>
      <c r="D627" s="44"/>
      <c r="E627" s="32">
        <f t="shared" ref="E627:E633" si="63">E626+C627-D627</f>
        <v>4560000</v>
      </c>
      <c r="F627" s="34">
        <v>20000</v>
      </c>
      <c r="G627" s="103">
        <v>1</v>
      </c>
      <c r="H627" s="3">
        <f t="shared" si="62"/>
        <v>20000</v>
      </c>
      <c r="I627" s="29"/>
      <c r="J627" s="55"/>
      <c r="K627" s="60"/>
      <c r="L627" s="60"/>
      <c r="M627" s="60"/>
    </row>
    <row r="628" spans="1:13" ht="15" customHeight="1" x14ac:dyDescent="0.25">
      <c r="A628" s="47">
        <v>45563</v>
      </c>
      <c r="B628" s="1" t="s">
        <v>133</v>
      </c>
      <c r="C628" s="73">
        <v>1738500</v>
      </c>
      <c r="D628" s="44"/>
      <c r="E628" s="32">
        <f t="shared" si="63"/>
        <v>6298500</v>
      </c>
      <c r="F628" s="34">
        <v>10000</v>
      </c>
      <c r="G628" s="103">
        <v>4</v>
      </c>
      <c r="H628" s="3">
        <f t="shared" si="62"/>
        <v>40000</v>
      </c>
      <c r="I628" s="29"/>
      <c r="J628" s="55"/>
      <c r="K628" s="60"/>
      <c r="L628" s="60"/>
      <c r="M628" s="60"/>
    </row>
    <row r="629" spans="1:13" ht="15" customHeight="1" x14ac:dyDescent="0.25">
      <c r="A629" s="47">
        <v>45563</v>
      </c>
      <c r="B629" s="1" t="s">
        <v>150</v>
      </c>
      <c r="C629" s="73"/>
      <c r="D629" s="44"/>
      <c r="E629" s="32">
        <f t="shared" si="63"/>
        <v>6298500</v>
      </c>
      <c r="F629" s="34">
        <v>5000</v>
      </c>
      <c r="G629" s="103">
        <v>5</v>
      </c>
      <c r="H629" s="3">
        <f t="shared" si="62"/>
        <v>25000</v>
      </c>
      <c r="I629" s="29"/>
      <c r="J629" s="55"/>
      <c r="K629" s="60"/>
      <c r="L629" s="60"/>
      <c r="M629" s="60"/>
    </row>
    <row r="630" spans="1:13" ht="15" customHeight="1" x14ac:dyDescent="0.25">
      <c r="A630" s="47">
        <v>45563</v>
      </c>
      <c r="B630" s="1" t="s">
        <v>146</v>
      </c>
      <c r="C630" s="73">
        <f>3828000+100000</f>
        <v>3928000</v>
      </c>
      <c r="D630" s="44"/>
      <c r="E630" s="32">
        <f t="shared" si="63"/>
        <v>10226500</v>
      </c>
      <c r="F630" s="34">
        <v>2000</v>
      </c>
      <c r="G630" s="103">
        <v>5</v>
      </c>
      <c r="H630" s="3">
        <f t="shared" si="62"/>
        <v>10000</v>
      </c>
      <c r="I630" s="29"/>
      <c r="J630" s="55"/>
      <c r="K630" s="60"/>
      <c r="L630" s="60"/>
      <c r="M630" s="60"/>
    </row>
    <row r="631" spans="1:13" ht="15" customHeight="1" x14ac:dyDescent="0.25">
      <c r="A631" s="47">
        <v>45563</v>
      </c>
      <c r="B631" s="1" t="s">
        <v>163</v>
      </c>
      <c r="C631" s="86"/>
      <c r="D631" s="44"/>
      <c r="E631" s="32">
        <f t="shared" si="63"/>
        <v>10226500</v>
      </c>
      <c r="F631" s="34">
        <v>1000</v>
      </c>
      <c r="G631" s="103">
        <v>5</v>
      </c>
      <c r="H631" s="3">
        <f t="shared" si="62"/>
        <v>5000</v>
      </c>
      <c r="I631" s="29"/>
      <c r="J631" s="55"/>
      <c r="K631" s="60"/>
      <c r="L631" s="60"/>
      <c r="M631" s="60"/>
    </row>
    <row r="632" spans="1:13" ht="15" customHeight="1" x14ac:dyDescent="0.25">
      <c r="A632" s="47">
        <v>45563</v>
      </c>
      <c r="B632" s="1" t="s">
        <v>159</v>
      </c>
      <c r="C632" s="86">
        <f>2890000+0</f>
        <v>2890000</v>
      </c>
      <c r="D632" s="44"/>
      <c r="E632" s="32">
        <f t="shared" si="63"/>
        <v>13116500</v>
      </c>
      <c r="F632" s="34">
        <v>500</v>
      </c>
      <c r="G632" s="103"/>
      <c r="H632" s="3">
        <f t="shared" si="62"/>
        <v>0</v>
      </c>
      <c r="I632" s="29"/>
      <c r="J632" s="55"/>
      <c r="K632" s="60"/>
      <c r="L632" s="60"/>
      <c r="M632" s="60"/>
    </row>
    <row r="633" spans="1:13" ht="15" customHeight="1" x14ac:dyDescent="0.25">
      <c r="A633" s="47">
        <v>45563</v>
      </c>
      <c r="B633" s="1" t="s">
        <v>145</v>
      </c>
      <c r="C633" s="86"/>
      <c r="D633" s="44"/>
      <c r="E633" s="32">
        <f t="shared" si="63"/>
        <v>13116500</v>
      </c>
      <c r="F633" s="34">
        <v>200</v>
      </c>
      <c r="G633" s="103"/>
      <c r="H633" s="3">
        <f t="shared" si="62"/>
        <v>0</v>
      </c>
      <c r="I633" s="29"/>
      <c r="J633" s="55"/>
      <c r="K633" s="60"/>
      <c r="L633" s="60"/>
      <c r="M633" s="60"/>
    </row>
    <row r="634" spans="1:13" ht="15" customHeight="1" x14ac:dyDescent="0.25">
      <c r="A634" s="47">
        <v>45563</v>
      </c>
      <c r="B634" s="1" t="s">
        <v>143</v>
      </c>
      <c r="C634" s="86"/>
      <c r="D634" s="44">
        <f>SUM(C626:C634)</f>
        <v>10626500</v>
      </c>
      <c r="E634" s="32">
        <f>E633+C634-D634</f>
        <v>2490000</v>
      </c>
      <c r="F634" s="34">
        <v>100</v>
      </c>
      <c r="G634" s="104"/>
      <c r="H634" s="3">
        <f t="shared" si="62"/>
        <v>0</v>
      </c>
      <c r="I634" s="29"/>
      <c r="J634" s="55"/>
      <c r="K634" s="60"/>
      <c r="L634" s="60"/>
      <c r="M634" s="60"/>
    </row>
    <row r="635" spans="1:13" ht="15" customHeight="1" x14ac:dyDescent="0.25">
      <c r="A635" s="47">
        <v>45563</v>
      </c>
      <c r="B635" s="1" t="s">
        <v>160</v>
      </c>
      <c r="C635" s="86">
        <v>-8000</v>
      </c>
      <c r="D635" s="46"/>
      <c r="E635" s="32">
        <f t="shared" ref="E635:E644" si="64">E634+C635-D635</f>
        <v>2482000</v>
      </c>
      <c r="F635" s="1"/>
      <c r="G635" s="1"/>
      <c r="H635" s="1"/>
      <c r="I635" s="29"/>
      <c r="J635" s="55"/>
      <c r="K635" s="60"/>
      <c r="L635" s="60"/>
      <c r="M635" s="60"/>
    </row>
    <row r="636" spans="1:13" ht="15" customHeight="1" x14ac:dyDescent="0.25">
      <c r="A636" s="47">
        <v>45563</v>
      </c>
      <c r="B636" s="1" t="s">
        <v>164</v>
      </c>
      <c r="C636" s="86"/>
      <c r="D636" s="44"/>
      <c r="E636" s="32">
        <f t="shared" si="64"/>
        <v>2482000</v>
      </c>
      <c r="F636" s="3"/>
      <c r="G636" s="34"/>
      <c r="H636" s="34"/>
      <c r="I636" s="29"/>
      <c r="J636" s="55"/>
      <c r="K636" s="60"/>
      <c r="L636" s="60"/>
      <c r="M636" s="60"/>
    </row>
    <row r="637" spans="1:13" ht="15" customHeight="1" x14ac:dyDescent="0.25">
      <c r="A637" s="47">
        <v>45563</v>
      </c>
      <c r="B637" s="31" t="s">
        <v>139</v>
      </c>
      <c r="C637" s="86">
        <v>200000</v>
      </c>
      <c r="D637" s="44">
        <f>648300+92000-8000</f>
        <v>732300</v>
      </c>
      <c r="E637" s="32">
        <f t="shared" si="64"/>
        <v>1949700</v>
      </c>
      <c r="F637" s="3"/>
      <c r="G637" s="34"/>
      <c r="H637" s="34"/>
      <c r="I637" s="29"/>
      <c r="J637" s="55"/>
      <c r="K637" s="60"/>
      <c r="L637" s="60"/>
      <c r="M637" s="60"/>
    </row>
    <row r="638" spans="1:13" ht="15" customHeight="1" x14ac:dyDescent="0.25">
      <c r="A638" s="47">
        <v>45563</v>
      </c>
      <c r="B638" s="47"/>
      <c r="C638" s="87"/>
      <c r="D638" s="44"/>
      <c r="E638" s="32">
        <f t="shared" si="64"/>
        <v>1949700</v>
      </c>
      <c r="F638" s="3"/>
      <c r="G638" s="34"/>
      <c r="H638" s="34"/>
      <c r="I638" s="29"/>
      <c r="J638" s="55"/>
      <c r="K638" s="61"/>
      <c r="L638" s="61"/>
      <c r="M638" s="61"/>
    </row>
    <row r="639" spans="1:13" ht="15" customHeight="1" x14ac:dyDescent="0.25">
      <c r="A639" s="47">
        <v>45563</v>
      </c>
      <c r="B639" s="82"/>
      <c r="C639" s="87"/>
      <c r="D639" s="44"/>
      <c r="E639" s="32">
        <f t="shared" si="64"/>
        <v>1949700</v>
      </c>
      <c r="F639" s="3"/>
      <c r="G639" s="34"/>
      <c r="H639" s="34"/>
      <c r="I639" s="29"/>
      <c r="J639" s="55"/>
      <c r="K639" s="60"/>
      <c r="L639" s="60"/>
      <c r="M639" s="59"/>
    </row>
    <row r="640" spans="1:13" ht="15" customHeight="1" x14ac:dyDescent="0.25">
      <c r="A640" s="47">
        <v>45563</v>
      </c>
      <c r="B640" s="3"/>
      <c r="C640" s="87"/>
      <c r="D640" s="44"/>
      <c r="E640" s="32">
        <f t="shared" si="64"/>
        <v>1949700</v>
      </c>
      <c r="F640" s="3"/>
      <c r="G640" s="34"/>
      <c r="H640" s="34"/>
      <c r="I640" s="29"/>
      <c r="J640" s="55"/>
      <c r="K640" s="60"/>
      <c r="L640" s="60"/>
      <c r="M640" s="59"/>
    </row>
    <row r="641" spans="1:13" ht="15" customHeight="1" x14ac:dyDescent="0.25">
      <c r="A641" s="47">
        <v>45563</v>
      </c>
      <c r="B641" s="1"/>
      <c r="C641" s="88"/>
      <c r="D641" s="36"/>
      <c r="E641" s="32">
        <f t="shared" si="64"/>
        <v>1949700</v>
      </c>
      <c r="F641" s="1"/>
      <c r="G641" s="34"/>
      <c r="I641" s="29"/>
      <c r="J641" s="55"/>
      <c r="K641" s="59"/>
      <c r="L641" s="60"/>
      <c r="M641" s="59"/>
    </row>
    <row r="642" spans="1:13" ht="15" customHeight="1" x14ac:dyDescent="0.25">
      <c r="A642" s="47">
        <v>45563</v>
      </c>
      <c r="B642" s="1" t="s">
        <v>143</v>
      </c>
      <c r="C642" s="89"/>
      <c r="D642" s="44"/>
      <c r="E642" s="32">
        <f t="shared" si="64"/>
        <v>1949700</v>
      </c>
      <c r="F642" s="1"/>
      <c r="G642" s="34"/>
      <c r="I642" s="29"/>
      <c r="J642" s="55"/>
      <c r="K642" s="59"/>
      <c r="L642" s="59"/>
      <c r="M642" s="59"/>
    </row>
    <row r="643" spans="1:13" ht="15" customHeight="1" x14ac:dyDescent="0.25">
      <c r="A643" s="47">
        <v>45563</v>
      </c>
      <c r="B643" s="47"/>
      <c r="C643" s="90"/>
      <c r="D643" s="44"/>
      <c r="E643" s="32">
        <f t="shared" si="64"/>
        <v>1949700</v>
      </c>
      <c r="G643" s="34"/>
      <c r="I643" s="29"/>
      <c r="J643" s="55"/>
      <c r="K643" s="60"/>
      <c r="L643" s="60"/>
      <c r="M643" s="60"/>
    </row>
    <row r="644" spans="1:13" ht="15" customHeight="1" x14ac:dyDescent="0.25">
      <c r="A644" s="47">
        <v>45563</v>
      </c>
      <c r="B644" s="45" t="s">
        <v>136</v>
      </c>
      <c r="C644" s="86">
        <v>300</v>
      </c>
      <c r="D644" s="44">
        <v>1650000</v>
      </c>
      <c r="E644" s="32">
        <f t="shared" si="64"/>
        <v>300000</v>
      </c>
      <c r="F644" s="3">
        <f>SUM(H624:H640)</f>
        <v>300000</v>
      </c>
      <c r="G644" s="49"/>
      <c r="I644" s="29"/>
      <c r="J644" s="55"/>
      <c r="K644" s="60"/>
      <c r="L644" s="60"/>
      <c r="M644" s="60"/>
    </row>
    <row r="645" spans="1:13" ht="15" customHeight="1" x14ac:dyDescent="0.25">
      <c r="A645" s="47">
        <v>45563</v>
      </c>
      <c r="B645" s="4" t="s">
        <v>161</v>
      </c>
      <c r="C645" s="86">
        <f>SUM(C625:C644)</f>
        <v>13058800</v>
      </c>
      <c r="D645" s="33">
        <f>SUM(D626:D644)</f>
        <v>13008800</v>
      </c>
      <c r="E645" s="32"/>
      <c r="F645" s="25">
        <f>F644-E644</f>
        <v>0</v>
      </c>
      <c r="G645" s="34"/>
      <c r="I645" s="29"/>
      <c r="J645" s="55"/>
      <c r="K645" s="60"/>
      <c r="L645" s="60"/>
      <c r="M645" s="60"/>
    </row>
    <row r="646" spans="1:13" ht="15" customHeight="1" x14ac:dyDescent="0.25">
      <c r="B646" s="45"/>
      <c r="C646" s="86"/>
      <c r="D646" s="44"/>
      <c r="E646" s="32"/>
      <c r="F646" s="3"/>
      <c r="G646" s="49"/>
      <c r="I646" s="29"/>
      <c r="J646" s="55"/>
      <c r="K646" s="61"/>
      <c r="L646" s="61"/>
      <c r="M646" s="61"/>
    </row>
    <row r="647" spans="1:13" ht="15" customHeight="1" x14ac:dyDescent="0.25">
      <c r="A647" s="47">
        <v>45564</v>
      </c>
      <c r="B647" s="1" t="s">
        <v>140</v>
      </c>
      <c r="C647" s="65"/>
      <c r="D647" s="8"/>
      <c r="E647" s="8">
        <v>300000</v>
      </c>
      <c r="F647" s="49">
        <v>100000</v>
      </c>
      <c r="G647" s="103">
        <f>4-4</f>
        <v>0</v>
      </c>
      <c r="H647" s="3">
        <f>G647*F647</f>
        <v>0</v>
      </c>
      <c r="I647" s="29"/>
      <c r="J647" s="55"/>
      <c r="K647" s="60"/>
      <c r="L647" s="60"/>
      <c r="M647" s="59"/>
    </row>
    <row r="648" spans="1:13" ht="15" customHeight="1" x14ac:dyDescent="0.25">
      <c r="A648" s="47">
        <v>45564</v>
      </c>
      <c r="B648" s="31" t="s">
        <v>138</v>
      </c>
      <c r="C648" s="73">
        <v>881000</v>
      </c>
      <c r="D648" s="44"/>
      <c r="E648" s="32">
        <f>E647+C648-D648</f>
        <v>1181000</v>
      </c>
      <c r="F648" s="3">
        <v>75000</v>
      </c>
      <c r="G648" s="103"/>
      <c r="H648" s="3">
        <f t="shared" ref="H648:H657" si="65">G648*F648</f>
        <v>0</v>
      </c>
      <c r="I648" s="29"/>
      <c r="J648" s="55"/>
      <c r="K648" s="60"/>
      <c r="L648" s="60"/>
      <c r="M648" s="59"/>
    </row>
    <row r="649" spans="1:13" ht="15" customHeight="1" x14ac:dyDescent="0.25">
      <c r="A649" s="47">
        <v>45564</v>
      </c>
      <c r="B649" s="1" t="s">
        <v>155</v>
      </c>
      <c r="C649" s="73"/>
      <c r="D649" s="44"/>
      <c r="E649" s="32">
        <f>E648+C649-D649</f>
        <v>1181000</v>
      </c>
      <c r="F649" s="34">
        <v>50000</v>
      </c>
      <c r="G649" s="103">
        <f>8-5</f>
        <v>3</v>
      </c>
      <c r="H649" s="3">
        <f t="shared" si="65"/>
        <v>150000</v>
      </c>
      <c r="I649" s="29"/>
      <c r="J649" s="55"/>
      <c r="K649" s="59"/>
      <c r="L649" s="60"/>
      <c r="M649" s="59"/>
    </row>
    <row r="650" spans="1:13" ht="15" customHeight="1" x14ac:dyDescent="0.25">
      <c r="A650" s="47">
        <v>45564</v>
      </c>
      <c r="B650" s="1" t="s">
        <v>156</v>
      </c>
      <c r="C650" s="73">
        <v>1668000</v>
      </c>
      <c r="D650" s="44"/>
      <c r="E650" s="32">
        <f t="shared" ref="E650:E656" si="66">E649+C650-D650</f>
        <v>2849000</v>
      </c>
      <c r="F650" s="34">
        <v>20000</v>
      </c>
      <c r="G650" s="103">
        <v>2</v>
      </c>
      <c r="H650" s="3">
        <f t="shared" si="65"/>
        <v>40000</v>
      </c>
      <c r="I650" s="29"/>
      <c r="J650" s="55"/>
      <c r="K650" s="59"/>
      <c r="L650" s="59"/>
      <c r="M650" s="59"/>
    </row>
    <row r="651" spans="1:13" ht="15" customHeight="1" x14ac:dyDescent="0.25">
      <c r="A651" s="47">
        <v>45564</v>
      </c>
      <c r="B651" s="1" t="s">
        <v>133</v>
      </c>
      <c r="C651" s="73">
        <v>1508500</v>
      </c>
      <c r="D651" s="44"/>
      <c r="E651" s="32">
        <f t="shared" si="66"/>
        <v>4357500</v>
      </c>
      <c r="F651" s="34">
        <v>10000</v>
      </c>
      <c r="G651" s="103">
        <v>3</v>
      </c>
      <c r="H651" s="3">
        <f t="shared" si="65"/>
        <v>30000</v>
      </c>
      <c r="I651" s="29"/>
      <c r="J651" s="55"/>
      <c r="K651" s="61"/>
      <c r="L651" s="61"/>
      <c r="M651" s="61"/>
    </row>
    <row r="652" spans="1:13" ht="15" customHeight="1" x14ac:dyDescent="0.25">
      <c r="A652" s="47">
        <v>45564</v>
      </c>
      <c r="B652" s="1" t="s">
        <v>150</v>
      </c>
      <c r="C652" s="73"/>
      <c r="D652" s="44"/>
      <c r="E652" s="32">
        <f t="shared" si="66"/>
        <v>4357500</v>
      </c>
      <c r="F652" s="34">
        <v>5000</v>
      </c>
      <c r="G652" s="103">
        <v>6</v>
      </c>
      <c r="H652" s="3">
        <f t="shared" si="65"/>
        <v>30000</v>
      </c>
      <c r="I652" s="29"/>
      <c r="J652" s="55"/>
      <c r="K652" s="60"/>
      <c r="L652" s="60"/>
      <c r="M652" s="62"/>
    </row>
    <row r="653" spans="1:13" ht="15" customHeight="1" x14ac:dyDescent="0.25">
      <c r="A653" s="47">
        <v>45564</v>
      </c>
      <c r="B653" s="1" t="s">
        <v>146</v>
      </c>
      <c r="C653" s="73">
        <v>5072000</v>
      </c>
      <c r="D653" s="44"/>
      <c r="E653" s="32">
        <f t="shared" si="66"/>
        <v>9429500</v>
      </c>
      <c r="F653" s="34">
        <v>2000</v>
      </c>
      <c r="G653" s="103"/>
      <c r="H653" s="3">
        <f t="shared" si="65"/>
        <v>0</v>
      </c>
      <c r="I653" s="29"/>
      <c r="J653" s="55"/>
      <c r="K653" s="60"/>
      <c r="L653" s="60"/>
      <c r="M653" s="62"/>
    </row>
    <row r="654" spans="1:13" ht="15" customHeight="1" x14ac:dyDescent="0.25">
      <c r="A654" s="47">
        <v>45564</v>
      </c>
      <c r="B654" s="1" t="s">
        <v>163</v>
      </c>
      <c r="C654" s="86"/>
      <c r="D654" s="44"/>
      <c r="E654" s="32">
        <f t="shared" si="66"/>
        <v>9429500</v>
      </c>
      <c r="F654" s="34">
        <v>1000</v>
      </c>
      <c r="G654" s="103"/>
      <c r="H654" s="3">
        <f t="shared" si="65"/>
        <v>0</v>
      </c>
      <c r="I654" s="29"/>
      <c r="J654" s="55"/>
      <c r="K654" s="62"/>
      <c r="L654" s="60"/>
      <c r="M654" s="62"/>
    </row>
    <row r="655" spans="1:13" ht="15" customHeight="1" x14ac:dyDescent="0.25">
      <c r="A655" s="47">
        <v>45564</v>
      </c>
      <c r="B655" s="1" t="s">
        <v>159</v>
      </c>
      <c r="C655" s="86">
        <v>4919000</v>
      </c>
      <c r="D655" s="44"/>
      <c r="E655" s="32">
        <f t="shared" si="66"/>
        <v>14348500</v>
      </c>
      <c r="F655" s="34">
        <v>500</v>
      </c>
      <c r="G655" s="103"/>
      <c r="H655" s="3">
        <f t="shared" si="65"/>
        <v>0</v>
      </c>
      <c r="I655" s="29"/>
      <c r="J655" s="55"/>
      <c r="K655" s="62"/>
      <c r="L655" s="62"/>
      <c r="M655" s="62"/>
    </row>
    <row r="656" spans="1:13" ht="15" customHeight="1" x14ac:dyDescent="0.25">
      <c r="A656" s="47">
        <v>45564</v>
      </c>
      <c r="B656" s="1" t="s">
        <v>145</v>
      </c>
      <c r="C656" s="86"/>
      <c r="D656" s="44"/>
      <c r="E656" s="32">
        <f t="shared" si="66"/>
        <v>14348500</v>
      </c>
      <c r="F656" s="34">
        <v>200</v>
      </c>
      <c r="G656" s="103"/>
      <c r="H656" s="3">
        <f t="shared" si="65"/>
        <v>0</v>
      </c>
      <c r="I656" s="29"/>
      <c r="J656" s="55"/>
      <c r="K656" s="60"/>
      <c r="L656" s="60"/>
      <c r="M656" s="60"/>
    </row>
    <row r="657" spans="1:13" ht="15" customHeight="1" x14ac:dyDescent="0.25">
      <c r="A657" s="47">
        <v>45564</v>
      </c>
      <c r="B657" s="1" t="s">
        <v>143</v>
      </c>
      <c r="C657" s="86"/>
      <c r="D657" s="44">
        <f>SUM(C649:C657)</f>
        <v>13167500</v>
      </c>
      <c r="E657" s="32">
        <f>E656+C657-D657</f>
        <v>1181000</v>
      </c>
      <c r="F657" s="34">
        <v>100</v>
      </c>
      <c r="G657" s="104"/>
      <c r="H657" s="3">
        <f t="shared" si="65"/>
        <v>0</v>
      </c>
      <c r="I657" s="29"/>
      <c r="J657" s="55"/>
      <c r="K657" s="60"/>
      <c r="L657" s="60"/>
      <c r="M657" s="60"/>
    </row>
    <row r="658" spans="1:13" ht="15" customHeight="1" x14ac:dyDescent="0.25">
      <c r="A658" s="47">
        <v>45564</v>
      </c>
      <c r="B658" s="1" t="s">
        <v>160</v>
      </c>
      <c r="C658" s="86">
        <v>-66000</v>
      </c>
      <c r="D658" s="46"/>
      <c r="E658" s="32">
        <f t="shared" ref="E658:E667" si="67">E657+C658-D658</f>
        <v>1115000</v>
      </c>
      <c r="F658" s="1"/>
      <c r="G658" s="1"/>
      <c r="H658" s="1"/>
      <c r="I658" s="29"/>
      <c r="J658" s="55"/>
      <c r="K658" s="60"/>
      <c r="L658" s="60"/>
      <c r="M658" s="60"/>
    </row>
    <row r="659" spans="1:13" ht="15" customHeight="1" x14ac:dyDescent="0.25">
      <c r="A659" s="47">
        <v>45564</v>
      </c>
      <c r="B659" s="1" t="s">
        <v>164</v>
      </c>
      <c r="C659" s="86"/>
      <c r="D659" s="44"/>
      <c r="E659" s="32">
        <f t="shared" si="67"/>
        <v>1115000</v>
      </c>
      <c r="F659" s="3"/>
      <c r="G659" s="34"/>
      <c r="H659" s="34"/>
      <c r="I659" s="29"/>
      <c r="J659" s="55"/>
      <c r="K659" s="60"/>
      <c r="L659" s="60"/>
      <c r="M659" s="60"/>
    </row>
    <row r="660" spans="1:13" ht="15" customHeight="1" x14ac:dyDescent="0.25">
      <c r="A660" s="47">
        <v>45564</v>
      </c>
      <c r="B660" s="31" t="s">
        <v>139</v>
      </c>
      <c r="C660" s="86"/>
      <c r="D660" s="44">
        <f>277000-62000</f>
        <v>215000</v>
      </c>
      <c r="E660" s="32">
        <f t="shared" si="67"/>
        <v>900000</v>
      </c>
      <c r="F660" s="3"/>
      <c r="G660" s="34"/>
      <c r="H660" s="34"/>
      <c r="I660" s="29"/>
      <c r="J660" s="55"/>
      <c r="K660" s="60"/>
      <c r="L660" s="60"/>
      <c r="M660" s="60"/>
    </row>
    <row r="661" spans="1:13" ht="15" customHeight="1" x14ac:dyDescent="0.25">
      <c r="A661" s="47">
        <v>45564</v>
      </c>
      <c r="B661" s="47"/>
      <c r="C661" s="87"/>
      <c r="D661" s="44"/>
      <c r="E661" s="32">
        <f t="shared" si="67"/>
        <v>900000</v>
      </c>
      <c r="F661" s="3"/>
      <c r="G661" s="34"/>
      <c r="H661" s="34"/>
      <c r="I661" s="29"/>
      <c r="J661" s="55"/>
      <c r="K661" s="60"/>
      <c r="L661" s="60"/>
      <c r="M661" s="60"/>
    </row>
    <row r="662" spans="1:13" ht="15" customHeight="1" x14ac:dyDescent="0.25">
      <c r="A662" s="47">
        <v>45564</v>
      </c>
      <c r="B662" s="82"/>
      <c r="C662" s="87"/>
      <c r="D662" s="44"/>
      <c r="E662" s="32">
        <f t="shared" si="67"/>
        <v>900000</v>
      </c>
      <c r="F662" s="3"/>
      <c r="G662" s="34"/>
      <c r="H662" s="34"/>
      <c r="I662" s="29"/>
      <c r="J662" s="55"/>
      <c r="K662" s="60"/>
      <c r="L662" s="60"/>
      <c r="M662" s="60"/>
    </row>
    <row r="663" spans="1:13" ht="15" customHeight="1" x14ac:dyDescent="0.25">
      <c r="A663" s="47">
        <v>45564</v>
      </c>
      <c r="B663" s="3"/>
      <c r="C663" s="87"/>
      <c r="D663" s="44"/>
      <c r="E663" s="32">
        <f t="shared" si="67"/>
        <v>900000</v>
      </c>
      <c r="F663" s="3"/>
      <c r="G663" s="34"/>
      <c r="H663" s="34"/>
      <c r="I663" s="29"/>
      <c r="J663" s="55"/>
      <c r="K663" s="60"/>
      <c r="L663" s="61"/>
      <c r="M663" s="61"/>
    </row>
    <row r="664" spans="1:13" ht="15" customHeight="1" x14ac:dyDescent="0.25">
      <c r="A664" s="47">
        <v>45564</v>
      </c>
      <c r="B664" s="1"/>
      <c r="C664" s="88"/>
      <c r="D664" s="36"/>
      <c r="E664" s="32">
        <f t="shared" si="67"/>
        <v>900000</v>
      </c>
      <c r="F664" s="1"/>
      <c r="G664" s="34"/>
      <c r="I664" s="29"/>
      <c r="J664" s="55"/>
      <c r="K664" s="61"/>
      <c r="L664" s="61"/>
      <c r="M664" s="61"/>
    </row>
    <row r="665" spans="1:13" ht="15" customHeight="1" x14ac:dyDescent="0.25">
      <c r="A665" s="47">
        <v>45564</v>
      </c>
      <c r="B665" s="1" t="s">
        <v>143</v>
      </c>
      <c r="C665" s="89"/>
      <c r="D665" s="44"/>
      <c r="E665" s="32">
        <f t="shared" si="67"/>
        <v>900000</v>
      </c>
      <c r="F665" s="1"/>
      <c r="G665" s="34"/>
      <c r="I665" s="29"/>
      <c r="J665" s="55"/>
      <c r="K665" s="61"/>
      <c r="L665" s="61"/>
      <c r="M665" s="61"/>
    </row>
    <row r="666" spans="1:13" ht="15" customHeight="1" x14ac:dyDescent="0.25">
      <c r="A666" s="47">
        <v>45564</v>
      </c>
      <c r="B666" s="47"/>
      <c r="C666" s="90"/>
      <c r="D666" s="44"/>
      <c r="E666" s="32">
        <f t="shared" si="67"/>
        <v>900000</v>
      </c>
      <c r="G666" s="34"/>
      <c r="I666" s="29"/>
      <c r="J666" s="55"/>
      <c r="K666" s="61"/>
      <c r="L666" s="61"/>
      <c r="M666" s="61"/>
    </row>
    <row r="667" spans="1:13" ht="15" customHeight="1" x14ac:dyDescent="0.25">
      <c r="A667" s="47">
        <v>45564</v>
      </c>
      <c r="B667" s="45" t="s">
        <v>136</v>
      </c>
      <c r="C667" s="86"/>
      <c r="D667" s="44">
        <v>650000</v>
      </c>
      <c r="E667" s="32">
        <f t="shared" si="67"/>
        <v>250000</v>
      </c>
      <c r="F667" s="3">
        <f>SUM(H647:H663)</f>
        <v>250000</v>
      </c>
      <c r="G667" s="49"/>
      <c r="I667" s="29"/>
      <c r="J667" s="55"/>
      <c r="K667" s="61"/>
      <c r="L667" s="61"/>
      <c r="M667" s="61"/>
    </row>
    <row r="668" spans="1:13" ht="15" customHeight="1" x14ac:dyDescent="0.25">
      <c r="A668" s="47">
        <v>45564</v>
      </c>
      <c r="B668" s="4" t="s">
        <v>161</v>
      </c>
      <c r="C668" s="86">
        <f>SUM(C648:C667)</f>
        <v>13982500</v>
      </c>
      <c r="D668" s="33">
        <f>SUM(D649:D667)</f>
        <v>14032500</v>
      </c>
      <c r="E668" s="32"/>
      <c r="F668" s="25">
        <f>F667-E667</f>
        <v>0</v>
      </c>
      <c r="G668" s="34"/>
      <c r="I668" s="29"/>
      <c r="J668" s="55"/>
      <c r="K668" s="60"/>
      <c r="L668" s="60"/>
      <c r="M668" s="59"/>
    </row>
    <row r="669" spans="1:13" ht="15" customHeight="1" x14ac:dyDescent="0.25">
      <c r="B669" s="45"/>
      <c r="C669" s="86"/>
      <c r="D669" s="44"/>
      <c r="E669" s="32"/>
      <c r="F669" s="3"/>
      <c r="G669" s="49"/>
      <c r="I669" s="29"/>
      <c r="J669" s="55"/>
      <c r="K669" s="60"/>
      <c r="L669" s="60"/>
      <c r="M669" s="59"/>
    </row>
    <row r="670" spans="1:13" ht="15" customHeight="1" x14ac:dyDescent="0.25">
      <c r="A670" s="47">
        <v>45565</v>
      </c>
      <c r="B670" s="1" t="s">
        <v>140</v>
      </c>
      <c r="C670" s="65"/>
      <c r="D670" s="8"/>
      <c r="E670" s="8">
        <v>250000</v>
      </c>
      <c r="F670" s="49">
        <v>100000</v>
      </c>
      <c r="G670" s="103"/>
      <c r="H670" s="3">
        <f>G670*F670</f>
        <v>0</v>
      </c>
      <c r="I670" s="29"/>
      <c r="J670" s="55"/>
      <c r="K670" s="59"/>
      <c r="L670" s="60"/>
      <c r="M670" s="59"/>
    </row>
    <row r="671" spans="1:13" ht="15" customHeight="1" x14ac:dyDescent="0.25">
      <c r="A671" s="47">
        <v>45565</v>
      </c>
      <c r="B671" s="31" t="s">
        <v>138</v>
      </c>
      <c r="C671" s="73">
        <v>596000</v>
      </c>
      <c r="D671" s="44"/>
      <c r="E671" s="32">
        <f>E670+C671-D671</f>
        <v>846000</v>
      </c>
      <c r="F671" s="3">
        <v>75000</v>
      </c>
      <c r="G671" s="103"/>
      <c r="H671" s="3">
        <f t="shared" ref="H671:H680" si="68">G671*F671</f>
        <v>0</v>
      </c>
      <c r="I671" s="29"/>
      <c r="J671" s="55"/>
      <c r="K671" s="59"/>
      <c r="L671" s="59"/>
      <c r="M671" s="59"/>
    </row>
    <row r="672" spans="1:13" ht="15" customHeight="1" x14ac:dyDescent="0.25">
      <c r="A672" s="47">
        <v>45565</v>
      </c>
      <c r="B672" s="1" t="s">
        <v>155</v>
      </c>
      <c r="C672" s="73">
        <v>145000</v>
      </c>
      <c r="D672" s="44"/>
      <c r="E672" s="32">
        <f>E671+C672-D672</f>
        <v>991000</v>
      </c>
      <c r="F672" s="34">
        <v>50000</v>
      </c>
      <c r="G672" s="103">
        <v>1</v>
      </c>
      <c r="H672" s="3">
        <f t="shared" si="68"/>
        <v>50000</v>
      </c>
      <c r="I672" s="29"/>
      <c r="J672" s="55"/>
      <c r="K672" s="60"/>
      <c r="L672" s="60"/>
      <c r="M672" s="60"/>
    </row>
    <row r="673" spans="1:13" ht="15" customHeight="1" x14ac:dyDescent="0.25">
      <c r="A673" s="47">
        <v>45565</v>
      </c>
      <c r="B673" s="1" t="s">
        <v>156</v>
      </c>
      <c r="C673" s="73">
        <v>802000</v>
      </c>
      <c r="D673" s="44"/>
      <c r="E673" s="32">
        <f t="shared" ref="E673:E679" si="69">E672+C673-D673</f>
        <v>1793000</v>
      </c>
      <c r="F673" s="34">
        <v>20000</v>
      </c>
      <c r="G673" s="103">
        <v>1</v>
      </c>
      <c r="H673" s="3">
        <f t="shared" si="68"/>
        <v>20000</v>
      </c>
      <c r="I673" s="29"/>
      <c r="J673" s="55"/>
      <c r="K673" s="60"/>
      <c r="L673" s="60"/>
      <c r="M673" s="60"/>
    </row>
    <row r="674" spans="1:13" ht="15" customHeight="1" x14ac:dyDescent="0.25">
      <c r="A674" s="47">
        <v>45565</v>
      </c>
      <c r="B674" s="1" t="s">
        <v>133</v>
      </c>
      <c r="C674" s="73">
        <v>1346000</v>
      </c>
      <c r="D674" s="44"/>
      <c r="E674" s="32">
        <f t="shared" si="69"/>
        <v>3139000</v>
      </c>
      <c r="F674" s="34">
        <v>10000</v>
      </c>
      <c r="G674" s="103">
        <v>9</v>
      </c>
      <c r="H674" s="3">
        <f t="shared" si="68"/>
        <v>90000</v>
      </c>
      <c r="I674" s="29"/>
      <c r="J674" s="55"/>
      <c r="K674" s="60"/>
      <c r="L674" s="60"/>
      <c r="M674" s="60"/>
    </row>
    <row r="675" spans="1:13" ht="15" customHeight="1" x14ac:dyDescent="0.25">
      <c r="A675" s="47">
        <v>45565</v>
      </c>
      <c r="B675" s="1" t="s">
        <v>150</v>
      </c>
      <c r="C675" s="73"/>
      <c r="D675" s="44"/>
      <c r="E675" s="32">
        <f t="shared" si="69"/>
        <v>3139000</v>
      </c>
      <c r="F675" s="34">
        <v>5000</v>
      </c>
      <c r="G675" s="103">
        <v>12</v>
      </c>
      <c r="H675" s="3">
        <f t="shared" si="68"/>
        <v>60000</v>
      </c>
      <c r="I675" s="29"/>
      <c r="J675" s="55"/>
      <c r="K675" s="60"/>
      <c r="L675" s="60"/>
      <c r="M675" s="60"/>
    </row>
    <row r="676" spans="1:13" ht="15" customHeight="1" x14ac:dyDescent="0.25">
      <c r="A676" s="47">
        <v>45565</v>
      </c>
      <c r="B676" s="1" t="s">
        <v>146</v>
      </c>
      <c r="C676" s="73">
        <v>4902000</v>
      </c>
      <c r="D676" s="44"/>
      <c r="E676" s="32">
        <f t="shared" si="69"/>
        <v>8041000</v>
      </c>
      <c r="F676" s="34">
        <v>2000</v>
      </c>
      <c r="G676" s="103">
        <v>15</v>
      </c>
      <c r="H676" s="3">
        <f t="shared" si="68"/>
        <v>30000</v>
      </c>
      <c r="I676" s="29"/>
      <c r="J676" s="55"/>
      <c r="K676" s="60"/>
      <c r="L676" s="60"/>
      <c r="M676" s="60"/>
    </row>
    <row r="677" spans="1:13" ht="15" customHeight="1" x14ac:dyDescent="0.25">
      <c r="A677" s="47">
        <v>45565</v>
      </c>
      <c r="B677" s="1" t="s">
        <v>163</v>
      </c>
      <c r="C677" s="86"/>
      <c r="D677" s="44"/>
      <c r="E677" s="32">
        <f t="shared" si="69"/>
        <v>8041000</v>
      </c>
      <c r="F677" s="34">
        <v>1000</v>
      </c>
      <c r="G677" s="103"/>
      <c r="H677" s="3">
        <f t="shared" si="68"/>
        <v>0</v>
      </c>
      <c r="I677" s="29"/>
      <c r="J677" s="55"/>
      <c r="K677" s="60"/>
      <c r="L677" s="60"/>
      <c r="M677" s="60"/>
    </row>
    <row r="678" spans="1:13" ht="15" customHeight="1" x14ac:dyDescent="0.25">
      <c r="A678" s="47">
        <v>45565</v>
      </c>
      <c r="B678" s="1" t="s">
        <v>159</v>
      </c>
      <c r="C678" s="86">
        <v>2320000</v>
      </c>
      <c r="D678" s="44"/>
      <c r="E678" s="32">
        <f t="shared" si="69"/>
        <v>10361000</v>
      </c>
      <c r="F678" s="34">
        <v>500</v>
      </c>
      <c r="G678" s="103"/>
      <c r="H678" s="3">
        <f t="shared" si="68"/>
        <v>0</v>
      </c>
      <c r="I678" s="29"/>
      <c r="J678" s="55"/>
      <c r="K678" s="60"/>
      <c r="L678" s="60"/>
      <c r="M678" s="60"/>
    </row>
    <row r="679" spans="1:13" ht="15" customHeight="1" x14ac:dyDescent="0.25">
      <c r="A679" s="47">
        <v>45565</v>
      </c>
      <c r="B679" s="1" t="s">
        <v>145</v>
      </c>
      <c r="C679" s="86"/>
      <c r="D679" s="44"/>
      <c r="E679" s="32">
        <f t="shared" si="69"/>
        <v>10361000</v>
      </c>
      <c r="F679" s="34">
        <v>200</v>
      </c>
      <c r="G679" s="103"/>
      <c r="H679" s="3">
        <f t="shared" si="68"/>
        <v>0</v>
      </c>
      <c r="I679" s="29"/>
      <c r="J679" s="55"/>
      <c r="K679" s="60"/>
      <c r="L679" s="60"/>
      <c r="M679" s="60"/>
    </row>
    <row r="680" spans="1:13" ht="15" customHeight="1" x14ac:dyDescent="0.25">
      <c r="A680" s="47">
        <v>45565</v>
      </c>
      <c r="B680" s="1" t="s">
        <v>143</v>
      </c>
      <c r="C680" s="86"/>
      <c r="D680" s="44">
        <f>SUM(C672:C680)</f>
        <v>9515000</v>
      </c>
      <c r="E680" s="32">
        <f>E679+C680-D680</f>
        <v>846000</v>
      </c>
      <c r="F680" s="34">
        <v>100</v>
      </c>
      <c r="G680" s="104"/>
      <c r="H680" s="3">
        <f t="shared" si="68"/>
        <v>0</v>
      </c>
      <c r="I680" s="29"/>
      <c r="J680" s="55"/>
      <c r="K680" s="60"/>
      <c r="L680" s="60"/>
      <c r="M680" s="60"/>
    </row>
    <row r="681" spans="1:13" ht="15" customHeight="1" x14ac:dyDescent="0.25">
      <c r="A681" s="47">
        <v>45565</v>
      </c>
      <c r="B681" s="1" t="s">
        <v>160</v>
      </c>
      <c r="C681" s="86">
        <f>-33000-8000</f>
        <v>-41000</v>
      </c>
      <c r="D681" s="46"/>
      <c r="E681" s="32">
        <f t="shared" ref="E681:E690" si="70">E680+C681-D681</f>
        <v>805000</v>
      </c>
      <c r="F681" s="1"/>
      <c r="G681" s="1"/>
      <c r="H681" s="1"/>
      <c r="I681" s="29"/>
      <c r="J681" s="55"/>
      <c r="K681" s="61"/>
      <c r="L681" s="61"/>
      <c r="M681" s="61"/>
    </row>
    <row r="682" spans="1:13" ht="15" customHeight="1" x14ac:dyDescent="0.25">
      <c r="A682" s="47">
        <v>45565</v>
      </c>
      <c r="B682" s="1" t="s">
        <v>164</v>
      </c>
      <c r="C682" s="86"/>
      <c r="D682" s="44"/>
      <c r="E682" s="32">
        <f t="shared" si="70"/>
        <v>805000</v>
      </c>
      <c r="F682" s="3"/>
      <c r="G682" s="34"/>
      <c r="H682" s="34"/>
      <c r="I682" s="29"/>
      <c r="J682" s="55"/>
      <c r="K682" s="60"/>
      <c r="L682" s="60"/>
      <c r="M682" s="59"/>
    </row>
    <row r="683" spans="1:13" ht="15" customHeight="1" x14ac:dyDescent="0.25">
      <c r="A683" s="47">
        <v>45565</v>
      </c>
      <c r="B683" s="31" t="s">
        <v>139</v>
      </c>
      <c r="C683" s="86"/>
      <c r="D683" s="44">
        <f>626000-41000</f>
        <v>585000</v>
      </c>
      <c r="E683" s="32">
        <f t="shared" si="70"/>
        <v>220000</v>
      </c>
      <c r="F683" s="3"/>
      <c r="G683" s="34"/>
      <c r="H683" s="34"/>
      <c r="I683" s="29"/>
      <c r="J683" s="55"/>
      <c r="K683" s="60"/>
      <c r="L683" s="60"/>
      <c r="M683" s="59"/>
    </row>
    <row r="684" spans="1:13" ht="15" customHeight="1" x14ac:dyDescent="0.25">
      <c r="A684" s="47">
        <v>45565</v>
      </c>
      <c r="B684" s="47"/>
      <c r="C684" s="87"/>
      <c r="D684" s="44"/>
      <c r="E684" s="32">
        <f t="shared" si="70"/>
        <v>220000</v>
      </c>
      <c r="F684" s="3"/>
      <c r="G684" s="34"/>
      <c r="H684" s="34"/>
      <c r="I684" s="29"/>
      <c r="J684" s="55"/>
      <c r="K684" s="59"/>
      <c r="L684" s="60"/>
      <c r="M684" s="59"/>
    </row>
    <row r="685" spans="1:13" ht="15" customHeight="1" x14ac:dyDescent="0.25">
      <c r="A685" s="47">
        <v>45565</v>
      </c>
      <c r="B685" s="82"/>
      <c r="C685" s="87"/>
      <c r="D685" s="44"/>
      <c r="E685" s="32">
        <f t="shared" si="70"/>
        <v>220000</v>
      </c>
      <c r="F685" s="3"/>
      <c r="G685" s="34"/>
      <c r="H685" s="34"/>
      <c r="I685" s="29"/>
      <c r="J685" s="55"/>
      <c r="K685" s="59"/>
      <c r="L685" s="59"/>
      <c r="M685" s="59"/>
    </row>
    <row r="686" spans="1:13" ht="15" customHeight="1" x14ac:dyDescent="0.25">
      <c r="A686" s="47">
        <v>45565</v>
      </c>
      <c r="B686" s="3"/>
      <c r="C686" s="87"/>
      <c r="D686" s="44"/>
      <c r="E686" s="32">
        <f t="shared" si="70"/>
        <v>220000</v>
      </c>
      <c r="F686" s="3"/>
      <c r="G686" s="34"/>
      <c r="H686" s="34"/>
      <c r="I686" s="29"/>
      <c r="J686" s="55"/>
      <c r="K686" s="60"/>
      <c r="L686" s="60"/>
      <c r="M686" s="62"/>
    </row>
    <row r="687" spans="1:13" ht="15" customHeight="1" x14ac:dyDescent="0.25">
      <c r="A687" s="47">
        <v>45565</v>
      </c>
      <c r="B687" s="1"/>
      <c r="C687" s="88"/>
      <c r="D687" s="36"/>
      <c r="E687" s="32">
        <f t="shared" si="70"/>
        <v>220000</v>
      </c>
      <c r="F687" s="1"/>
      <c r="G687" s="34"/>
      <c r="I687" s="29"/>
      <c r="J687" s="55"/>
      <c r="K687" s="62"/>
      <c r="L687" s="60"/>
      <c r="M687" s="62"/>
    </row>
    <row r="688" spans="1:13" ht="15" customHeight="1" x14ac:dyDescent="0.25">
      <c r="A688" s="47">
        <v>45565</v>
      </c>
      <c r="B688" s="1" t="s">
        <v>143</v>
      </c>
      <c r="C688" s="89"/>
      <c r="D688" s="44"/>
      <c r="E688" s="32">
        <f t="shared" si="70"/>
        <v>220000</v>
      </c>
      <c r="F688" s="1"/>
      <c r="G688" s="34"/>
      <c r="I688" s="29"/>
      <c r="J688" s="55"/>
      <c r="K688" s="62"/>
      <c r="L688" s="62"/>
      <c r="M688" s="62"/>
    </row>
    <row r="689" spans="1:13" ht="15" customHeight="1" x14ac:dyDescent="0.25">
      <c r="A689" s="47">
        <v>45565</v>
      </c>
      <c r="B689" s="47"/>
      <c r="C689" s="90"/>
      <c r="D689" s="44"/>
      <c r="E689" s="32">
        <f t="shared" si="70"/>
        <v>220000</v>
      </c>
      <c r="G689" s="34"/>
      <c r="I689" s="29"/>
      <c r="J689" s="55"/>
      <c r="K689" s="60"/>
      <c r="L689" s="60"/>
      <c r="M689" s="60"/>
    </row>
    <row r="690" spans="1:13" ht="15" customHeight="1" x14ac:dyDescent="0.25">
      <c r="A690" s="47">
        <v>45565</v>
      </c>
      <c r="B690" s="45" t="s">
        <v>136</v>
      </c>
      <c r="C690" s="86">
        <v>30000</v>
      </c>
      <c r="D690" s="44"/>
      <c r="E690" s="32">
        <f t="shared" si="70"/>
        <v>250000</v>
      </c>
      <c r="F690" s="3">
        <f>SUM(H670:H686)</f>
        <v>250000</v>
      </c>
      <c r="G690" s="49"/>
      <c r="I690" s="29"/>
      <c r="J690" s="55"/>
      <c r="K690" s="60"/>
      <c r="L690" s="60"/>
      <c r="M690" s="60"/>
    </row>
    <row r="691" spans="1:13" ht="15" customHeight="1" x14ac:dyDescent="0.25">
      <c r="A691" s="47">
        <v>45565</v>
      </c>
      <c r="B691" s="4" t="s">
        <v>161</v>
      </c>
      <c r="C691" s="86">
        <f>SUM(C671:C690)</f>
        <v>10100000</v>
      </c>
      <c r="D691" s="33">
        <f>SUM(D672:D690)</f>
        <v>10100000</v>
      </c>
      <c r="E691" s="32"/>
      <c r="F691" s="25">
        <f>F690-E690</f>
        <v>0</v>
      </c>
      <c r="G691" s="34"/>
      <c r="I691" s="29"/>
      <c r="J691" s="55"/>
      <c r="K691" s="61"/>
      <c r="L691" s="61"/>
      <c r="M691" s="61"/>
    </row>
    <row r="692" spans="1:13" ht="15" customHeight="1" x14ac:dyDescent="0.25">
      <c r="A692" s="47"/>
      <c r="B692" s="45"/>
      <c r="C692" s="86"/>
      <c r="D692" s="44"/>
      <c r="E692" s="32"/>
      <c r="F692" s="3"/>
      <c r="G692" s="49"/>
      <c r="I692" s="29"/>
      <c r="J692" s="55"/>
      <c r="K692" s="60"/>
      <c r="L692" s="60"/>
      <c r="M692" s="62"/>
    </row>
    <row r="693" spans="1:13" ht="15" customHeight="1" x14ac:dyDescent="0.25">
      <c r="A693" s="47"/>
      <c r="C693" s="86"/>
      <c r="D693" s="33"/>
      <c r="E693" s="32"/>
      <c r="F693" s="25"/>
      <c r="G693" s="34"/>
      <c r="I693" s="29"/>
      <c r="J693" s="55"/>
      <c r="K693" s="60"/>
      <c r="L693" s="60"/>
      <c r="M693" s="62"/>
    </row>
    <row r="694" spans="1:13" ht="15" customHeight="1" x14ac:dyDescent="0.25">
      <c r="B694" s="30"/>
      <c r="C694" s="65"/>
      <c r="D694" s="8"/>
      <c r="E694" s="8"/>
      <c r="F694" s="34"/>
      <c r="G694" s="34"/>
      <c r="I694" s="29"/>
      <c r="J694" s="55"/>
      <c r="K694" s="62"/>
      <c r="L694" s="60"/>
      <c r="M694" s="62"/>
    </row>
    <row r="695" spans="1:13" ht="15" customHeight="1" x14ac:dyDescent="0.25">
      <c r="B695" s="30"/>
      <c r="C695" s="65"/>
      <c r="D695" s="8"/>
      <c r="E695" s="8"/>
      <c r="F695" s="34"/>
      <c r="G695" s="34"/>
      <c r="I695" s="29"/>
      <c r="J695" s="55"/>
      <c r="K695" s="62"/>
      <c r="L695" s="62"/>
      <c r="M695" s="62"/>
    </row>
    <row r="696" spans="1:13" ht="15" customHeight="1" x14ac:dyDescent="0.25">
      <c r="A696" s="47"/>
      <c r="B696" s="1"/>
      <c r="C696" s="73"/>
      <c r="D696" s="44"/>
      <c r="E696" s="32"/>
      <c r="F696" s="34"/>
      <c r="G696" s="103"/>
      <c r="I696" s="29"/>
      <c r="J696" s="55"/>
      <c r="K696" s="60"/>
      <c r="L696" s="60"/>
      <c r="M696" s="60"/>
    </row>
    <row r="697" spans="1:13" ht="15" customHeight="1" x14ac:dyDescent="0.25">
      <c r="A697" s="47"/>
      <c r="B697" s="1"/>
      <c r="C697" s="73"/>
      <c r="D697" s="44"/>
      <c r="E697" s="32"/>
      <c r="F697" s="34"/>
      <c r="G697" s="103"/>
      <c r="I697" s="29"/>
      <c r="J697" s="64"/>
      <c r="K697" s="60"/>
      <c r="L697" s="60"/>
      <c r="M697" s="60"/>
    </row>
    <row r="698" spans="1:13" ht="15" customHeight="1" x14ac:dyDescent="0.25">
      <c r="A698" s="47"/>
      <c r="B698" s="1"/>
      <c r="C698" s="73"/>
      <c r="D698" s="44"/>
      <c r="E698" s="32"/>
      <c r="F698" s="34"/>
      <c r="G698" s="103"/>
      <c r="I698" s="29"/>
      <c r="J698" s="64"/>
      <c r="K698" s="60"/>
      <c r="L698" s="60"/>
      <c r="M698" s="60"/>
    </row>
    <row r="699" spans="1:13" ht="15" customHeight="1" x14ac:dyDescent="0.25">
      <c r="A699" s="47"/>
      <c r="B699" s="1"/>
      <c r="C699" s="73"/>
      <c r="D699" s="44"/>
      <c r="E699" s="32"/>
      <c r="F699" s="34"/>
      <c r="G699" s="103"/>
      <c r="I699" s="29"/>
      <c r="J699" s="64"/>
      <c r="K699" s="60"/>
      <c r="L699" s="60"/>
      <c r="M699" s="60"/>
    </row>
    <row r="700" spans="1:13" ht="15" customHeight="1" x14ac:dyDescent="0.25">
      <c r="A700" s="47"/>
      <c r="B700" s="1"/>
      <c r="C700" s="86"/>
      <c r="D700" s="44"/>
      <c r="E700" s="32"/>
      <c r="F700" s="34"/>
      <c r="G700" s="103"/>
      <c r="I700" s="29"/>
      <c r="J700" s="60"/>
      <c r="K700" s="60"/>
      <c r="L700" s="60"/>
      <c r="M700" s="60"/>
    </row>
    <row r="701" spans="1:13" ht="15" customHeight="1" x14ac:dyDescent="0.25">
      <c r="A701" s="47"/>
      <c r="B701" s="1"/>
      <c r="C701" s="86"/>
      <c r="D701" s="44"/>
      <c r="E701" s="32"/>
      <c r="F701" s="34"/>
      <c r="G701" s="103"/>
      <c r="I701" s="29"/>
      <c r="J701" s="60"/>
      <c r="K701" s="61"/>
      <c r="L701" s="61"/>
      <c r="M701" s="72"/>
    </row>
    <row r="702" spans="1:13" ht="15" customHeight="1" x14ac:dyDescent="0.25">
      <c r="A702" s="47"/>
      <c r="B702" s="1"/>
      <c r="C702" s="86"/>
      <c r="D702" s="44"/>
      <c r="E702" s="32"/>
      <c r="F702" s="34"/>
      <c r="G702" s="103"/>
      <c r="I702" s="29"/>
      <c r="J702" s="59"/>
      <c r="K702" s="60"/>
      <c r="L702" s="60"/>
      <c r="M702" s="70"/>
    </row>
    <row r="703" spans="1:13" ht="15" customHeight="1" x14ac:dyDescent="0.25">
      <c r="A703" s="47"/>
      <c r="B703" s="1"/>
      <c r="C703" s="86"/>
      <c r="D703" s="44"/>
      <c r="E703" s="32"/>
      <c r="F703" s="34"/>
      <c r="G703" s="104"/>
      <c r="I703" s="29"/>
      <c r="J703" s="55"/>
      <c r="K703" s="60"/>
      <c r="L703" s="60"/>
      <c r="M703" s="70"/>
    </row>
    <row r="704" spans="1:13" ht="15" customHeight="1" x14ac:dyDescent="0.25">
      <c r="A704" s="47"/>
      <c r="B704" s="1"/>
      <c r="C704" s="86"/>
      <c r="D704" s="46"/>
      <c r="E704" s="32"/>
      <c r="F704" s="1"/>
      <c r="G704" s="1"/>
      <c r="H704" s="1"/>
      <c r="I704" s="29"/>
      <c r="J704" s="55"/>
      <c r="K704" s="59"/>
      <c r="L704" s="60"/>
      <c r="M704" s="70"/>
    </row>
    <row r="705" spans="1:13" ht="15" customHeight="1" x14ac:dyDescent="0.25">
      <c r="A705" s="47"/>
      <c r="B705" s="1"/>
      <c r="C705" s="86"/>
      <c r="D705" s="44"/>
      <c r="E705" s="32"/>
      <c r="F705" s="3"/>
      <c r="G705" s="34"/>
      <c r="H705" s="34"/>
      <c r="I705" s="29"/>
      <c r="J705" s="66"/>
      <c r="K705" s="59"/>
      <c r="L705" s="59"/>
      <c r="M705" s="70"/>
    </row>
    <row r="706" spans="1:13" ht="15" customHeight="1" x14ac:dyDescent="0.25">
      <c r="A706" s="47"/>
      <c r="B706" s="31"/>
      <c r="C706" s="86"/>
      <c r="D706" s="44"/>
      <c r="E706" s="32"/>
      <c r="F706" s="3"/>
      <c r="G706" s="34"/>
      <c r="H706" s="34"/>
      <c r="I706" s="29"/>
      <c r="J706" s="55"/>
      <c r="K706" s="60"/>
      <c r="L706" s="60"/>
      <c r="M706" s="60"/>
    </row>
    <row r="707" spans="1:13" ht="15" customHeight="1" x14ac:dyDescent="0.25">
      <c r="A707" s="47"/>
      <c r="B707" s="47"/>
      <c r="C707" s="87"/>
      <c r="D707" s="44"/>
      <c r="E707" s="32"/>
      <c r="F707" s="3"/>
      <c r="G707" s="34"/>
      <c r="H707" s="34"/>
      <c r="I707" s="29"/>
      <c r="J707" s="60"/>
      <c r="K707" s="60"/>
      <c r="L707" s="60"/>
      <c r="M707" s="60"/>
    </row>
    <row r="708" spans="1:13" ht="15" customHeight="1" x14ac:dyDescent="0.25">
      <c r="A708" s="47"/>
      <c r="B708" s="82"/>
      <c r="C708" s="87"/>
      <c r="D708" s="44"/>
      <c r="E708" s="32"/>
      <c r="F708" s="3"/>
      <c r="G708" s="34"/>
      <c r="H708" s="34"/>
      <c r="I708" s="29"/>
      <c r="J708" s="60"/>
      <c r="K708" s="60"/>
      <c r="L708" s="60"/>
      <c r="M708" s="60"/>
    </row>
    <row r="709" spans="1:13" ht="15" customHeight="1" x14ac:dyDescent="0.25">
      <c r="A709" s="47"/>
      <c r="B709" s="3"/>
      <c r="C709" s="87"/>
      <c r="D709" s="44"/>
      <c r="E709" s="32"/>
      <c r="F709" s="3"/>
      <c r="G709" s="34"/>
      <c r="H709" s="34"/>
      <c r="I709" s="29"/>
      <c r="J709" s="60"/>
      <c r="K709" s="60"/>
      <c r="L709" s="60"/>
      <c r="M709" s="60"/>
    </row>
    <row r="710" spans="1:13" ht="15" customHeight="1" x14ac:dyDescent="0.25">
      <c r="A710" s="47"/>
      <c r="B710" s="1"/>
      <c r="C710" s="88"/>
      <c r="D710" s="36"/>
      <c r="E710" s="32"/>
      <c r="F710" s="1"/>
      <c r="G710" s="34"/>
      <c r="I710" s="29"/>
      <c r="J710" s="60"/>
      <c r="K710" s="60"/>
      <c r="L710" s="60"/>
      <c r="M710" s="60"/>
    </row>
    <row r="711" spans="1:13" ht="15" customHeight="1" x14ac:dyDescent="0.25">
      <c r="A711" s="47"/>
      <c r="B711" s="1"/>
      <c r="C711" s="89"/>
      <c r="D711" s="44"/>
      <c r="E711" s="32"/>
      <c r="F711" s="1"/>
      <c r="G711" s="34"/>
      <c r="I711" s="29"/>
      <c r="J711" s="60"/>
      <c r="K711" s="60"/>
      <c r="L711" s="60"/>
      <c r="M711" s="60"/>
    </row>
    <row r="712" spans="1:13" ht="15" customHeight="1" x14ac:dyDescent="0.25">
      <c r="A712" s="47"/>
      <c r="B712" s="47"/>
      <c r="C712" s="90"/>
      <c r="D712" s="44"/>
      <c r="E712" s="32"/>
      <c r="G712" s="34"/>
      <c r="I712" s="29"/>
      <c r="J712" s="60"/>
      <c r="K712" s="60"/>
      <c r="L712" s="60"/>
      <c r="M712" s="60"/>
    </row>
    <row r="713" spans="1:13" ht="15" customHeight="1" x14ac:dyDescent="0.25">
      <c r="A713" s="47"/>
      <c r="B713" s="45"/>
      <c r="C713" s="86"/>
      <c r="D713" s="44"/>
      <c r="E713" s="32"/>
      <c r="F713" s="3"/>
      <c r="G713" s="49"/>
      <c r="I713" s="29"/>
      <c r="J713" s="60"/>
      <c r="K713" s="60"/>
      <c r="L713" s="60"/>
      <c r="M713" s="60"/>
    </row>
    <row r="714" spans="1:13" ht="15" customHeight="1" x14ac:dyDescent="0.25">
      <c r="A714" s="47"/>
      <c r="C714" s="86"/>
      <c r="D714" s="33"/>
      <c r="E714" s="32"/>
      <c r="F714" s="25"/>
      <c r="G714" s="34"/>
      <c r="I714" s="29"/>
      <c r="J714" s="60"/>
      <c r="K714" s="60"/>
      <c r="L714" s="60"/>
      <c r="M714" s="60"/>
    </row>
    <row r="715" spans="1:13" ht="15" customHeight="1" x14ac:dyDescent="0.25">
      <c r="B715" s="30"/>
      <c r="C715" s="65"/>
      <c r="D715" s="8"/>
      <c r="E715" s="8"/>
      <c r="F715" s="34"/>
      <c r="G715" s="34"/>
      <c r="I715" s="29"/>
      <c r="J715" s="60"/>
      <c r="K715" s="60"/>
      <c r="L715" s="60"/>
      <c r="M715" s="60"/>
    </row>
    <row r="716" spans="1:13" ht="15" customHeight="1" x14ac:dyDescent="0.25">
      <c r="B716" s="30"/>
      <c r="C716" s="65"/>
      <c r="D716" s="8"/>
      <c r="E716" s="8"/>
      <c r="F716" s="34"/>
      <c r="G716" s="34"/>
      <c r="I716" s="29"/>
      <c r="J716" s="60"/>
      <c r="K716" s="60"/>
      <c r="L716" s="60"/>
      <c r="M716" s="60"/>
    </row>
    <row r="717" spans="1:13" ht="15" customHeight="1" x14ac:dyDescent="0.25">
      <c r="B717" s="30"/>
      <c r="C717" s="65"/>
      <c r="D717" s="8"/>
      <c r="E717" s="8"/>
      <c r="F717" s="34"/>
      <c r="G717" s="34"/>
      <c r="I717" s="29"/>
      <c r="J717" s="60"/>
      <c r="K717" s="60"/>
      <c r="L717" s="60"/>
      <c r="M717" s="60"/>
    </row>
    <row r="718" spans="1:13" ht="15" customHeight="1" x14ac:dyDescent="0.25">
      <c r="B718" s="30"/>
      <c r="C718" s="65"/>
      <c r="D718" s="8"/>
      <c r="E718" s="8"/>
      <c r="F718" s="34"/>
      <c r="G718" s="34"/>
      <c r="I718" s="29"/>
      <c r="J718" s="60"/>
      <c r="K718" s="60"/>
      <c r="L718" s="60"/>
      <c r="M718" s="60"/>
    </row>
    <row r="719" spans="1:13" ht="15" customHeight="1" x14ac:dyDescent="0.25">
      <c r="B719" s="30"/>
      <c r="C719" s="65"/>
      <c r="D719" s="8"/>
      <c r="E719" s="8"/>
      <c r="F719" s="34"/>
      <c r="G719" s="34"/>
      <c r="I719" s="29"/>
      <c r="J719" s="60"/>
      <c r="K719" s="60"/>
      <c r="L719" s="60"/>
      <c r="M719" s="60"/>
    </row>
    <row r="720" spans="1:13" ht="15" customHeight="1" x14ac:dyDescent="0.25">
      <c r="B720" s="30"/>
      <c r="C720" s="65"/>
      <c r="D720" s="8"/>
      <c r="E720" s="8"/>
      <c r="F720" s="34"/>
      <c r="G720" s="34"/>
      <c r="I720" s="29"/>
      <c r="J720" s="60"/>
      <c r="K720" s="60"/>
      <c r="L720" s="60"/>
      <c r="M720" s="60"/>
    </row>
    <row r="721" spans="2:13" ht="15" customHeight="1" x14ac:dyDescent="0.25">
      <c r="B721" s="30"/>
      <c r="C721" s="65"/>
      <c r="D721" s="8"/>
      <c r="E721" s="8"/>
      <c r="F721" s="34"/>
      <c r="G721" s="34"/>
      <c r="I721" s="29"/>
      <c r="J721" s="60"/>
      <c r="K721" s="60"/>
      <c r="L721" s="60"/>
      <c r="M721" s="60"/>
    </row>
    <row r="722" spans="2:13" ht="15" customHeight="1" x14ac:dyDescent="0.25">
      <c r="B722" s="30"/>
      <c r="C722" s="65"/>
      <c r="D722" s="8"/>
      <c r="E722" s="8"/>
      <c r="F722" s="34"/>
      <c r="G722" s="34"/>
      <c r="I722" s="29"/>
      <c r="J722" s="60"/>
      <c r="K722" s="60"/>
      <c r="L722" s="60"/>
      <c r="M722" s="60"/>
    </row>
    <row r="723" spans="2:13" ht="15" customHeight="1" x14ac:dyDescent="0.25">
      <c r="B723" s="30"/>
      <c r="C723" s="65"/>
      <c r="D723" s="8"/>
      <c r="E723" s="8"/>
      <c r="F723" s="34"/>
      <c r="G723" s="34"/>
      <c r="I723" s="29"/>
      <c r="J723" s="60"/>
      <c r="K723" s="60"/>
      <c r="L723" s="60"/>
      <c r="M723" s="60"/>
    </row>
    <row r="724" spans="2:13" ht="15" customHeight="1" x14ac:dyDescent="0.25">
      <c r="B724" s="30"/>
      <c r="C724" s="65"/>
      <c r="D724" s="8"/>
      <c r="E724" s="8"/>
      <c r="F724" s="34"/>
      <c r="G724" s="34"/>
      <c r="I724" s="29"/>
      <c r="J724" s="60"/>
      <c r="K724" s="60"/>
      <c r="L724" s="60"/>
      <c r="M724" s="60"/>
    </row>
    <row r="725" spans="2:13" ht="15" customHeight="1" x14ac:dyDescent="0.25">
      <c r="B725" s="30"/>
      <c r="C725" s="65"/>
      <c r="D725" s="8"/>
      <c r="E725" s="8"/>
      <c r="F725" s="34"/>
      <c r="G725" s="34"/>
      <c r="I725" s="29"/>
      <c r="J725" s="60"/>
      <c r="K725" s="60"/>
      <c r="L725" s="60"/>
      <c r="M725" s="60"/>
    </row>
    <row r="726" spans="2:13" ht="15" customHeight="1" x14ac:dyDescent="0.25">
      <c r="B726" s="30"/>
      <c r="C726" s="65"/>
      <c r="D726" s="8"/>
      <c r="E726" s="8"/>
      <c r="F726" s="34"/>
      <c r="G726" s="34"/>
      <c r="I726" s="29"/>
      <c r="J726" s="60"/>
      <c r="K726" s="60"/>
      <c r="L726" s="60"/>
      <c r="M726" s="60"/>
    </row>
    <row r="727" spans="2:13" ht="15" customHeight="1" x14ac:dyDescent="0.25">
      <c r="B727" s="30"/>
      <c r="C727" s="65"/>
      <c r="D727" s="8"/>
      <c r="E727" s="8"/>
      <c r="F727" s="34"/>
      <c r="G727" s="34"/>
      <c r="I727" s="29"/>
      <c r="J727" s="60"/>
      <c r="K727" s="60"/>
      <c r="L727" s="60"/>
      <c r="M727" s="60"/>
    </row>
    <row r="728" spans="2:13" ht="15" customHeight="1" x14ac:dyDescent="0.25">
      <c r="B728" s="30"/>
      <c r="C728" s="65"/>
      <c r="D728" s="8"/>
      <c r="E728" s="8"/>
      <c r="F728" s="34"/>
      <c r="G728" s="34"/>
      <c r="I728" s="29"/>
      <c r="J728" s="60"/>
      <c r="K728" s="60"/>
      <c r="L728" s="60"/>
      <c r="M728" s="60"/>
    </row>
    <row r="729" spans="2:13" ht="15" customHeight="1" x14ac:dyDescent="0.25">
      <c r="B729" s="30"/>
      <c r="C729" s="65"/>
      <c r="D729" s="8"/>
      <c r="E729" s="8"/>
      <c r="F729" s="34"/>
      <c r="G729" s="34"/>
      <c r="I729" s="29"/>
      <c r="J729" s="60"/>
      <c r="K729" s="60"/>
      <c r="L729" s="60"/>
      <c r="M729" s="60"/>
    </row>
    <row r="730" spans="2:13" ht="15" customHeight="1" x14ac:dyDescent="0.25">
      <c r="B730" s="30"/>
      <c r="C730" s="65"/>
      <c r="D730" s="8"/>
      <c r="E730" s="8"/>
      <c r="F730" s="34"/>
      <c r="G730" s="34"/>
      <c r="I730" s="29"/>
      <c r="J730" s="60"/>
      <c r="K730" s="60"/>
      <c r="L730" s="60"/>
      <c r="M730" s="60"/>
    </row>
    <row r="731" spans="2:13" ht="15" customHeight="1" x14ac:dyDescent="0.25">
      <c r="B731" s="30"/>
      <c r="C731" s="65"/>
      <c r="D731" s="8"/>
      <c r="E731" s="8"/>
      <c r="F731" s="34"/>
      <c r="G731" s="34"/>
      <c r="I731" s="29"/>
      <c r="J731" s="60"/>
      <c r="K731" s="60"/>
      <c r="L731" s="60"/>
      <c r="M731" s="60"/>
    </row>
    <row r="732" spans="2:13" ht="15" customHeight="1" x14ac:dyDescent="0.25">
      <c r="B732" s="30"/>
      <c r="C732" s="65"/>
      <c r="D732" s="8"/>
      <c r="E732" s="8"/>
      <c r="F732" s="34"/>
      <c r="G732" s="34"/>
      <c r="I732" s="29"/>
      <c r="J732" s="60"/>
      <c r="K732" s="60"/>
      <c r="L732" s="60"/>
      <c r="M732" s="60"/>
    </row>
    <row r="733" spans="2:13" ht="15" customHeight="1" x14ac:dyDescent="0.25">
      <c r="B733" s="30"/>
      <c r="C733" s="65"/>
      <c r="D733" s="8"/>
      <c r="E733" s="8"/>
      <c r="F733" s="34"/>
      <c r="G733" s="34"/>
      <c r="I733" s="29"/>
      <c r="J733" s="60"/>
      <c r="K733" s="60"/>
      <c r="L733" s="60"/>
      <c r="M733" s="60"/>
    </row>
    <row r="734" spans="2:13" ht="15" customHeight="1" x14ac:dyDescent="0.25">
      <c r="B734" s="30"/>
      <c r="C734" s="65"/>
      <c r="D734" s="8"/>
      <c r="E734" s="8"/>
      <c r="F734" s="34"/>
      <c r="G734" s="34"/>
      <c r="I734" s="29"/>
      <c r="J734" s="60"/>
      <c r="K734" s="61"/>
      <c r="L734" s="61"/>
      <c r="M734" s="61"/>
    </row>
    <row r="735" spans="2:13" ht="15" customHeight="1" x14ac:dyDescent="0.25">
      <c r="B735" s="30"/>
      <c r="C735" s="65"/>
      <c r="D735" s="8"/>
      <c r="E735" s="8"/>
      <c r="F735" s="34"/>
      <c r="G735" s="34"/>
      <c r="I735" s="29"/>
      <c r="J735" s="59"/>
      <c r="K735" s="60"/>
      <c r="L735" s="60"/>
      <c r="M735" s="59"/>
    </row>
    <row r="736" spans="2:13" ht="15" customHeight="1" x14ac:dyDescent="0.25">
      <c r="B736" s="30"/>
      <c r="C736" s="65"/>
      <c r="D736" s="8"/>
      <c r="E736" s="8"/>
      <c r="F736" s="34"/>
      <c r="G736" s="34"/>
      <c r="I736" s="29"/>
      <c r="J736" s="55"/>
      <c r="K736" s="60"/>
      <c r="L736" s="60"/>
      <c r="M736" s="59"/>
    </row>
    <row r="737" spans="2:13" ht="15" customHeight="1" x14ac:dyDescent="0.25">
      <c r="B737" s="30"/>
      <c r="C737" s="65"/>
      <c r="D737" s="8"/>
      <c r="E737" s="8"/>
      <c r="F737" s="34"/>
      <c r="G737" s="34"/>
      <c r="I737" s="29"/>
      <c r="J737" s="55"/>
      <c r="K737" s="59"/>
      <c r="L737" s="60"/>
      <c r="M737" s="59"/>
    </row>
    <row r="738" spans="2:13" ht="15" customHeight="1" x14ac:dyDescent="0.25">
      <c r="B738" s="30"/>
      <c r="C738" s="65"/>
      <c r="D738" s="8"/>
      <c r="E738" s="8"/>
      <c r="F738" s="34"/>
      <c r="G738" s="34"/>
      <c r="I738" s="29"/>
      <c r="J738" s="66"/>
      <c r="K738" s="59"/>
      <c r="L738" s="59"/>
      <c r="M738" s="59"/>
    </row>
    <row r="739" spans="2:13" ht="15" customHeight="1" x14ac:dyDescent="0.25">
      <c r="B739" s="30"/>
      <c r="C739" s="65"/>
      <c r="D739" s="8"/>
      <c r="E739" s="8"/>
      <c r="F739" s="34"/>
      <c r="G739" s="34"/>
      <c r="I739" s="29"/>
      <c r="J739" s="55"/>
      <c r="K739" s="59"/>
      <c r="L739" s="60"/>
      <c r="M739" s="59"/>
    </row>
    <row r="740" spans="2:13" ht="15" customHeight="1" x14ac:dyDescent="0.25">
      <c r="B740" s="30"/>
      <c r="C740" s="65"/>
      <c r="D740" s="8"/>
      <c r="E740" s="8"/>
      <c r="F740" s="34"/>
      <c r="G740" s="34"/>
      <c r="I740" s="29"/>
      <c r="J740" s="66"/>
      <c r="K740" s="59"/>
      <c r="L740" s="59"/>
      <c r="M740" s="59"/>
    </row>
    <row r="741" spans="2:13" ht="15" customHeight="1" x14ac:dyDescent="0.25">
      <c r="B741" s="30"/>
      <c r="C741" s="65"/>
      <c r="D741" s="8"/>
      <c r="E741" s="8"/>
      <c r="F741" s="34"/>
      <c r="G741" s="34"/>
      <c r="I741" s="29"/>
      <c r="J741" s="55"/>
      <c r="K741" s="61"/>
      <c r="L741" s="61"/>
      <c r="M741" s="61"/>
    </row>
    <row r="742" spans="2:13" ht="15" customHeight="1" x14ac:dyDescent="0.25">
      <c r="B742" s="30"/>
      <c r="C742" s="65"/>
      <c r="D742" s="8"/>
      <c r="E742" s="8"/>
      <c r="F742" s="34"/>
      <c r="G742" s="34"/>
      <c r="I742" s="29"/>
      <c r="J742" s="59"/>
      <c r="K742" s="60"/>
      <c r="L742" s="60"/>
      <c r="M742" s="59"/>
    </row>
    <row r="743" spans="2:13" ht="15" customHeight="1" x14ac:dyDescent="0.25">
      <c r="B743" s="30"/>
      <c r="C743" s="65"/>
      <c r="D743" s="8"/>
      <c r="E743" s="8"/>
      <c r="F743" s="34"/>
      <c r="G743" s="34"/>
      <c r="I743" s="29"/>
      <c r="J743" s="55"/>
      <c r="K743" s="60"/>
      <c r="L743" s="60"/>
      <c r="M743" s="59"/>
    </row>
    <row r="744" spans="2:13" ht="15" customHeight="1" x14ac:dyDescent="0.25">
      <c r="B744" s="30"/>
      <c r="C744" s="65"/>
      <c r="D744" s="8"/>
      <c r="E744" s="8"/>
      <c r="F744" s="34"/>
      <c r="G744" s="34"/>
      <c r="I744" s="29"/>
      <c r="J744" s="55"/>
      <c r="K744" s="59"/>
      <c r="L744" s="60"/>
      <c r="M744" s="59"/>
    </row>
    <row r="745" spans="2:13" ht="15" customHeight="1" x14ac:dyDescent="0.25">
      <c r="B745" s="30"/>
      <c r="C745" s="65"/>
      <c r="D745" s="8"/>
      <c r="E745" s="8"/>
      <c r="F745" s="34"/>
      <c r="G745" s="34"/>
      <c r="I745" s="29"/>
      <c r="J745" s="66"/>
      <c r="K745" s="59"/>
      <c r="L745" s="59"/>
      <c r="M745" s="59"/>
    </row>
    <row r="746" spans="2:13" ht="15" customHeight="1" x14ac:dyDescent="0.25">
      <c r="B746" s="30"/>
      <c r="C746" s="65"/>
      <c r="D746" s="8"/>
      <c r="E746" s="8"/>
      <c r="F746" s="34"/>
      <c r="G746" s="34"/>
      <c r="I746" s="29"/>
      <c r="J746" s="55"/>
      <c r="K746" s="60"/>
      <c r="L746" s="60"/>
      <c r="M746" s="60"/>
    </row>
    <row r="747" spans="2:13" ht="15" customHeight="1" x14ac:dyDescent="0.25">
      <c r="B747" s="30"/>
      <c r="C747" s="65"/>
      <c r="D747" s="8"/>
      <c r="E747" s="8"/>
      <c r="F747" s="34"/>
      <c r="G747" s="34"/>
      <c r="I747" s="29"/>
      <c r="J747" s="64"/>
      <c r="K747" s="60"/>
      <c r="L747" s="60"/>
      <c r="M747" s="60"/>
    </row>
    <row r="748" spans="2:13" ht="15" customHeight="1" x14ac:dyDescent="0.25">
      <c r="B748" s="30"/>
      <c r="C748" s="65"/>
      <c r="D748" s="8"/>
      <c r="E748" s="8"/>
      <c r="F748" s="34"/>
      <c r="G748" s="34"/>
      <c r="I748" s="29"/>
      <c r="J748" s="64"/>
      <c r="K748" s="60"/>
      <c r="L748" s="60"/>
      <c r="M748" s="60"/>
    </row>
    <row r="749" spans="2:13" ht="15" customHeight="1" x14ac:dyDescent="0.25">
      <c r="B749" s="30"/>
      <c r="C749" s="65"/>
      <c r="D749" s="8"/>
      <c r="E749" s="8"/>
      <c r="F749" s="34"/>
      <c r="G749" s="34"/>
      <c r="I749" s="29"/>
      <c r="J749" s="64"/>
      <c r="K749" s="60"/>
      <c r="L749" s="60"/>
      <c r="M749" s="60"/>
    </row>
    <row r="750" spans="2:13" ht="15" customHeight="1" x14ac:dyDescent="0.25">
      <c r="B750" s="30"/>
      <c r="C750" s="65"/>
      <c r="D750" s="8"/>
      <c r="E750" s="8"/>
      <c r="F750" s="34"/>
      <c r="G750" s="34"/>
      <c r="I750" s="29"/>
      <c r="J750" s="64"/>
      <c r="K750" s="60"/>
      <c r="L750" s="60"/>
      <c r="M750" s="60"/>
    </row>
    <row r="751" spans="2:13" ht="15" customHeight="1" x14ac:dyDescent="0.25">
      <c r="B751" s="30"/>
      <c r="C751" s="65"/>
      <c r="D751" s="8"/>
      <c r="E751" s="8"/>
      <c r="F751" s="34"/>
      <c r="G751" s="34"/>
      <c r="I751" s="29"/>
      <c r="J751" s="64"/>
      <c r="K751" s="60"/>
      <c r="L751" s="60"/>
      <c r="M751" s="60"/>
    </row>
    <row r="752" spans="2:13" ht="15" customHeight="1" x14ac:dyDescent="0.25">
      <c r="B752" s="30"/>
      <c r="C752" s="65"/>
      <c r="D752" s="8"/>
      <c r="E752" s="8"/>
      <c r="F752" s="34"/>
      <c r="G752" s="34"/>
      <c r="I752" s="29"/>
      <c r="J752" s="60"/>
      <c r="K752" s="60"/>
      <c r="L752" s="60"/>
      <c r="M752" s="60"/>
    </row>
    <row r="753" spans="2:13" ht="15" customHeight="1" x14ac:dyDescent="0.25">
      <c r="B753" s="30"/>
      <c r="C753" s="65"/>
      <c r="D753" s="8"/>
      <c r="E753" s="8"/>
      <c r="F753" s="34"/>
      <c r="G753" s="34"/>
      <c r="I753" s="29"/>
      <c r="J753" s="60"/>
      <c r="K753" s="60"/>
      <c r="L753" s="60"/>
      <c r="M753" s="60"/>
    </row>
    <row r="754" spans="2:13" ht="15" customHeight="1" x14ac:dyDescent="0.25">
      <c r="B754" s="30"/>
      <c r="C754" s="65"/>
      <c r="D754" s="8"/>
      <c r="E754" s="8"/>
      <c r="F754" s="34"/>
      <c r="G754" s="34"/>
      <c r="I754" s="29"/>
      <c r="J754" s="60"/>
      <c r="K754" s="60"/>
      <c r="L754" s="60"/>
      <c r="M754" s="60"/>
    </row>
    <row r="755" spans="2:13" ht="15" customHeight="1" x14ac:dyDescent="0.25">
      <c r="B755" s="30"/>
      <c r="C755" s="65"/>
      <c r="D755" s="8"/>
      <c r="E755" s="8"/>
      <c r="F755" s="34"/>
      <c r="G755" s="34"/>
      <c r="I755" s="29"/>
      <c r="J755" s="60"/>
      <c r="K755" s="60"/>
      <c r="L755" s="60"/>
      <c r="M755" s="60"/>
    </row>
    <row r="756" spans="2:13" ht="15" customHeight="1" x14ac:dyDescent="0.25">
      <c r="B756" s="30"/>
      <c r="C756" s="65"/>
      <c r="D756" s="8"/>
      <c r="E756" s="8"/>
      <c r="F756" s="34"/>
      <c r="G756" s="34"/>
      <c r="I756" s="29"/>
      <c r="J756" s="60"/>
      <c r="K756" s="60"/>
      <c r="L756" s="60"/>
      <c r="M756" s="60"/>
    </row>
    <row r="757" spans="2:13" ht="15" customHeight="1" x14ac:dyDescent="0.25">
      <c r="B757" s="30"/>
      <c r="C757" s="65"/>
      <c r="D757" s="8"/>
      <c r="E757" s="8"/>
      <c r="F757" s="34"/>
      <c r="G757" s="34"/>
      <c r="I757" s="29"/>
      <c r="J757" s="60"/>
      <c r="K757" s="60"/>
      <c r="L757" s="60"/>
      <c r="M757" s="60"/>
    </row>
    <row r="758" spans="2:13" ht="15" customHeight="1" x14ac:dyDescent="0.25">
      <c r="B758" s="30"/>
      <c r="C758" s="65"/>
      <c r="D758" s="8"/>
      <c r="E758" s="8"/>
      <c r="F758" s="34"/>
      <c r="G758" s="34"/>
      <c r="I758" s="29"/>
      <c r="J758" s="60"/>
      <c r="K758" s="60"/>
      <c r="L758" s="60"/>
      <c r="M758" s="60"/>
    </row>
    <row r="759" spans="2:13" ht="15" customHeight="1" x14ac:dyDescent="0.25">
      <c r="B759" s="30"/>
      <c r="C759" s="65"/>
      <c r="D759" s="8"/>
      <c r="E759" s="8"/>
      <c r="F759" s="34"/>
      <c r="G759" s="34"/>
      <c r="I759" s="29"/>
      <c r="J759" s="60"/>
      <c r="K759" s="60"/>
      <c r="L759" s="60"/>
      <c r="M759" s="60"/>
    </row>
    <row r="760" spans="2:13" ht="15" customHeight="1" x14ac:dyDescent="0.25">
      <c r="B760" s="30"/>
      <c r="C760" s="65"/>
      <c r="D760" s="8"/>
      <c r="E760" s="8"/>
      <c r="F760" s="34"/>
      <c r="G760" s="34"/>
      <c r="I760" s="29"/>
      <c r="J760" s="60"/>
      <c r="K760" s="60"/>
      <c r="L760" s="60"/>
      <c r="M760" s="60"/>
    </row>
    <row r="761" spans="2:13" ht="15" customHeight="1" x14ac:dyDescent="0.25">
      <c r="B761" s="30"/>
      <c r="C761" s="65"/>
      <c r="D761" s="8"/>
      <c r="E761" s="8"/>
      <c r="F761" s="34"/>
      <c r="G761" s="34"/>
      <c r="I761" s="29"/>
      <c r="J761" s="60"/>
      <c r="K761" s="60"/>
      <c r="L761" s="60"/>
      <c r="M761" s="60"/>
    </row>
    <row r="762" spans="2:13" ht="15" customHeight="1" x14ac:dyDescent="0.25">
      <c r="B762" s="30"/>
      <c r="C762" s="65"/>
      <c r="D762" s="8"/>
      <c r="E762" s="8"/>
      <c r="F762" s="34"/>
      <c r="G762" s="34"/>
      <c r="I762" s="29"/>
      <c r="J762" s="60"/>
      <c r="K762" s="60"/>
      <c r="L762" s="60"/>
      <c r="M762" s="60"/>
    </row>
    <row r="763" spans="2:13" ht="15" customHeight="1" x14ac:dyDescent="0.25">
      <c r="B763" s="30"/>
      <c r="C763" s="65"/>
      <c r="D763" s="8"/>
      <c r="E763" s="8"/>
      <c r="F763" s="34"/>
      <c r="G763" s="34"/>
      <c r="I763" s="29"/>
      <c r="J763" s="60"/>
      <c r="K763" s="60"/>
      <c r="L763" s="60"/>
      <c r="M763" s="60"/>
    </row>
    <row r="764" spans="2:13" ht="15" customHeight="1" x14ac:dyDescent="0.25">
      <c r="B764" s="30"/>
      <c r="C764" s="65"/>
      <c r="D764" s="8"/>
      <c r="E764" s="8"/>
      <c r="F764" s="34"/>
      <c r="G764" s="34"/>
      <c r="I764" s="29"/>
      <c r="J764" s="60"/>
      <c r="K764" s="60"/>
      <c r="L764" s="60"/>
      <c r="M764" s="60"/>
    </row>
    <row r="765" spans="2:13" ht="15" customHeight="1" x14ac:dyDescent="0.25">
      <c r="B765" s="30"/>
      <c r="C765" s="65"/>
      <c r="D765" s="8"/>
      <c r="E765" s="8"/>
      <c r="F765" s="34"/>
      <c r="G765" s="34"/>
      <c r="I765" s="29"/>
      <c r="J765" s="60"/>
      <c r="K765" s="60"/>
      <c r="L765" s="60"/>
      <c r="M765" s="60"/>
    </row>
    <row r="766" spans="2:13" ht="15" customHeight="1" x14ac:dyDescent="0.25">
      <c r="B766" s="30"/>
      <c r="C766" s="65"/>
      <c r="D766" s="8"/>
      <c r="E766" s="8"/>
      <c r="F766" s="34"/>
      <c r="G766" s="34"/>
      <c r="I766" s="29"/>
      <c r="J766" s="60"/>
      <c r="K766" s="60"/>
      <c r="L766" s="60"/>
      <c r="M766" s="60"/>
    </row>
    <row r="767" spans="2:13" ht="15" customHeight="1" x14ac:dyDescent="0.25">
      <c r="B767" s="30"/>
      <c r="C767" s="65"/>
      <c r="D767" s="8"/>
      <c r="E767" s="8"/>
      <c r="F767" s="34"/>
      <c r="G767" s="34"/>
      <c r="I767" s="29"/>
      <c r="J767" s="60"/>
      <c r="K767" s="61"/>
      <c r="L767" s="61"/>
      <c r="M767" s="72"/>
    </row>
    <row r="768" spans="2:13" ht="15" customHeight="1" x14ac:dyDescent="0.25">
      <c r="B768" s="30"/>
      <c r="C768" s="65"/>
      <c r="D768" s="8"/>
      <c r="E768" s="8"/>
      <c r="F768" s="34"/>
      <c r="G768" s="34"/>
      <c r="I768" s="29"/>
      <c r="J768" s="59"/>
      <c r="K768" s="60"/>
      <c r="L768" s="60"/>
      <c r="M768" s="70"/>
    </row>
    <row r="769" spans="2:13" ht="15" customHeight="1" x14ac:dyDescent="0.25">
      <c r="B769" s="30"/>
      <c r="C769" s="65"/>
      <c r="D769" s="8"/>
      <c r="E769" s="8"/>
      <c r="F769" s="34"/>
      <c r="G769" s="34"/>
      <c r="I769" s="29"/>
      <c r="J769" s="55"/>
      <c r="K769" s="60"/>
      <c r="L769" s="60"/>
      <c r="M769" s="70"/>
    </row>
    <row r="770" spans="2:13" ht="15" customHeight="1" x14ac:dyDescent="0.25">
      <c r="B770" s="30"/>
      <c r="C770" s="65"/>
      <c r="D770" s="8"/>
      <c r="E770" s="8"/>
      <c r="F770" s="34"/>
      <c r="G770" s="34"/>
      <c r="I770" s="29"/>
      <c r="J770" s="55"/>
      <c r="K770" s="59"/>
      <c r="L770" s="60"/>
      <c r="M770" s="70"/>
    </row>
    <row r="771" spans="2:13" ht="15" customHeight="1" x14ac:dyDescent="0.25">
      <c r="B771" s="30"/>
      <c r="C771" s="65"/>
      <c r="D771" s="8"/>
      <c r="E771" s="8"/>
      <c r="F771" s="34"/>
      <c r="G771" s="34"/>
      <c r="I771" s="29"/>
      <c r="J771" s="66"/>
      <c r="K771" s="59"/>
      <c r="L771" s="59"/>
      <c r="M771" s="70"/>
    </row>
    <row r="772" spans="2:13" ht="15" customHeight="1" x14ac:dyDescent="0.25">
      <c r="B772" s="30"/>
      <c r="C772" s="65"/>
      <c r="D772" s="8"/>
      <c r="E772" s="8"/>
      <c r="F772" s="34"/>
      <c r="G772" s="34"/>
      <c r="I772" s="29"/>
      <c r="J772" s="55"/>
      <c r="K772" s="60"/>
      <c r="L772" s="60"/>
      <c r="M772" s="60"/>
    </row>
    <row r="773" spans="2:13" ht="15" customHeight="1" x14ac:dyDescent="0.25">
      <c r="B773" s="30"/>
      <c r="C773" s="65"/>
      <c r="D773" s="8"/>
      <c r="E773" s="8"/>
      <c r="F773" s="34"/>
      <c r="G773" s="34"/>
      <c r="I773" s="29"/>
      <c r="J773" s="60"/>
      <c r="K773" s="60"/>
      <c r="L773" s="60"/>
      <c r="M773" s="60"/>
    </row>
    <row r="774" spans="2:13" ht="15" customHeight="1" x14ac:dyDescent="0.25">
      <c r="B774" s="30"/>
      <c r="C774" s="65"/>
      <c r="D774" s="8"/>
      <c r="E774" s="8"/>
      <c r="F774" s="34"/>
      <c r="G774" s="34"/>
      <c r="I774" s="29"/>
      <c r="J774" s="60"/>
      <c r="K774" s="60"/>
      <c r="L774" s="60"/>
      <c r="M774" s="60"/>
    </row>
    <row r="775" spans="2:13" ht="15" customHeight="1" x14ac:dyDescent="0.25">
      <c r="B775" s="30"/>
      <c r="C775" s="65"/>
      <c r="D775" s="8"/>
      <c r="E775" s="8"/>
      <c r="F775" s="34"/>
      <c r="G775" s="34"/>
      <c r="I775" s="29"/>
      <c r="J775" s="60"/>
      <c r="K775" s="60"/>
      <c r="L775" s="60"/>
      <c r="M775" s="60"/>
    </row>
    <row r="776" spans="2:13" ht="15" customHeight="1" x14ac:dyDescent="0.25">
      <c r="B776" s="30"/>
      <c r="C776" s="65"/>
      <c r="D776" s="8"/>
      <c r="E776" s="8"/>
      <c r="F776" s="34"/>
      <c r="G776" s="34"/>
      <c r="I776" s="29"/>
      <c r="J776" s="60"/>
      <c r="K776" s="60"/>
      <c r="L776" s="60"/>
      <c r="M776" s="60"/>
    </row>
    <row r="777" spans="2:13" ht="15" customHeight="1" x14ac:dyDescent="0.25">
      <c r="B777" s="30"/>
      <c r="C777" s="65"/>
      <c r="D777" s="8"/>
      <c r="E777" s="8"/>
      <c r="F777" s="34"/>
      <c r="G777" s="34"/>
      <c r="I777" s="29"/>
      <c r="J777" s="64"/>
      <c r="K777" s="60"/>
      <c r="L777" s="60"/>
      <c r="M777" s="60"/>
    </row>
    <row r="778" spans="2:13" ht="15" customHeight="1" x14ac:dyDescent="0.25">
      <c r="B778" s="30"/>
      <c r="C778" s="65"/>
      <c r="D778" s="8"/>
      <c r="E778" s="8"/>
      <c r="F778" s="34"/>
      <c r="G778" s="34"/>
      <c r="I778" s="29"/>
      <c r="J778" s="64"/>
      <c r="K778" s="60"/>
      <c r="L778" s="60"/>
      <c r="M778" s="60"/>
    </row>
    <row r="779" spans="2:13" ht="15" customHeight="1" x14ac:dyDescent="0.25">
      <c r="B779" s="30"/>
      <c r="C779" s="65"/>
      <c r="D779" s="8"/>
      <c r="E779" s="8"/>
      <c r="F779" s="34"/>
      <c r="G779" s="34"/>
      <c r="I779" s="29"/>
      <c r="J779" s="64"/>
      <c r="K779" s="60"/>
      <c r="L779" s="60"/>
      <c r="M779" s="60"/>
    </row>
    <row r="780" spans="2:13" ht="15" customHeight="1" x14ac:dyDescent="0.25">
      <c r="B780" s="30"/>
      <c r="C780" s="65"/>
      <c r="D780" s="8"/>
      <c r="E780" s="8"/>
      <c r="F780" s="34"/>
      <c r="G780" s="34"/>
      <c r="I780" s="29"/>
      <c r="J780" s="64"/>
      <c r="K780" s="60"/>
      <c r="L780" s="60"/>
      <c r="M780" s="60"/>
    </row>
    <row r="781" spans="2:13" ht="15" customHeight="1" x14ac:dyDescent="0.25">
      <c r="B781" s="30"/>
      <c r="C781" s="65"/>
      <c r="D781" s="8"/>
      <c r="E781" s="8"/>
      <c r="F781" s="34"/>
      <c r="G781" s="34"/>
      <c r="I781" s="29"/>
      <c r="J781" s="60"/>
      <c r="K781" s="60"/>
      <c r="L781" s="60"/>
      <c r="M781" s="60"/>
    </row>
    <row r="782" spans="2:13" ht="15" customHeight="1" x14ac:dyDescent="0.25">
      <c r="B782" s="30"/>
      <c r="C782" s="65"/>
      <c r="D782" s="8"/>
      <c r="E782" s="8"/>
      <c r="F782" s="34"/>
      <c r="G782" s="34"/>
      <c r="I782" s="29"/>
      <c r="J782" s="60"/>
      <c r="K782" s="61"/>
      <c r="L782" s="61"/>
      <c r="M782" s="61"/>
    </row>
    <row r="783" spans="2:13" ht="15" customHeight="1" x14ac:dyDescent="0.25">
      <c r="B783" s="30"/>
      <c r="C783" s="65"/>
      <c r="D783" s="8"/>
      <c r="E783" s="8"/>
      <c r="F783" s="34"/>
      <c r="G783" s="34"/>
      <c r="I783" s="29"/>
      <c r="J783" s="59"/>
      <c r="K783" s="60"/>
      <c r="L783" s="60"/>
      <c r="M783" s="59"/>
    </row>
    <row r="784" spans="2:13" ht="15" customHeight="1" x14ac:dyDescent="0.25">
      <c r="B784" s="30"/>
      <c r="C784" s="65"/>
      <c r="D784" s="8"/>
      <c r="E784" s="8"/>
      <c r="F784" s="34"/>
      <c r="G784" s="34"/>
      <c r="I784" s="29"/>
      <c r="J784" s="55"/>
      <c r="K784" s="60"/>
      <c r="L784" s="60"/>
      <c r="M784" s="59"/>
    </row>
    <row r="785" spans="2:13" ht="15" customHeight="1" x14ac:dyDescent="0.25">
      <c r="B785" s="30"/>
      <c r="C785" s="65"/>
      <c r="D785" s="8"/>
      <c r="E785" s="8"/>
      <c r="F785" s="34"/>
      <c r="G785" s="34"/>
      <c r="I785" s="29"/>
      <c r="J785" s="55"/>
      <c r="K785" s="59"/>
      <c r="L785" s="60"/>
      <c r="M785" s="59"/>
    </row>
    <row r="786" spans="2:13" ht="15" customHeight="1" x14ac:dyDescent="0.25">
      <c r="B786" s="30"/>
      <c r="C786" s="65"/>
      <c r="D786" s="8"/>
      <c r="E786" s="8"/>
      <c r="F786" s="34"/>
      <c r="G786" s="34"/>
      <c r="I786" s="29"/>
      <c r="J786" s="66"/>
      <c r="K786" s="59"/>
      <c r="L786" s="59"/>
      <c r="M786" s="59"/>
    </row>
    <row r="787" spans="2:13" ht="15" customHeight="1" x14ac:dyDescent="0.25">
      <c r="B787" s="30"/>
      <c r="C787" s="65"/>
      <c r="D787" s="8"/>
      <c r="E787" s="8"/>
      <c r="F787" s="34"/>
      <c r="G787" s="34"/>
      <c r="I787" s="29"/>
      <c r="J787" s="55"/>
      <c r="K787" s="60"/>
      <c r="L787" s="60"/>
      <c r="M787" s="60"/>
    </row>
    <row r="788" spans="2:13" ht="15" customHeight="1" x14ac:dyDescent="0.25">
      <c r="B788" s="30"/>
      <c r="C788" s="65"/>
      <c r="D788" s="8"/>
      <c r="E788" s="8"/>
      <c r="F788" s="34"/>
      <c r="G788" s="34"/>
      <c r="I788" s="29"/>
      <c r="J788" s="60"/>
      <c r="K788" s="60"/>
      <c r="L788" s="60"/>
      <c r="M788" s="60"/>
    </row>
    <row r="789" spans="2:13" ht="15" customHeight="1" x14ac:dyDescent="0.25">
      <c r="B789" s="30"/>
      <c r="C789" s="65"/>
      <c r="D789" s="8"/>
      <c r="E789" s="8"/>
      <c r="F789" s="34"/>
      <c r="G789" s="34"/>
      <c r="I789" s="29"/>
      <c r="J789" s="60"/>
      <c r="K789" s="60"/>
      <c r="L789" s="60"/>
      <c r="M789" s="60"/>
    </row>
    <row r="790" spans="2:13" ht="15" customHeight="1" x14ac:dyDescent="0.25">
      <c r="B790" s="30"/>
      <c r="C790" s="65"/>
      <c r="D790" s="8"/>
      <c r="E790" s="8"/>
      <c r="F790" s="34"/>
      <c r="G790" s="34"/>
      <c r="I790" s="29"/>
      <c r="J790" s="60"/>
      <c r="K790" s="61"/>
      <c r="L790" s="61"/>
      <c r="M790" s="61"/>
    </row>
    <row r="791" spans="2:13" ht="15" customHeight="1" x14ac:dyDescent="0.25">
      <c r="B791" s="30"/>
      <c r="C791" s="65"/>
      <c r="D791" s="8"/>
      <c r="E791" s="8"/>
      <c r="F791" s="34"/>
      <c r="G791" s="34"/>
      <c r="I791" s="29"/>
      <c r="J791" s="59"/>
      <c r="K791" s="60"/>
      <c r="L791" s="60"/>
      <c r="M791" s="59"/>
    </row>
    <row r="792" spans="2:13" ht="15" customHeight="1" x14ac:dyDescent="0.25">
      <c r="B792" s="30"/>
      <c r="C792" s="65"/>
      <c r="D792" s="8"/>
      <c r="E792" s="8"/>
      <c r="F792" s="34"/>
      <c r="G792" s="34"/>
      <c r="I792" s="29"/>
      <c r="J792" s="55"/>
      <c r="K792" s="60"/>
      <c r="L792" s="60"/>
      <c r="M792" s="59"/>
    </row>
    <row r="793" spans="2:13" ht="15" customHeight="1" x14ac:dyDescent="0.25">
      <c r="B793" s="30"/>
      <c r="C793" s="65"/>
      <c r="D793" s="8"/>
      <c r="E793" s="8"/>
      <c r="F793" s="34"/>
      <c r="G793" s="34"/>
      <c r="I793" s="29"/>
      <c r="J793" s="55"/>
      <c r="K793" s="59"/>
      <c r="L793" s="60"/>
      <c r="M793" s="59"/>
    </row>
    <row r="794" spans="2:13" ht="15" customHeight="1" x14ac:dyDescent="0.25">
      <c r="B794" s="30"/>
      <c r="C794" s="65"/>
      <c r="D794" s="8"/>
      <c r="E794" s="8"/>
      <c r="F794" s="34"/>
      <c r="G794" s="34"/>
      <c r="I794" s="29"/>
      <c r="J794" s="66"/>
      <c r="K794" s="59"/>
      <c r="L794" s="59"/>
      <c r="M794" s="59"/>
    </row>
    <row r="795" spans="2:13" ht="15" customHeight="1" x14ac:dyDescent="0.25">
      <c r="B795" s="30"/>
      <c r="C795" s="65"/>
      <c r="D795" s="8"/>
      <c r="E795" s="8"/>
      <c r="F795" s="34"/>
      <c r="G795" s="34"/>
      <c r="I795" s="29"/>
      <c r="J795" s="55"/>
      <c r="K795" s="62"/>
      <c r="L795" s="62"/>
      <c r="M795" s="62"/>
    </row>
    <row r="796" spans="2:13" ht="15" customHeight="1" x14ac:dyDescent="0.25">
      <c r="B796" s="30"/>
      <c r="C796" s="65"/>
      <c r="D796" s="8"/>
      <c r="E796" s="8"/>
      <c r="F796" s="34"/>
      <c r="G796" s="34"/>
      <c r="I796" s="29"/>
      <c r="J796" s="55"/>
      <c r="K796" s="60"/>
      <c r="L796" s="60"/>
      <c r="M796" s="60"/>
    </row>
    <row r="797" spans="2:13" ht="15" customHeight="1" x14ac:dyDescent="0.25">
      <c r="B797" s="30"/>
      <c r="C797" s="65"/>
      <c r="D797" s="8"/>
      <c r="E797" s="8"/>
      <c r="F797" s="34"/>
      <c r="G797" s="34"/>
      <c r="I797" s="29"/>
      <c r="J797" s="64"/>
      <c r="K797" s="60"/>
      <c r="L797" s="60"/>
      <c r="M797" s="60"/>
    </row>
    <row r="798" spans="2:13" ht="15" customHeight="1" x14ac:dyDescent="0.25">
      <c r="B798" s="30"/>
      <c r="C798" s="65"/>
      <c r="D798" s="8"/>
      <c r="E798" s="8"/>
      <c r="F798" s="34"/>
      <c r="G798" s="34"/>
      <c r="I798" s="29"/>
      <c r="J798" s="60"/>
      <c r="K798" s="60"/>
      <c r="L798" s="60"/>
      <c r="M798" s="60"/>
    </row>
    <row r="799" spans="2:13" ht="15" customHeight="1" x14ac:dyDescent="0.25">
      <c r="B799" s="30"/>
      <c r="C799" s="65"/>
      <c r="D799" s="8"/>
      <c r="E799" s="8"/>
      <c r="F799" s="34"/>
      <c r="G799" s="34"/>
      <c r="I799" s="29"/>
      <c r="J799" s="60"/>
      <c r="K799" s="60"/>
      <c r="L799" s="60"/>
      <c r="M799" s="60"/>
    </row>
    <row r="800" spans="2:13" ht="15" customHeight="1" x14ac:dyDescent="0.25">
      <c r="B800" s="30"/>
      <c r="C800" s="65"/>
      <c r="D800" s="8"/>
      <c r="E800" s="8"/>
      <c r="F800" s="34"/>
      <c r="G800" s="34"/>
      <c r="I800" s="29"/>
      <c r="J800" s="60"/>
      <c r="K800" s="60"/>
      <c r="L800" s="60"/>
      <c r="M800" s="60"/>
    </row>
    <row r="801" spans="2:13" ht="15" customHeight="1" x14ac:dyDescent="0.25">
      <c r="B801" s="30"/>
      <c r="C801" s="65"/>
      <c r="D801" s="8"/>
      <c r="E801" s="8"/>
      <c r="F801" s="34"/>
      <c r="G801" s="34"/>
      <c r="I801" s="29"/>
      <c r="J801" s="60"/>
      <c r="K801" s="60"/>
      <c r="L801" s="60"/>
      <c r="M801" s="60"/>
    </row>
    <row r="802" spans="2:13" ht="15" customHeight="1" x14ac:dyDescent="0.25">
      <c r="B802" s="30"/>
      <c r="C802" s="65"/>
      <c r="D802" s="8"/>
      <c r="E802" s="8"/>
      <c r="F802" s="34"/>
      <c r="G802" s="34"/>
      <c r="I802" s="29"/>
      <c r="J802" s="64"/>
      <c r="K802" s="60"/>
      <c r="L802" s="60"/>
      <c r="M802" s="60"/>
    </row>
    <row r="803" spans="2:13" ht="15" customHeight="1" x14ac:dyDescent="0.25">
      <c r="B803" s="30"/>
      <c r="C803" s="65"/>
      <c r="D803" s="8"/>
      <c r="E803" s="8"/>
      <c r="F803" s="34"/>
      <c r="G803" s="34"/>
      <c r="I803" s="29"/>
      <c r="J803" s="64"/>
      <c r="K803" s="60"/>
      <c r="L803" s="60"/>
      <c r="M803" s="60"/>
    </row>
    <row r="804" spans="2:13" ht="15" customHeight="1" x14ac:dyDescent="0.25">
      <c r="B804" s="30"/>
      <c r="C804" s="65"/>
      <c r="D804" s="8"/>
      <c r="E804" s="8"/>
      <c r="F804" s="34"/>
      <c r="G804" s="34"/>
      <c r="I804" s="29"/>
      <c r="J804" s="64"/>
      <c r="K804" s="60"/>
      <c r="L804" s="60"/>
      <c r="M804" s="60"/>
    </row>
    <row r="805" spans="2:13" ht="15" customHeight="1" x14ac:dyDescent="0.25">
      <c r="B805" s="30"/>
      <c r="C805" s="65"/>
      <c r="D805" s="8"/>
      <c r="E805" s="8"/>
      <c r="F805" s="34"/>
      <c r="G805" s="34"/>
      <c r="I805" s="29"/>
      <c r="J805" s="64"/>
      <c r="K805" s="60"/>
      <c r="L805" s="60"/>
      <c r="M805" s="60"/>
    </row>
    <row r="806" spans="2:13" ht="15" customHeight="1" x14ac:dyDescent="0.25">
      <c r="B806" s="30"/>
      <c r="C806" s="65"/>
      <c r="D806" s="8"/>
      <c r="E806" s="8"/>
      <c r="F806" s="34"/>
      <c r="G806" s="34"/>
      <c r="I806" s="29"/>
      <c r="J806" s="64"/>
      <c r="K806" s="60"/>
      <c r="L806" s="60"/>
      <c r="M806" s="60"/>
    </row>
    <row r="807" spans="2:13" ht="15" customHeight="1" x14ac:dyDescent="0.25">
      <c r="B807" s="30"/>
      <c r="C807" s="65"/>
      <c r="D807" s="8"/>
      <c r="E807" s="8"/>
      <c r="F807" s="34"/>
      <c r="G807" s="34"/>
      <c r="I807" s="29"/>
      <c r="J807" s="64"/>
      <c r="K807" s="60"/>
      <c r="L807" s="60"/>
      <c r="M807" s="60"/>
    </row>
    <row r="808" spans="2:13" ht="15" customHeight="1" x14ac:dyDescent="0.25">
      <c r="B808" s="30"/>
      <c r="C808" s="65"/>
      <c r="D808" s="8"/>
      <c r="E808" s="8"/>
      <c r="F808" s="34"/>
      <c r="G808" s="34"/>
      <c r="I808" s="29"/>
      <c r="J808" s="64"/>
      <c r="K808" s="60"/>
      <c r="L808" s="60"/>
      <c r="M808" s="60"/>
    </row>
    <row r="809" spans="2:13" ht="15" customHeight="1" x14ac:dyDescent="0.25">
      <c r="B809" s="30"/>
      <c r="C809" s="65"/>
      <c r="D809" s="8"/>
      <c r="E809" s="8"/>
      <c r="F809" s="34"/>
      <c r="G809" s="34"/>
      <c r="I809" s="29"/>
      <c r="J809" s="64"/>
      <c r="K809" s="60"/>
      <c r="L809" s="60"/>
      <c r="M809" s="60"/>
    </row>
    <row r="810" spans="2:13" ht="15" customHeight="1" x14ac:dyDescent="0.25">
      <c r="B810" s="30"/>
      <c r="C810" s="65"/>
      <c r="D810" s="8"/>
      <c r="E810" s="8"/>
      <c r="F810" s="34"/>
      <c r="G810" s="34"/>
      <c r="I810" s="29"/>
      <c r="J810" s="64"/>
      <c r="K810" s="61"/>
      <c r="L810" s="61"/>
      <c r="M810" s="61"/>
    </row>
    <row r="811" spans="2:13" ht="15" customHeight="1" x14ac:dyDescent="0.25">
      <c r="B811" s="30"/>
      <c r="C811" s="65"/>
      <c r="D811" s="8"/>
      <c r="E811" s="8"/>
      <c r="F811" s="34"/>
      <c r="G811" s="34"/>
      <c r="I811" s="29"/>
      <c r="J811" s="62"/>
      <c r="K811" s="60"/>
      <c r="L811" s="60"/>
      <c r="M811" s="62"/>
    </row>
    <row r="812" spans="2:13" ht="15" customHeight="1" x14ac:dyDescent="0.25">
      <c r="B812" s="30"/>
      <c r="C812" s="65"/>
      <c r="D812" s="8"/>
      <c r="E812" s="8"/>
      <c r="F812" s="34"/>
      <c r="G812" s="34"/>
      <c r="I812" s="29"/>
      <c r="J812" s="64"/>
      <c r="K812" s="60"/>
      <c r="L812" s="60"/>
      <c r="M812" s="62"/>
    </row>
    <row r="813" spans="2:13" ht="15" customHeight="1" x14ac:dyDescent="0.25">
      <c r="B813" s="30"/>
      <c r="C813" s="65"/>
      <c r="D813" s="8"/>
      <c r="E813" s="8"/>
      <c r="F813" s="34"/>
      <c r="G813" s="34"/>
      <c r="I813" s="29"/>
      <c r="J813" s="55"/>
      <c r="K813" s="61"/>
      <c r="L813" s="61"/>
      <c r="M813" s="72"/>
    </row>
    <row r="814" spans="2:13" ht="15" customHeight="1" x14ac:dyDescent="0.25">
      <c r="B814" s="30"/>
      <c r="C814" s="65"/>
      <c r="D814" s="8"/>
      <c r="E814" s="8"/>
      <c r="F814" s="34"/>
      <c r="G814" s="34"/>
      <c r="I814" s="29"/>
      <c r="J814" s="59"/>
      <c r="K814" s="60"/>
      <c r="L814" s="60"/>
      <c r="M814" s="70"/>
    </row>
    <row r="815" spans="2:13" ht="15" customHeight="1" x14ac:dyDescent="0.25">
      <c r="B815" s="30"/>
      <c r="C815" s="65"/>
      <c r="D815" s="8"/>
      <c r="E815" s="8"/>
      <c r="F815" s="34"/>
      <c r="G815" s="34"/>
      <c r="I815" s="29"/>
      <c r="J815" s="55"/>
      <c r="K815" s="60"/>
      <c r="L815" s="60"/>
      <c r="M815" s="70"/>
    </row>
    <row r="816" spans="2:13" ht="15" customHeight="1" x14ac:dyDescent="0.25">
      <c r="B816" s="30"/>
      <c r="C816" s="65"/>
      <c r="D816" s="8"/>
      <c r="E816" s="8"/>
      <c r="F816" s="34"/>
      <c r="G816" s="34"/>
      <c r="I816" s="29"/>
      <c r="J816" s="55"/>
      <c r="K816" s="59"/>
      <c r="L816" s="60"/>
      <c r="M816" s="70"/>
    </row>
    <row r="817" spans="2:13" ht="15" customHeight="1" x14ac:dyDescent="0.25">
      <c r="B817" s="30"/>
      <c r="C817" s="65"/>
      <c r="D817" s="8"/>
      <c r="E817" s="8"/>
      <c r="F817" s="34"/>
      <c r="G817" s="34"/>
      <c r="I817" s="29"/>
      <c r="J817" s="66"/>
      <c r="K817" s="59"/>
      <c r="L817" s="59"/>
      <c r="M817" s="70"/>
    </row>
    <row r="818" spans="2:13" ht="15" customHeight="1" x14ac:dyDescent="0.25">
      <c r="B818" s="30"/>
      <c r="C818" s="65"/>
      <c r="D818" s="8"/>
      <c r="E818" s="8"/>
      <c r="F818" s="34"/>
      <c r="G818" s="34"/>
      <c r="I818" s="29"/>
      <c r="J818" s="55"/>
      <c r="K818" s="62"/>
      <c r="L818" s="60"/>
      <c r="M818" s="62"/>
    </row>
    <row r="819" spans="2:13" ht="15" customHeight="1" x14ac:dyDescent="0.25">
      <c r="B819" s="30"/>
      <c r="C819" s="65"/>
      <c r="D819" s="8"/>
      <c r="E819" s="8"/>
      <c r="F819" s="34"/>
      <c r="G819" s="34"/>
      <c r="I819" s="29"/>
      <c r="J819" s="57"/>
      <c r="K819" s="61"/>
      <c r="L819" s="61"/>
      <c r="M819" s="61"/>
    </row>
    <row r="820" spans="2:13" ht="15" customHeight="1" x14ac:dyDescent="0.25">
      <c r="B820" s="30"/>
      <c r="C820" s="65"/>
      <c r="D820" s="8"/>
      <c r="E820" s="8"/>
      <c r="F820" s="34"/>
      <c r="G820" s="34"/>
      <c r="I820" s="29"/>
      <c r="J820" s="75"/>
      <c r="K820" s="60"/>
      <c r="L820" s="60"/>
      <c r="M820" s="59"/>
    </row>
    <row r="821" spans="2:13" ht="15" customHeight="1" x14ac:dyDescent="0.25">
      <c r="B821" s="30"/>
      <c r="C821" s="65"/>
      <c r="D821" s="8"/>
      <c r="E821" s="8"/>
      <c r="F821" s="34"/>
      <c r="G821" s="34"/>
      <c r="I821" s="29"/>
      <c r="J821" s="55"/>
      <c r="K821" s="60"/>
      <c r="L821" s="60"/>
      <c r="M821" s="59"/>
    </row>
    <row r="822" spans="2:13" ht="15" customHeight="1" x14ac:dyDescent="0.25">
      <c r="B822" s="30"/>
      <c r="C822" s="65"/>
      <c r="D822" s="8"/>
      <c r="E822" s="8"/>
      <c r="F822" s="34"/>
      <c r="G822" s="34"/>
      <c r="I822" s="29"/>
      <c r="J822" s="55"/>
      <c r="K822" s="59"/>
      <c r="L822" s="60"/>
      <c r="M822" s="59"/>
    </row>
    <row r="823" spans="2:13" ht="15" customHeight="1" x14ac:dyDescent="0.25">
      <c r="B823" s="30"/>
      <c r="C823" s="65"/>
      <c r="D823" s="8"/>
      <c r="E823" s="8"/>
      <c r="F823" s="34"/>
      <c r="G823" s="34"/>
      <c r="I823" s="29"/>
      <c r="J823" s="66"/>
      <c r="K823" s="59"/>
      <c r="L823" s="59"/>
      <c r="M823" s="59"/>
    </row>
    <row r="824" spans="2:13" ht="15" customHeight="1" x14ac:dyDescent="0.25">
      <c r="B824" s="30"/>
      <c r="C824" s="65"/>
      <c r="D824" s="8"/>
      <c r="E824" s="8"/>
      <c r="F824" s="34"/>
      <c r="G824" s="34"/>
      <c r="I824" s="29"/>
      <c r="J824" s="55"/>
      <c r="K824" s="60"/>
      <c r="L824" s="60"/>
      <c r="M824" s="60"/>
    </row>
    <row r="825" spans="2:13" ht="15" customHeight="1" x14ac:dyDescent="0.25">
      <c r="B825" s="30"/>
      <c r="C825" s="65"/>
      <c r="D825" s="8"/>
      <c r="E825" s="8"/>
      <c r="F825" s="34"/>
      <c r="G825" s="34"/>
      <c r="I825" s="29"/>
      <c r="J825" s="64"/>
      <c r="K825" s="60"/>
      <c r="L825" s="60"/>
      <c r="M825" s="60"/>
    </row>
    <row r="826" spans="2:13" ht="15" customHeight="1" x14ac:dyDescent="0.25">
      <c r="B826" s="30"/>
      <c r="C826" s="65"/>
      <c r="D826" s="8"/>
      <c r="E826" s="8"/>
      <c r="F826" s="34"/>
      <c r="G826" s="34"/>
      <c r="I826" s="29"/>
      <c r="J826" s="64"/>
      <c r="K826" s="60"/>
      <c r="L826" s="60"/>
      <c r="M826" s="60"/>
    </row>
    <row r="827" spans="2:13" ht="15" customHeight="1" x14ac:dyDescent="0.25">
      <c r="B827" s="30"/>
      <c r="C827" s="65"/>
      <c r="D827" s="8"/>
      <c r="E827" s="8"/>
      <c r="F827" s="34"/>
      <c r="G827" s="34"/>
      <c r="I827" s="29"/>
      <c r="J827" s="64"/>
      <c r="K827" s="61"/>
      <c r="L827" s="61"/>
      <c r="M827" s="61"/>
    </row>
    <row r="828" spans="2:13" ht="15" customHeight="1" x14ac:dyDescent="0.25">
      <c r="B828" s="30"/>
      <c r="C828" s="65"/>
      <c r="D828" s="8"/>
      <c r="E828" s="8"/>
      <c r="F828" s="34"/>
      <c r="G828" s="34"/>
      <c r="I828" s="29"/>
      <c r="J828" s="59"/>
      <c r="K828" s="60"/>
      <c r="L828" s="60"/>
      <c r="M828" s="59"/>
    </row>
    <row r="829" spans="2:13" ht="15" customHeight="1" x14ac:dyDescent="0.25">
      <c r="B829" s="30"/>
      <c r="C829" s="65"/>
      <c r="D829" s="8"/>
      <c r="E829" s="8"/>
      <c r="F829" s="34"/>
      <c r="G829" s="34"/>
      <c r="I829" s="29"/>
      <c r="J829" s="55"/>
      <c r="K829" s="60"/>
      <c r="L829" s="60"/>
      <c r="M829" s="59"/>
    </row>
    <row r="830" spans="2:13" ht="15" customHeight="1" x14ac:dyDescent="0.25">
      <c r="B830" s="30"/>
      <c r="C830" s="65"/>
      <c r="D830" s="8"/>
      <c r="E830" s="8"/>
      <c r="F830" s="34"/>
      <c r="G830" s="34"/>
      <c r="I830" s="29"/>
      <c r="J830" s="55"/>
      <c r="K830" s="59"/>
      <c r="L830" s="60"/>
      <c r="M830" s="59"/>
    </row>
    <row r="831" spans="2:13" ht="15" customHeight="1" x14ac:dyDescent="0.25">
      <c r="B831" s="30"/>
      <c r="C831" s="65"/>
      <c r="D831" s="8"/>
      <c r="E831" s="8"/>
      <c r="F831" s="34"/>
      <c r="G831" s="34"/>
      <c r="I831" s="29"/>
      <c r="J831" s="66"/>
      <c r="K831" s="59"/>
      <c r="L831" s="59"/>
      <c r="M831" s="59"/>
    </row>
    <row r="832" spans="2:13" ht="15" customHeight="1" x14ac:dyDescent="0.25">
      <c r="B832" s="30"/>
      <c r="C832" s="65"/>
      <c r="D832" s="8"/>
      <c r="E832" s="8"/>
      <c r="F832" s="34"/>
      <c r="G832" s="34"/>
      <c r="I832" s="29"/>
      <c r="J832" s="55"/>
      <c r="K832" s="60"/>
      <c r="L832" s="60"/>
      <c r="M832" s="60"/>
    </row>
    <row r="833" spans="2:13" ht="15" customHeight="1" x14ac:dyDescent="0.25">
      <c r="B833" s="30"/>
      <c r="C833" s="65"/>
      <c r="D833" s="8"/>
      <c r="E833" s="8"/>
      <c r="F833" s="34"/>
      <c r="G833" s="34"/>
      <c r="I833" s="29"/>
      <c r="J833" s="60"/>
      <c r="K833" s="60"/>
      <c r="L833" s="60"/>
      <c r="M833" s="60"/>
    </row>
    <row r="834" spans="2:13" ht="15" customHeight="1" x14ac:dyDescent="0.25">
      <c r="B834" s="30"/>
      <c r="C834" s="65"/>
      <c r="D834" s="8"/>
      <c r="E834" s="8"/>
      <c r="F834" s="34"/>
      <c r="G834" s="34"/>
      <c r="I834" s="29"/>
      <c r="J834" s="60"/>
      <c r="K834" s="60"/>
      <c r="L834" s="60"/>
      <c r="M834" s="60"/>
    </row>
    <row r="835" spans="2:13" ht="15" customHeight="1" x14ac:dyDescent="0.25">
      <c r="B835" s="30"/>
      <c r="C835" s="65"/>
      <c r="D835" s="8"/>
      <c r="E835" s="8"/>
      <c r="F835" s="34"/>
      <c r="G835" s="34"/>
      <c r="I835" s="29"/>
      <c r="J835" s="60"/>
      <c r="K835" s="60"/>
      <c r="L835" s="60"/>
      <c r="M835" s="60"/>
    </row>
    <row r="836" spans="2:13" ht="15" customHeight="1" x14ac:dyDescent="0.25">
      <c r="B836" s="30"/>
      <c r="C836" s="65"/>
      <c r="D836" s="8"/>
      <c r="E836" s="8"/>
      <c r="F836" s="34"/>
      <c r="G836" s="34"/>
      <c r="I836" s="29"/>
      <c r="J836" s="60"/>
      <c r="K836" s="60"/>
      <c r="L836" s="60"/>
      <c r="M836" s="60"/>
    </row>
    <row r="837" spans="2:13" ht="15" customHeight="1" x14ac:dyDescent="0.25">
      <c r="B837" s="30"/>
      <c r="C837" s="65"/>
      <c r="D837" s="8"/>
      <c r="E837" s="8"/>
      <c r="F837" s="34"/>
      <c r="G837" s="34"/>
      <c r="I837" s="29"/>
      <c r="J837" s="60"/>
      <c r="K837" s="60"/>
      <c r="L837" s="60"/>
      <c r="M837" s="60"/>
    </row>
    <row r="838" spans="2:13" ht="15" customHeight="1" x14ac:dyDescent="0.25">
      <c r="B838" s="30"/>
      <c r="C838" s="65"/>
      <c r="D838" s="8"/>
      <c r="E838" s="8"/>
      <c r="F838" s="34"/>
      <c r="G838" s="34"/>
      <c r="I838" s="29"/>
      <c r="J838" s="60"/>
      <c r="K838" s="61"/>
      <c r="L838" s="61"/>
      <c r="M838" s="61"/>
    </row>
    <row r="839" spans="2:13" ht="15" customHeight="1" x14ac:dyDescent="0.25">
      <c r="B839" s="30"/>
      <c r="C839" s="65"/>
      <c r="D839" s="8"/>
      <c r="E839" s="8"/>
      <c r="F839" s="34"/>
      <c r="G839" s="34"/>
      <c r="I839" s="29"/>
      <c r="J839" s="62"/>
      <c r="K839" s="60"/>
      <c r="L839" s="60"/>
      <c r="M839" s="62"/>
    </row>
    <row r="840" spans="2:13" ht="15" customHeight="1" x14ac:dyDescent="0.25">
      <c r="B840" s="30"/>
      <c r="C840" s="65"/>
      <c r="D840" s="8"/>
      <c r="E840" s="8"/>
      <c r="F840" s="34"/>
      <c r="G840" s="34"/>
      <c r="I840" s="29"/>
      <c r="J840" s="55"/>
      <c r="K840" s="60"/>
      <c r="L840" s="60"/>
      <c r="M840" s="62"/>
    </row>
    <row r="841" spans="2:13" ht="15" customHeight="1" x14ac:dyDescent="0.25">
      <c r="B841" s="30"/>
      <c r="C841" s="65"/>
      <c r="D841" s="8"/>
      <c r="E841" s="8"/>
      <c r="F841" s="34"/>
      <c r="G841" s="34"/>
      <c r="I841" s="29"/>
      <c r="J841" s="55"/>
      <c r="K841" s="62"/>
      <c r="L841" s="60"/>
      <c r="M841" s="62"/>
    </row>
    <row r="842" spans="2:13" ht="15" customHeight="1" x14ac:dyDescent="0.25">
      <c r="B842" s="30"/>
      <c r="C842" s="65"/>
      <c r="D842" s="8"/>
      <c r="E842" s="8"/>
      <c r="F842" s="34"/>
      <c r="G842" s="34"/>
      <c r="I842" s="29"/>
      <c r="J842" s="57"/>
      <c r="K842" s="62"/>
      <c r="L842" s="62"/>
      <c r="M842" s="62"/>
    </row>
    <row r="843" spans="2:13" ht="15" customHeight="1" x14ac:dyDescent="0.25">
      <c r="B843" s="30"/>
      <c r="C843" s="65"/>
      <c r="D843" s="8"/>
      <c r="E843" s="8"/>
      <c r="F843" s="34"/>
      <c r="G843" s="34"/>
      <c r="I843" s="29"/>
      <c r="J843" s="55"/>
      <c r="K843" s="60"/>
      <c r="L843" s="60"/>
      <c r="M843" s="60"/>
    </row>
    <row r="844" spans="2:13" ht="15" customHeight="1" x14ac:dyDescent="0.25">
      <c r="B844" s="30"/>
      <c r="C844" s="65"/>
      <c r="D844" s="8"/>
      <c r="E844" s="8"/>
      <c r="F844" s="34"/>
      <c r="G844" s="34"/>
      <c r="I844" s="29"/>
      <c r="J844" s="60"/>
      <c r="K844" s="60"/>
      <c r="L844" s="60"/>
      <c r="M844" s="60"/>
    </row>
    <row r="845" spans="2:13" ht="15" customHeight="1" x14ac:dyDescent="0.25">
      <c r="B845" s="30"/>
      <c r="C845" s="65"/>
      <c r="D845" s="8"/>
      <c r="E845" s="8"/>
      <c r="F845" s="34"/>
      <c r="G845" s="34"/>
      <c r="I845" s="29"/>
      <c r="J845" s="60"/>
      <c r="K845" s="60"/>
      <c r="L845" s="60"/>
      <c r="M845" s="60"/>
    </row>
    <row r="846" spans="2:13" ht="15" customHeight="1" x14ac:dyDescent="0.25">
      <c r="B846" s="30"/>
      <c r="C846" s="65"/>
      <c r="D846" s="8"/>
      <c r="E846" s="8"/>
      <c r="F846" s="34"/>
      <c r="G846" s="34"/>
      <c r="I846" s="29"/>
      <c r="J846" s="60"/>
      <c r="K846" s="60"/>
      <c r="L846" s="60"/>
      <c r="M846" s="60"/>
    </row>
    <row r="847" spans="2:13" ht="15" customHeight="1" x14ac:dyDescent="0.25">
      <c r="B847" s="30"/>
      <c r="C847" s="65"/>
      <c r="D847" s="8"/>
      <c r="E847" s="8"/>
      <c r="F847" s="34"/>
      <c r="G847" s="34"/>
      <c r="I847" s="29"/>
      <c r="J847" s="60"/>
      <c r="K847" s="60"/>
      <c r="L847" s="60"/>
      <c r="M847" s="60"/>
    </row>
    <row r="848" spans="2:13" ht="15" customHeight="1" x14ac:dyDescent="0.25">
      <c r="B848" s="30"/>
      <c r="C848" s="65"/>
      <c r="D848" s="8"/>
      <c r="E848" s="8"/>
      <c r="F848" s="34"/>
      <c r="G848" s="34"/>
      <c r="I848" s="29"/>
      <c r="J848" s="60"/>
      <c r="K848" s="60"/>
      <c r="L848" s="60"/>
      <c r="M848" s="60"/>
    </row>
    <row r="849" spans="1:13" ht="15" customHeight="1" x14ac:dyDescent="0.25">
      <c r="B849" s="30"/>
      <c r="C849" s="65"/>
      <c r="D849" s="8"/>
      <c r="E849" s="8"/>
      <c r="F849" s="34"/>
      <c r="G849" s="34"/>
      <c r="I849" s="29"/>
      <c r="J849" s="60"/>
      <c r="K849" s="60"/>
      <c r="L849" s="60"/>
      <c r="M849" s="60"/>
    </row>
    <row r="850" spans="1:13" ht="15" customHeight="1" x14ac:dyDescent="0.25">
      <c r="B850" s="30"/>
      <c r="C850" s="65"/>
      <c r="D850" s="8"/>
      <c r="E850" s="8"/>
      <c r="F850" s="34"/>
      <c r="G850" s="34"/>
      <c r="I850" s="29"/>
      <c r="J850" s="60"/>
      <c r="K850" s="60"/>
      <c r="L850" s="60"/>
      <c r="M850" s="60"/>
    </row>
    <row r="851" spans="1:13" ht="15" customHeight="1" x14ac:dyDescent="0.25">
      <c r="B851" s="30"/>
      <c r="C851" s="65"/>
      <c r="D851" s="8"/>
      <c r="E851" s="8"/>
      <c r="F851" s="34"/>
      <c r="G851" s="34"/>
      <c r="I851" s="29"/>
      <c r="J851" s="60"/>
      <c r="K851" s="60"/>
      <c r="L851" s="60"/>
      <c r="M851" s="60"/>
    </row>
    <row r="852" spans="1:13" ht="15" customHeight="1" x14ac:dyDescent="0.25">
      <c r="B852" s="30"/>
      <c r="C852" s="65"/>
      <c r="D852" s="8"/>
      <c r="E852" s="8"/>
      <c r="F852" s="34"/>
      <c r="G852" s="34"/>
      <c r="I852" s="29"/>
      <c r="J852" s="60"/>
      <c r="K852" s="60"/>
      <c r="L852" s="60"/>
      <c r="M852" s="60"/>
    </row>
    <row r="853" spans="1:13" ht="15" customHeight="1" x14ac:dyDescent="0.25">
      <c r="B853" s="30"/>
      <c r="C853" s="65"/>
      <c r="D853" s="8"/>
      <c r="E853" s="8"/>
      <c r="F853" s="34"/>
      <c r="G853" s="34"/>
      <c r="I853" s="29"/>
      <c r="J853" s="60"/>
      <c r="K853" s="60"/>
      <c r="L853" s="60"/>
      <c r="M853" s="60"/>
    </row>
    <row r="854" spans="1:13" ht="15" customHeight="1" x14ac:dyDescent="0.25">
      <c r="B854" s="30"/>
      <c r="C854" s="65"/>
      <c r="D854" s="8"/>
      <c r="E854" s="8"/>
      <c r="F854" s="34"/>
      <c r="G854" s="34"/>
      <c r="I854" s="29"/>
      <c r="J854" s="64"/>
      <c r="K854" s="60"/>
      <c r="L854" s="60"/>
      <c r="M854" s="60"/>
    </row>
    <row r="855" spans="1:13" ht="15" customHeight="1" x14ac:dyDescent="0.25">
      <c r="A855" s="30"/>
      <c r="B855" s="30"/>
      <c r="C855" s="86"/>
      <c r="D855" s="35"/>
      <c r="E855" s="32"/>
      <c r="F855" s="34"/>
      <c r="G855" s="34"/>
      <c r="I855" s="29"/>
      <c r="J855" s="60"/>
      <c r="K855" s="60"/>
      <c r="L855" s="60"/>
      <c r="M855" s="60"/>
    </row>
    <row r="856" spans="1:13" ht="15" customHeight="1" x14ac:dyDescent="0.25">
      <c r="A856" s="30"/>
      <c r="B856" s="30"/>
      <c r="C856" s="86"/>
      <c r="D856" s="35"/>
      <c r="E856" s="32"/>
      <c r="F856" s="34"/>
      <c r="G856" s="34"/>
      <c r="I856" s="29"/>
      <c r="J856" s="60"/>
      <c r="K856" s="60"/>
      <c r="L856" s="60"/>
      <c r="M856" s="60"/>
    </row>
    <row r="857" spans="1:13" ht="15" customHeight="1" x14ac:dyDescent="0.25">
      <c r="A857" s="30"/>
      <c r="B857" s="30"/>
      <c r="C857" s="86"/>
      <c r="D857" s="35"/>
      <c r="E857" s="32"/>
      <c r="F857" s="34"/>
      <c r="G857" s="34"/>
      <c r="I857" s="29"/>
      <c r="J857" s="60"/>
      <c r="K857" s="60"/>
      <c r="L857" s="60"/>
      <c r="M857" s="60"/>
    </row>
    <row r="858" spans="1:13" ht="15" customHeight="1" x14ac:dyDescent="0.25">
      <c r="A858" s="30"/>
      <c r="B858" s="30"/>
      <c r="C858" s="92"/>
      <c r="D858" s="35"/>
      <c r="E858" s="32"/>
      <c r="F858" s="34"/>
      <c r="G858" s="34"/>
      <c r="I858" s="29"/>
      <c r="J858" s="60"/>
      <c r="K858" s="60"/>
      <c r="L858" s="60"/>
      <c r="M858" s="60"/>
    </row>
    <row r="859" spans="1:13" ht="15" customHeight="1" x14ac:dyDescent="0.25">
      <c r="A859" s="30"/>
      <c r="B859" s="30"/>
      <c r="C859" s="86"/>
      <c r="D859" s="35"/>
      <c r="E859" s="32"/>
      <c r="F859" s="34"/>
      <c r="G859" s="34"/>
      <c r="I859" s="29"/>
      <c r="J859" s="64"/>
      <c r="K859" s="60"/>
      <c r="L859" s="60"/>
      <c r="M859" s="60"/>
    </row>
    <row r="860" spans="1:13" ht="15" customHeight="1" x14ac:dyDescent="0.25">
      <c r="A860" s="30"/>
      <c r="B860" s="30"/>
      <c r="C860" s="86"/>
      <c r="D860" s="35"/>
      <c r="E860" s="32"/>
      <c r="F860" s="34"/>
      <c r="G860" s="34"/>
      <c r="I860" s="29"/>
      <c r="J860" s="64"/>
      <c r="K860" s="60"/>
      <c r="L860" s="60"/>
      <c r="M860" s="60"/>
    </row>
    <row r="861" spans="1:13" ht="15" customHeight="1" x14ac:dyDescent="0.25">
      <c r="A861" s="2"/>
      <c r="B861" s="30"/>
      <c r="C861" s="86"/>
      <c r="D861" s="35"/>
      <c r="E861" s="32"/>
      <c r="F861" s="34"/>
      <c r="G861" s="34"/>
      <c r="I861" s="29"/>
      <c r="J861" s="64"/>
      <c r="K861" s="60"/>
      <c r="L861" s="60"/>
      <c r="M861" s="60"/>
    </row>
    <row r="862" spans="1:13" ht="15" customHeight="1" x14ac:dyDescent="0.25">
      <c r="A862" s="2"/>
      <c r="B862" s="2"/>
      <c r="C862" s="86"/>
      <c r="D862" s="35"/>
      <c r="E862" s="32"/>
      <c r="F862" s="34"/>
      <c r="G862" s="34"/>
      <c r="I862" s="29"/>
      <c r="J862" s="64"/>
      <c r="K862" s="60"/>
      <c r="L862" s="60"/>
      <c r="M862" s="60"/>
    </row>
    <row r="863" spans="1:13" ht="15" customHeight="1" x14ac:dyDescent="0.25">
      <c r="A863" s="2"/>
      <c r="B863" s="2"/>
      <c r="C863" s="86"/>
      <c r="D863" s="35"/>
      <c r="E863" s="32"/>
      <c r="F863" s="34"/>
      <c r="G863" s="34"/>
      <c r="I863" s="29"/>
      <c r="J863" s="64"/>
      <c r="K863" s="60"/>
      <c r="L863" s="60"/>
      <c r="M863" s="60"/>
    </row>
    <row r="864" spans="1:13" ht="15" customHeight="1" x14ac:dyDescent="0.25">
      <c r="A864" s="2"/>
      <c r="B864" s="2"/>
      <c r="C864" s="86"/>
      <c r="D864" s="35"/>
      <c r="E864" s="32"/>
      <c r="F864" s="34"/>
      <c r="G864" s="34"/>
      <c r="I864" s="29"/>
      <c r="J864" s="60"/>
      <c r="K864" s="60"/>
      <c r="L864" s="60"/>
      <c r="M864" s="60"/>
    </row>
    <row r="865" spans="1:13" ht="15" customHeight="1" x14ac:dyDescent="0.25">
      <c r="A865" s="2"/>
      <c r="B865" s="2"/>
      <c r="C865" s="86"/>
      <c r="D865" s="35"/>
      <c r="E865" s="32"/>
      <c r="F865" s="34"/>
      <c r="G865" s="34"/>
      <c r="I865" s="29"/>
      <c r="J865" s="60"/>
      <c r="K865" s="60"/>
      <c r="L865" s="60"/>
      <c r="M865" s="60"/>
    </row>
    <row r="866" spans="1:13" ht="15" customHeight="1" x14ac:dyDescent="0.25">
      <c r="A866" s="2"/>
      <c r="B866" s="2"/>
      <c r="C866" s="86"/>
      <c r="D866" s="35"/>
      <c r="E866" s="32"/>
      <c r="F866" s="34"/>
      <c r="G866" s="34"/>
      <c r="I866" s="29"/>
      <c r="J866" s="60"/>
      <c r="K866" s="60"/>
      <c r="L866" s="60"/>
      <c r="M866" s="60"/>
    </row>
    <row r="867" spans="1:13" ht="15" customHeight="1" x14ac:dyDescent="0.25">
      <c r="A867" s="2"/>
      <c r="B867" s="2"/>
      <c r="C867" s="86"/>
      <c r="D867" s="35"/>
      <c r="E867" s="32"/>
      <c r="F867" s="34"/>
      <c r="G867" s="34"/>
      <c r="I867" s="29"/>
      <c r="J867" s="60"/>
      <c r="K867" s="60"/>
      <c r="L867" s="60"/>
      <c r="M867" s="60"/>
    </row>
    <row r="868" spans="1:13" ht="15" customHeight="1" x14ac:dyDescent="0.25">
      <c r="A868" s="2"/>
      <c r="B868" s="2"/>
      <c r="C868" s="86"/>
      <c r="D868" s="35"/>
      <c r="E868" s="32"/>
      <c r="F868" s="34"/>
      <c r="G868" s="34"/>
      <c r="I868" s="29"/>
      <c r="J868" s="60"/>
      <c r="K868" s="60"/>
      <c r="L868" s="60"/>
      <c r="M868" s="60"/>
    </row>
    <row r="869" spans="1:13" ht="15" customHeight="1" x14ac:dyDescent="0.25">
      <c r="A869" s="2"/>
      <c r="B869" s="2"/>
      <c r="C869" s="86"/>
      <c r="D869" s="35"/>
      <c r="E869" s="32"/>
      <c r="F869" s="34"/>
      <c r="G869" s="34"/>
      <c r="I869" s="29"/>
      <c r="J869" s="60"/>
      <c r="K869" s="60"/>
      <c r="L869" s="60"/>
      <c r="M869" s="60"/>
    </row>
    <row r="870" spans="1:13" ht="15" customHeight="1" x14ac:dyDescent="0.25">
      <c r="A870" s="2"/>
      <c r="B870" s="2"/>
      <c r="C870" s="91"/>
      <c r="D870" s="35"/>
      <c r="E870" s="32"/>
      <c r="F870" s="34"/>
      <c r="G870" s="34"/>
      <c r="I870" s="29"/>
      <c r="J870" s="60"/>
      <c r="K870" s="60"/>
      <c r="L870" s="60"/>
      <c r="M870" s="60"/>
    </row>
    <row r="871" spans="1:13" ht="15" customHeight="1" x14ac:dyDescent="0.25">
      <c r="A871" s="2"/>
      <c r="B871" s="2"/>
      <c r="C871" s="95"/>
      <c r="D871" s="35"/>
      <c r="E871" s="32"/>
      <c r="F871" s="34"/>
      <c r="G871" s="34"/>
      <c r="I871" s="29"/>
      <c r="J871" s="60"/>
      <c r="K871" s="60"/>
      <c r="L871" s="60"/>
      <c r="M871" s="60"/>
    </row>
    <row r="872" spans="1:13" ht="15" customHeight="1" x14ac:dyDescent="0.25">
      <c r="A872" s="2"/>
      <c r="B872" s="2"/>
      <c r="C872" s="90"/>
      <c r="D872" s="35"/>
      <c r="E872" s="32"/>
      <c r="F872" s="34"/>
      <c r="G872" s="34"/>
      <c r="I872" s="29"/>
      <c r="J872" s="60"/>
      <c r="K872" s="60"/>
      <c r="L872" s="60"/>
      <c r="M872" s="60"/>
    </row>
    <row r="873" spans="1:13" ht="15" customHeight="1" x14ac:dyDescent="0.25">
      <c r="A873" s="2"/>
      <c r="B873" s="2"/>
      <c r="C873" s="92"/>
      <c r="D873" s="35"/>
      <c r="E873" s="32"/>
      <c r="F873" s="26"/>
      <c r="G873" s="34"/>
      <c r="I873" s="29"/>
      <c r="J873" s="60"/>
      <c r="K873" s="60"/>
      <c r="L873" s="60"/>
      <c r="M873" s="60"/>
    </row>
    <row r="874" spans="1:13" ht="15" customHeight="1" x14ac:dyDescent="0.25">
      <c r="A874" s="2"/>
      <c r="B874" s="2"/>
      <c r="C874" s="92"/>
      <c r="D874" s="35"/>
      <c r="E874" s="32"/>
      <c r="F874" s="26"/>
      <c r="G874" s="26"/>
      <c r="H874" s="26"/>
      <c r="I874" s="29"/>
      <c r="J874" s="60"/>
      <c r="K874" s="60"/>
      <c r="L874" s="60"/>
      <c r="M874" s="60"/>
    </row>
    <row r="875" spans="1:13" ht="15" customHeight="1" x14ac:dyDescent="0.25">
      <c r="A875" s="2"/>
      <c r="B875" s="2"/>
      <c r="C875" s="86"/>
      <c r="D875" s="35"/>
      <c r="E875" s="32"/>
      <c r="F875" s="34"/>
      <c r="G875" s="26"/>
      <c r="I875" s="6"/>
      <c r="J875" s="64"/>
      <c r="K875" s="60"/>
      <c r="L875" s="60"/>
      <c r="M875" s="60"/>
    </row>
    <row r="876" spans="1:13" ht="15" customHeight="1" x14ac:dyDescent="0.25">
      <c r="A876" s="2"/>
      <c r="B876" s="2"/>
      <c r="C876" s="92"/>
      <c r="D876" s="35"/>
      <c r="E876" s="32"/>
      <c r="F876" s="34"/>
      <c r="G876" s="34"/>
      <c r="I876" s="6"/>
      <c r="J876" s="64"/>
      <c r="K876" s="60"/>
      <c r="L876" s="60"/>
      <c r="M876" s="60"/>
    </row>
    <row r="877" spans="1:13" ht="15" customHeight="1" x14ac:dyDescent="0.25">
      <c r="A877" s="2"/>
      <c r="B877" s="2"/>
      <c r="C877" s="86"/>
      <c r="D877" s="35"/>
      <c r="E877" s="32"/>
      <c r="F877" s="34"/>
      <c r="G877" s="34"/>
      <c r="I877" s="29"/>
      <c r="J877" s="60"/>
      <c r="K877" s="60"/>
      <c r="L877" s="60"/>
      <c r="M877" s="60"/>
    </row>
    <row r="878" spans="1:13" ht="15" customHeight="1" x14ac:dyDescent="0.25">
      <c r="A878" s="2"/>
      <c r="B878" s="2"/>
      <c r="C878" s="86"/>
      <c r="D878" s="37"/>
      <c r="E878" s="32"/>
      <c r="F878" s="34"/>
      <c r="G878" s="34"/>
      <c r="I878" s="29"/>
      <c r="J878" s="60"/>
      <c r="K878" s="60"/>
      <c r="L878" s="60"/>
      <c r="M878" s="60"/>
    </row>
    <row r="879" spans="1:13" ht="15" customHeight="1" x14ac:dyDescent="0.25">
      <c r="A879" s="2"/>
      <c r="B879" s="2"/>
      <c r="C879" s="86"/>
      <c r="D879" s="37"/>
      <c r="E879" s="32"/>
      <c r="F879" s="34"/>
      <c r="G879" s="34"/>
      <c r="I879" s="29"/>
      <c r="J879" s="60"/>
      <c r="K879" s="60"/>
      <c r="L879" s="60"/>
      <c r="M879" s="60"/>
    </row>
    <row r="880" spans="1:13" ht="15" customHeight="1" x14ac:dyDescent="0.25">
      <c r="A880" s="2"/>
      <c r="B880" s="2"/>
      <c r="C880" s="86"/>
      <c r="D880" s="35"/>
      <c r="E880" s="32"/>
      <c r="F880" s="34"/>
      <c r="G880" s="34"/>
      <c r="I880" s="29"/>
      <c r="J880" s="60"/>
      <c r="K880" s="61"/>
      <c r="L880" s="61"/>
      <c r="M880" s="72"/>
    </row>
    <row r="881" spans="1:13" ht="15" customHeight="1" x14ac:dyDescent="0.25">
      <c r="A881" s="2"/>
      <c r="B881" s="2"/>
      <c r="C881" s="86"/>
      <c r="D881" s="35"/>
      <c r="E881" s="32"/>
      <c r="F881" s="34"/>
      <c r="G881" s="34"/>
      <c r="I881" s="29"/>
      <c r="J881" s="59"/>
      <c r="K881" s="60"/>
      <c r="L881" s="60"/>
      <c r="M881" s="70"/>
    </row>
    <row r="882" spans="1:13" ht="15" customHeight="1" x14ac:dyDescent="0.25">
      <c r="A882" s="2"/>
      <c r="B882" s="2"/>
      <c r="C882" s="86"/>
      <c r="D882" s="35"/>
      <c r="E882" s="32"/>
      <c r="F882" s="34"/>
      <c r="G882" s="34"/>
      <c r="I882" s="29"/>
      <c r="J882" s="55"/>
      <c r="K882" s="60"/>
      <c r="L882" s="60"/>
      <c r="M882" s="70"/>
    </row>
    <row r="883" spans="1:13" ht="15" customHeight="1" x14ac:dyDescent="0.25">
      <c r="A883" s="2"/>
      <c r="B883" s="2"/>
      <c r="C883" s="86"/>
      <c r="D883" s="35"/>
      <c r="E883" s="32"/>
      <c r="F883" s="34"/>
      <c r="G883" s="34"/>
      <c r="I883" s="29"/>
      <c r="J883" s="55"/>
      <c r="K883" s="59"/>
      <c r="L883" s="60"/>
      <c r="M883" s="70"/>
    </row>
    <row r="884" spans="1:13" ht="15" customHeight="1" x14ac:dyDescent="0.25">
      <c r="A884" s="2"/>
      <c r="B884" s="2"/>
      <c r="C884" s="86"/>
      <c r="D884" s="35"/>
      <c r="E884" s="32"/>
      <c r="F884" s="34"/>
      <c r="G884" s="34"/>
      <c r="I884" s="29"/>
      <c r="J884" s="66"/>
      <c r="K884" s="59"/>
      <c r="L884" s="59"/>
      <c r="M884" s="70"/>
    </row>
    <row r="885" spans="1:13" ht="15" customHeight="1" x14ac:dyDescent="0.25">
      <c r="A885" s="2"/>
      <c r="B885" s="2"/>
      <c r="C885" s="86"/>
      <c r="D885" s="35"/>
      <c r="E885" s="32"/>
      <c r="F885" s="34"/>
      <c r="G885" s="34"/>
      <c r="I885" s="29"/>
      <c r="J885" s="55"/>
      <c r="K885" s="61"/>
      <c r="L885" s="61"/>
      <c r="M885" s="61"/>
    </row>
    <row r="886" spans="1:13" ht="15" customHeight="1" x14ac:dyDescent="0.25">
      <c r="A886" s="2"/>
      <c r="B886" s="2"/>
      <c r="C886" s="86"/>
      <c r="D886" s="35"/>
      <c r="E886" s="32"/>
      <c r="F886" s="34"/>
      <c r="G886" s="34"/>
      <c r="I886" s="29"/>
      <c r="J886" s="59"/>
      <c r="K886" s="60"/>
      <c r="L886" s="60"/>
      <c r="M886" s="59"/>
    </row>
    <row r="887" spans="1:13" ht="15" customHeight="1" x14ac:dyDescent="0.25">
      <c r="A887" s="2"/>
      <c r="B887" s="2"/>
      <c r="C887" s="86"/>
      <c r="D887" s="35"/>
      <c r="E887" s="32"/>
      <c r="F887" s="34"/>
      <c r="G887" s="34"/>
      <c r="I887" s="29"/>
      <c r="J887" s="55"/>
      <c r="K887" s="60"/>
      <c r="L887" s="60"/>
      <c r="M887" s="59"/>
    </row>
    <row r="888" spans="1:13" ht="15" customHeight="1" x14ac:dyDescent="0.25">
      <c r="A888" s="2"/>
      <c r="B888" s="2"/>
      <c r="C888" s="86"/>
      <c r="D888" s="35"/>
      <c r="E888" s="32"/>
      <c r="F888" s="34"/>
      <c r="G888" s="34"/>
      <c r="I888" s="29"/>
      <c r="J888" s="55"/>
      <c r="K888" s="59"/>
      <c r="L888" s="60"/>
      <c r="M888" s="59"/>
    </row>
    <row r="889" spans="1:13" ht="15" customHeight="1" x14ac:dyDescent="0.25">
      <c r="A889" s="2"/>
      <c r="B889" s="2"/>
      <c r="C889" s="86"/>
      <c r="D889" s="35"/>
      <c r="E889" s="32"/>
      <c r="F889" s="34"/>
      <c r="G889" s="34"/>
      <c r="I889" s="29"/>
      <c r="J889" s="66"/>
      <c r="K889" s="59"/>
      <c r="L889" s="59"/>
      <c r="M889" s="59"/>
    </row>
    <row r="890" spans="1:13" ht="15" customHeight="1" x14ac:dyDescent="0.25">
      <c r="A890" s="2"/>
      <c r="B890" s="2"/>
      <c r="C890" s="86"/>
      <c r="D890" s="35"/>
      <c r="E890" s="32"/>
      <c r="F890" s="34"/>
      <c r="G890" s="34"/>
      <c r="I890" s="29"/>
      <c r="J890" s="55"/>
      <c r="K890" s="60"/>
      <c r="L890" s="60"/>
      <c r="M890" s="60"/>
    </row>
    <row r="891" spans="1:13" ht="15" customHeight="1" x14ac:dyDescent="0.25">
      <c r="A891" s="2"/>
      <c r="B891" s="2"/>
      <c r="C891" s="92"/>
      <c r="D891" s="35"/>
      <c r="E891" s="32"/>
      <c r="F891" s="34"/>
      <c r="G891" s="34"/>
      <c r="I891" s="29"/>
      <c r="J891" s="60"/>
      <c r="K891" s="60"/>
      <c r="L891" s="60"/>
      <c r="M891" s="60"/>
    </row>
    <row r="892" spans="1:13" ht="15" customHeight="1" x14ac:dyDescent="0.25">
      <c r="A892" s="2"/>
      <c r="B892" s="2"/>
      <c r="C892" s="86"/>
      <c r="D892" s="35"/>
      <c r="E892" s="32"/>
      <c r="F892" s="34"/>
      <c r="G892" s="34"/>
      <c r="I892" s="29"/>
      <c r="J892" s="60"/>
      <c r="K892" s="61"/>
      <c r="L892" s="61"/>
      <c r="M892" s="61"/>
    </row>
    <row r="893" spans="1:13" ht="15" customHeight="1" x14ac:dyDescent="0.25">
      <c r="A893" s="2"/>
      <c r="B893" s="2"/>
      <c r="C893" s="86"/>
      <c r="D893" s="35"/>
      <c r="E893" s="32"/>
      <c r="F893" s="34"/>
      <c r="G893" s="34"/>
      <c r="I893" s="29"/>
      <c r="J893" s="62"/>
      <c r="K893" s="60"/>
      <c r="L893" s="60"/>
      <c r="M893" s="62"/>
    </row>
    <row r="894" spans="1:13" ht="15" customHeight="1" x14ac:dyDescent="0.25">
      <c r="A894" s="2"/>
      <c r="B894" s="2"/>
      <c r="C894" s="92"/>
      <c r="D894" s="35"/>
      <c r="E894" s="32"/>
      <c r="F894" s="34"/>
      <c r="G894" s="34"/>
      <c r="I894" s="29"/>
      <c r="J894" s="55"/>
      <c r="K894" s="60"/>
      <c r="L894" s="60"/>
      <c r="M894" s="62"/>
    </row>
    <row r="895" spans="1:13" ht="15" customHeight="1" x14ac:dyDescent="0.25">
      <c r="A895" s="2"/>
      <c r="B895" s="2"/>
      <c r="C895" s="86"/>
      <c r="D895" s="35"/>
      <c r="E895" s="32"/>
      <c r="F895" s="34"/>
      <c r="G895" s="34"/>
      <c r="I895" s="29"/>
      <c r="J895" s="55"/>
      <c r="K895" s="62"/>
      <c r="L895" s="60"/>
      <c r="M895" s="62"/>
    </row>
    <row r="896" spans="1:13" ht="15" customHeight="1" x14ac:dyDescent="0.25">
      <c r="A896" s="2"/>
      <c r="B896" s="2"/>
      <c r="C896" s="92"/>
      <c r="D896" s="35"/>
      <c r="E896" s="32"/>
      <c r="F896" s="34"/>
      <c r="G896" s="34"/>
      <c r="I896" s="29"/>
      <c r="J896" s="57"/>
      <c r="K896" s="61"/>
      <c r="L896" s="61"/>
      <c r="M896" s="61"/>
    </row>
    <row r="897" spans="1:13" ht="15" customHeight="1" x14ac:dyDescent="0.25">
      <c r="A897" s="2"/>
      <c r="B897" s="2"/>
      <c r="C897" s="86"/>
      <c r="D897" s="35"/>
      <c r="E897" s="32"/>
      <c r="F897" s="34"/>
      <c r="G897" s="34"/>
      <c r="I897" s="29"/>
      <c r="J897" s="59"/>
      <c r="K897" s="60"/>
      <c r="L897" s="60"/>
      <c r="M897" s="59"/>
    </row>
    <row r="898" spans="1:13" ht="15" customHeight="1" x14ac:dyDescent="0.25">
      <c r="A898" s="2"/>
      <c r="B898" s="2"/>
      <c r="C898" s="86"/>
      <c r="D898" s="35"/>
      <c r="E898" s="32"/>
      <c r="F898" s="34"/>
      <c r="G898" s="34"/>
      <c r="I898" s="29"/>
      <c r="J898" s="55"/>
      <c r="K898" s="60"/>
      <c r="L898" s="60"/>
      <c r="M898" s="59"/>
    </row>
    <row r="899" spans="1:13" ht="15" customHeight="1" x14ac:dyDescent="0.25">
      <c r="A899" s="2"/>
      <c r="B899" s="2"/>
      <c r="C899" s="92"/>
      <c r="D899" s="35"/>
      <c r="E899" s="32"/>
      <c r="F899" s="34"/>
      <c r="G899" s="34"/>
      <c r="I899" s="29"/>
      <c r="J899" s="55"/>
      <c r="K899" s="59"/>
      <c r="L899" s="60"/>
      <c r="M899" s="59"/>
    </row>
    <row r="900" spans="1:13" ht="15" customHeight="1" x14ac:dyDescent="0.25">
      <c r="A900" s="2"/>
      <c r="B900" s="2"/>
      <c r="C900" s="86"/>
      <c r="D900" s="35"/>
      <c r="E900" s="32"/>
      <c r="F900" s="34"/>
      <c r="G900" s="34"/>
      <c r="I900" s="29"/>
      <c r="J900" s="66"/>
      <c r="K900" s="59"/>
      <c r="L900" s="59"/>
      <c r="M900" s="59"/>
    </row>
    <row r="901" spans="1:13" ht="15" customHeight="1" x14ac:dyDescent="0.25">
      <c r="A901" s="2"/>
      <c r="B901" s="2"/>
      <c r="C901" s="86"/>
      <c r="D901" s="35"/>
      <c r="E901" s="32"/>
      <c r="F901" s="34"/>
      <c r="G901" s="34"/>
      <c r="I901" s="29"/>
      <c r="J901" s="55"/>
      <c r="K901" s="60"/>
      <c r="L901" s="60"/>
      <c r="M901" s="60"/>
    </row>
    <row r="902" spans="1:13" ht="15" customHeight="1" x14ac:dyDescent="0.25">
      <c r="A902" s="2"/>
      <c r="B902" s="2"/>
      <c r="C902" s="92"/>
      <c r="D902" s="35"/>
      <c r="E902" s="32"/>
      <c r="F902" s="34"/>
      <c r="G902" s="34"/>
      <c r="I902" s="29"/>
      <c r="J902" s="60"/>
      <c r="K902" s="60"/>
      <c r="L902" s="60"/>
      <c r="M902" s="60"/>
    </row>
    <row r="903" spans="1:13" ht="15" customHeight="1" x14ac:dyDescent="0.25">
      <c r="A903" s="2"/>
      <c r="B903" s="2"/>
      <c r="C903" s="86"/>
      <c r="D903" s="35"/>
      <c r="E903" s="32"/>
      <c r="F903" s="34"/>
      <c r="G903" s="34"/>
      <c r="I903" s="29"/>
      <c r="J903" s="60"/>
      <c r="K903" s="60"/>
      <c r="L903" s="60"/>
      <c r="M903" s="60"/>
    </row>
    <row r="904" spans="1:13" ht="15" customHeight="1" x14ac:dyDescent="0.25">
      <c r="A904" s="2"/>
      <c r="B904" s="2"/>
      <c r="C904" s="86"/>
      <c r="D904" s="35"/>
      <c r="E904" s="32"/>
      <c r="F904" s="34"/>
      <c r="G904" s="34"/>
      <c r="I904" s="29"/>
      <c r="J904" s="60"/>
      <c r="K904" s="60"/>
      <c r="L904" s="60"/>
      <c r="M904" s="60"/>
    </row>
    <row r="905" spans="1:13" ht="15" customHeight="1" x14ac:dyDescent="0.25">
      <c r="A905" s="2"/>
      <c r="B905" s="2"/>
      <c r="C905" s="86"/>
      <c r="D905" s="35"/>
      <c r="E905" s="32"/>
      <c r="F905" s="34"/>
      <c r="G905" s="34"/>
      <c r="I905" s="29"/>
      <c r="J905" s="60"/>
      <c r="K905" s="60"/>
      <c r="L905" s="60"/>
      <c r="M905" s="60"/>
    </row>
    <row r="906" spans="1:13" ht="15" customHeight="1" x14ac:dyDescent="0.25">
      <c r="A906" s="2"/>
      <c r="B906" s="2"/>
      <c r="C906" s="86"/>
      <c r="D906" s="35"/>
      <c r="E906" s="32"/>
      <c r="F906" s="34"/>
      <c r="G906" s="34"/>
      <c r="I906" s="29"/>
      <c r="J906" s="60"/>
      <c r="K906" s="60"/>
      <c r="L906" s="60"/>
      <c r="M906" s="60"/>
    </row>
    <row r="907" spans="1:13" ht="15" customHeight="1" x14ac:dyDescent="0.25">
      <c r="A907" s="2"/>
      <c r="B907" s="2"/>
      <c r="C907" s="86"/>
      <c r="D907" s="35"/>
      <c r="E907" s="32"/>
      <c r="F907" s="34"/>
      <c r="G907" s="34"/>
      <c r="I907" s="29"/>
      <c r="J907" s="60"/>
      <c r="K907" s="60"/>
      <c r="L907" s="60"/>
      <c r="M907" s="60"/>
    </row>
    <row r="908" spans="1:13" ht="15" customHeight="1" x14ac:dyDescent="0.25">
      <c r="A908" s="2"/>
      <c r="B908" s="2"/>
      <c r="C908" s="86"/>
      <c r="D908" s="35"/>
      <c r="E908" s="32"/>
      <c r="F908" s="34"/>
      <c r="G908" s="34"/>
      <c r="I908" s="29"/>
      <c r="J908" s="60"/>
      <c r="K908" s="61"/>
      <c r="L908" s="61"/>
      <c r="M908" s="61"/>
    </row>
    <row r="909" spans="1:13" ht="15" customHeight="1" x14ac:dyDescent="0.25">
      <c r="A909" s="2"/>
      <c r="B909" s="2"/>
      <c r="C909" s="86"/>
      <c r="D909" s="35"/>
      <c r="E909" s="32"/>
      <c r="F909" s="34"/>
      <c r="G909" s="34"/>
      <c r="I909" s="29"/>
      <c r="J909" s="62"/>
      <c r="K909" s="60"/>
      <c r="L909" s="60"/>
      <c r="M909" s="62"/>
    </row>
    <row r="910" spans="1:13" ht="15" customHeight="1" x14ac:dyDescent="0.25">
      <c r="A910" s="2"/>
      <c r="B910" s="2"/>
      <c r="C910" s="86"/>
      <c r="D910" s="35"/>
      <c r="E910" s="32"/>
      <c r="F910" s="34"/>
      <c r="G910" s="34"/>
      <c r="I910" s="29"/>
      <c r="J910" s="55"/>
      <c r="K910" s="60"/>
      <c r="L910" s="60"/>
      <c r="M910" s="62"/>
    </row>
    <row r="911" spans="1:13" ht="15" customHeight="1" x14ac:dyDescent="0.25">
      <c r="A911" s="2"/>
      <c r="B911" s="2"/>
      <c r="C911" s="86"/>
      <c r="D911" s="35"/>
      <c r="E911" s="32"/>
      <c r="F911" s="34"/>
      <c r="G911" s="34"/>
      <c r="I911" s="29"/>
      <c r="J911" s="55"/>
      <c r="K911" s="62"/>
      <c r="L911" s="60"/>
      <c r="M911" s="62"/>
    </row>
    <row r="912" spans="1:13" ht="15" customHeight="1" x14ac:dyDescent="0.25">
      <c r="A912" s="2"/>
      <c r="B912" s="2"/>
      <c r="C912" s="86"/>
      <c r="D912" s="35"/>
      <c r="E912" s="32"/>
      <c r="F912" s="34"/>
      <c r="G912" s="34"/>
      <c r="I912" s="29"/>
      <c r="J912" s="57"/>
      <c r="K912" s="62"/>
      <c r="L912" s="62"/>
      <c r="M912" s="62"/>
    </row>
    <row r="913" spans="1:13" ht="15" customHeight="1" x14ac:dyDescent="0.25">
      <c r="A913" s="2"/>
      <c r="B913" s="2"/>
      <c r="C913" s="86"/>
      <c r="D913" s="35"/>
      <c r="E913" s="32"/>
      <c r="F913" s="34"/>
      <c r="G913" s="34"/>
      <c r="I913" s="29"/>
      <c r="J913" s="55"/>
      <c r="K913" s="60"/>
      <c r="L913" s="60"/>
      <c r="M913" s="60"/>
    </row>
    <row r="914" spans="1:13" ht="15" customHeight="1" x14ac:dyDescent="0.25">
      <c r="A914" s="2"/>
      <c r="B914" s="2"/>
      <c r="C914" s="86"/>
      <c r="D914" s="35"/>
      <c r="E914" s="32"/>
      <c r="F914" s="34"/>
      <c r="G914" s="34"/>
      <c r="I914" s="29"/>
      <c r="J914" s="60"/>
      <c r="K914" s="60"/>
      <c r="L914" s="60"/>
      <c r="M914" s="60"/>
    </row>
    <row r="915" spans="1:13" ht="15" customHeight="1" x14ac:dyDescent="0.25">
      <c r="A915" s="2"/>
      <c r="B915" s="2"/>
      <c r="C915" s="92"/>
      <c r="D915" s="35"/>
      <c r="E915" s="32"/>
      <c r="F915" s="34"/>
      <c r="G915" s="34"/>
      <c r="I915" s="29"/>
      <c r="J915" s="60"/>
      <c r="K915" s="60"/>
      <c r="L915" s="60"/>
      <c r="M915" s="60"/>
    </row>
    <row r="916" spans="1:13" ht="15" customHeight="1" x14ac:dyDescent="0.25">
      <c r="A916" s="2"/>
      <c r="B916" s="2"/>
      <c r="C916" s="92"/>
      <c r="D916" s="35"/>
      <c r="E916" s="32"/>
      <c r="F916" s="34"/>
      <c r="G916" s="34"/>
      <c r="I916" s="29"/>
      <c r="J916" s="64"/>
      <c r="K916" s="60"/>
      <c r="L916" s="60"/>
      <c r="M916" s="60"/>
    </row>
    <row r="917" spans="1:13" ht="15" customHeight="1" x14ac:dyDescent="0.25">
      <c r="A917" s="2"/>
      <c r="B917" s="2"/>
      <c r="C917" s="86"/>
      <c r="D917" s="35"/>
      <c r="E917" s="32"/>
      <c r="F917" s="34"/>
      <c r="G917" s="34"/>
      <c r="I917" s="29"/>
      <c r="J917" s="60"/>
      <c r="K917" s="60"/>
      <c r="L917" s="60"/>
      <c r="M917" s="60"/>
    </row>
    <row r="918" spans="1:13" ht="15" customHeight="1" x14ac:dyDescent="0.25">
      <c r="A918" s="2"/>
      <c r="B918" s="2"/>
      <c r="C918" s="86"/>
      <c r="D918" s="35"/>
      <c r="E918" s="32"/>
      <c r="F918" s="34"/>
      <c r="G918" s="34"/>
      <c r="I918" s="29"/>
      <c r="J918" s="60"/>
      <c r="K918" s="60"/>
      <c r="L918" s="60"/>
      <c r="M918" s="60"/>
    </row>
    <row r="919" spans="1:13" ht="15" customHeight="1" x14ac:dyDescent="0.25">
      <c r="A919" s="2"/>
      <c r="B919" s="2"/>
      <c r="C919" s="92"/>
      <c r="D919" s="35"/>
      <c r="E919" s="32"/>
      <c r="F919" s="34"/>
      <c r="G919" s="34"/>
      <c r="I919" s="29"/>
      <c r="J919" s="64"/>
      <c r="K919" s="60"/>
      <c r="L919" s="60"/>
      <c r="M919" s="60"/>
    </row>
    <row r="920" spans="1:13" ht="15" customHeight="1" x14ac:dyDescent="0.25">
      <c r="A920" s="2"/>
      <c r="B920" s="2"/>
      <c r="C920" s="91"/>
      <c r="D920" s="35"/>
      <c r="E920" s="32"/>
      <c r="F920" s="34"/>
      <c r="G920" s="34"/>
      <c r="I920" s="29"/>
      <c r="J920" s="64"/>
      <c r="K920" s="60"/>
      <c r="L920" s="60"/>
      <c r="M920" s="60"/>
    </row>
    <row r="921" spans="1:13" ht="15" customHeight="1" x14ac:dyDescent="0.25">
      <c r="A921" s="2"/>
      <c r="B921" s="2"/>
      <c r="C921" s="91"/>
      <c r="D921" s="35"/>
      <c r="E921" s="32"/>
      <c r="F921" s="34"/>
      <c r="G921" s="34"/>
      <c r="I921" s="29"/>
      <c r="J921" s="64"/>
      <c r="K921" s="60"/>
      <c r="L921" s="60"/>
      <c r="M921" s="60"/>
    </row>
    <row r="922" spans="1:13" ht="15" customHeight="1" x14ac:dyDescent="0.25">
      <c r="A922" s="2"/>
      <c r="B922" s="2"/>
      <c r="C922" s="93"/>
      <c r="D922" s="35"/>
      <c r="E922" s="32"/>
      <c r="F922" s="34"/>
      <c r="G922" s="34"/>
      <c r="I922" s="29"/>
      <c r="J922" s="60"/>
      <c r="K922" s="60"/>
      <c r="L922" s="60"/>
      <c r="M922" s="60"/>
    </row>
    <row r="923" spans="1:13" ht="15" customHeight="1" x14ac:dyDescent="0.25">
      <c r="A923" s="2"/>
      <c r="B923" s="2"/>
      <c r="C923" s="90"/>
      <c r="D923" s="35"/>
      <c r="E923" s="32"/>
      <c r="F923" s="34"/>
      <c r="G923" s="34"/>
      <c r="I923" s="29"/>
      <c r="J923" s="60"/>
      <c r="K923" s="60"/>
      <c r="L923" s="60"/>
      <c r="M923" s="60"/>
    </row>
    <row r="924" spans="1:13" ht="15" customHeight="1" x14ac:dyDescent="0.25">
      <c r="A924" s="2"/>
      <c r="B924" s="2"/>
      <c r="C924" s="92"/>
      <c r="D924" s="35"/>
      <c r="E924" s="32"/>
      <c r="F924" s="26"/>
      <c r="G924" s="34"/>
      <c r="I924" s="29"/>
      <c r="J924" s="60"/>
      <c r="K924" s="60"/>
      <c r="L924" s="60"/>
      <c r="M924" s="60"/>
    </row>
    <row r="925" spans="1:13" ht="15" customHeight="1" x14ac:dyDescent="0.25">
      <c r="A925" s="2"/>
      <c r="B925" s="2"/>
      <c r="C925" s="86"/>
      <c r="D925" s="35"/>
      <c r="E925" s="32"/>
      <c r="F925" s="26"/>
      <c r="G925" s="26"/>
      <c r="H925" s="26"/>
      <c r="I925" s="29"/>
      <c r="J925" s="60"/>
      <c r="K925" s="60"/>
      <c r="L925" s="60"/>
      <c r="M925" s="60"/>
    </row>
    <row r="926" spans="1:13" ht="15" customHeight="1" x14ac:dyDescent="0.25">
      <c r="A926" s="2"/>
      <c r="B926" s="2"/>
      <c r="C926" s="86"/>
      <c r="D926" s="35"/>
      <c r="E926" s="32"/>
      <c r="F926" s="34"/>
      <c r="G926" s="26"/>
      <c r="I926" s="29"/>
      <c r="J926" s="60"/>
      <c r="K926" s="60"/>
      <c r="L926" s="60"/>
      <c r="M926" s="60"/>
    </row>
    <row r="927" spans="1:13" ht="15" customHeight="1" x14ac:dyDescent="0.25">
      <c r="A927" s="2"/>
      <c r="B927" s="2"/>
      <c r="C927" s="92"/>
      <c r="D927" s="35"/>
      <c r="E927" s="32"/>
      <c r="F927" s="34"/>
      <c r="G927" s="34"/>
      <c r="I927" s="29"/>
      <c r="J927" s="60"/>
      <c r="K927" s="60"/>
      <c r="L927" s="60"/>
      <c r="M927" s="60"/>
    </row>
    <row r="928" spans="1:13" ht="15" customHeight="1" x14ac:dyDescent="0.25">
      <c r="A928" s="2"/>
      <c r="B928" s="2"/>
      <c r="C928" s="86"/>
      <c r="D928" s="35"/>
      <c r="E928" s="32"/>
      <c r="F928" s="34"/>
      <c r="G928" s="34"/>
      <c r="I928" s="29"/>
      <c r="J928" s="60"/>
      <c r="K928" s="60"/>
      <c r="L928" s="60"/>
      <c r="M928" s="60"/>
    </row>
    <row r="929" spans="1:13" ht="15" customHeight="1" x14ac:dyDescent="0.25">
      <c r="A929" s="2"/>
      <c r="B929" s="2"/>
      <c r="C929" s="86"/>
      <c r="D929" s="37"/>
      <c r="E929" s="32"/>
      <c r="F929" s="34"/>
      <c r="G929" s="34"/>
      <c r="I929" s="29"/>
      <c r="J929" s="64"/>
      <c r="K929" s="60"/>
      <c r="L929" s="60"/>
      <c r="M929" s="60"/>
    </row>
    <row r="930" spans="1:13" ht="15" customHeight="1" x14ac:dyDescent="0.25">
      <c r="A930" s="2"/>
      <c r="B930" s="2"/>
      <c r="C930" s="86"/>
      <c r="D930" s="37"/>
      <c r="E930" s="32"/>
      <c r="F930" s="34"/>
      <c r="G930" s="34"/>
      <c r="I930" s="29"/>
      <c r="J930" s="64"/>
      <c r="K930" s="60"/>
      <c r="L930" s="60"/>
      <c r="M930" s="60"/>
    </row>
    <row r="931" spans="1:13" ht="15" customHeight="1" x14ac:dyDescent="0.25">
      <c r="A931" s="2"/>
      <c r="B931" s="2"/>
      <c r="C931" s="86"/>
      <c r="D931" s="35"/>
      <c r="E931" s="32"/>
      <c r="F931" s="34"/>
      <c r="G931" s="34"/>
      <c r="I931" s="29"/>
      <c r="J931" s="64"/>
      <c r="K931" s="60"/>
      <c r="L931" s="60"/>
      <c r="M931" s="60"/>
    </row>
    <row r="932" spans="1:13" ht="15" customHeight="1" x14ac:dyDescent="0.25">
      <c r="A932" s="2"/>
      <c r="B932" s="2"/>
      <c r="C932" s="86"/>
      <c r="D932" s="35"/>
      <c r="E932" s="32"/>
      <c r="F932" s="34"/>
      <c r="G932" s="34"/>
      <c r="I932" s="29"/>
      <c r="J932" s="64"/>
      <c r="K932" s="60"/>
      <c r="L932" s="60"/>
      <c r="M932" s="60"/>
    </row>
    <row r="933" spans="1:13" ht="15" customHeight="1" x14ac:dyDescent="0.25">
      <c r="A933" s="2"/>
      <c r="B933" s="2"/>
      <c r="C933" s="86"/>
      <c r="D933" s="35"/>
      <c r="E933" s="32"/>
      <c r="F933" s="34"/>
      <c r="G933" s="34"/>
      <c r="I933" s="29"/>
      <c r="J933" s="60"/>
      <c r="K933" s="61"/>
      <c r="L933" s="61"/>
      <c r="M933" s="61"/>
    </row>
    <row r="934" spans="1:13" ht="15" customHeight="1" x14ac:dyDescent="0.25">
      <c r="A934" s="2"/>
      <c r="B934" s="2"/>
      <c r="C934" s="86"/>
      <c r="D934" s="35"/>
      <c r="E934" s="32"/>
      <c r="F934" s="34"/>
      <c r="G934" s="34"/>
      <c r="I934" s="29"/>
      <c r="J934" s="59"/>
      <c r="K934" s="60"/>
      <c r="L934" s="60"/>
      <c r="M934" s="59"/>
    </row>
    <row r="935" spans="1:13" ht="15" customHeight="1" x14ac:dyDescent="0.25">
      <c r="A935" s="2"/>
      <c r="B935" s="2"/>
      <c r="C935" s="86"/>
      <c r="D935" s="35"/>
      <c r="E935" s="32"/>
      <c r="F935" s="34"/>
      <c r="G935" s="34"/>
      <c r="I935" s="29"/>
      <c r="J935" s="55"/>
      <c r="K935" s="60"/>
      <c r="L935" s="60"/>
      <c r="M935" s="59"/>
    </row>
    <row r="936" spans="1:13" ht="15" customHeight="1" x14ac:dyDescent="0.25">
      <c r="A936" s="2"/>
      <c r="B936" s="2"/>
      <c r="C936" s="86"/>
      <c r="D936" s="35"/>
      <c r="E936" s="32"/>
      <c r="F936" s="34"/>
      <c r="G936" s="34"/>
      <c r="I936" s="29"/>
      <c r="J936" s="55"/>
      <c r="K936" s="59"/>
      <c r="L936" s="60"/>
      <c r="M936" s="59"/>
    </row>
    <row r="937" spans="1:13" ht="15" customHeight="1" x14ac:dyDescent="0.25">
      <c r="A937" s="2"/>
      <c r="B937" s="2"/>
      <c r="C937" s="86"/>
      <c r="D937" s="35"/>
      <c r="E937" s="32"/>
      <c r="F937" s="34"/>
      <c r="G937" s="34"/>
      <c r="I937" s="29"/>
      <c r="J937" s="66"/>
      <c r="K937" s="59"/>
      <c r="L937" s="59"/>
      <c r="M937" s="59"/>
    </row>
    <row r="938" spans="1:13" ht="15" customHeight="1" x14ac:dyDescent="0.25">
      <c r="A938" s="2"/>
      <c r="B938" s="2"/>
      <c r="C938" s="86"/>
      <c r="D938" s="35"/>
      <c r="E938" s="32"/>
      <c r="F938" s="34"/>
      <c r="G938" s="34"/>
      <c r="I938" s="29"/>
      <c r="J938" s="55"/>
      <c r="K938" s="62"/>
      <c r="L938" s="62"/>
      <c r="M938" s="62"/>
    </row>
    <row r="939" spans="1:13" ht="15" customHeight="1" x14ac:dyDescent="0.25">
      <c r="A939" s="2"/>
      <c r="B939" s="2"/>
      <c r="C939" s="86"/>
      <c r="D939" s="35"/>
      <c r="E939" s="32"/>
      <c r="F939" s="34"/>
      <c r="G939" s="34"/>
      <c r="I939" s="29"/>
      <c r="J939" s="64"/>
      <c r="K939" s="60"/>
      <c r="L939" s="60"/>
      <c r="M939" s="60"/>
    </row>
    <row r="940" spans="1:13" ht="15" customHeight="1" x14ac:dyDescent="0.25">
      <c r="A940" s="2"/>
      <c r="B940" s="2"/>
      <c r="C940" s="92"/>
      <c r="D940" s="35"/>
      <c r="E940" s="32"/>
      <c r="F940" s="34"/>
      <c r="G940" s="34"/>
      <c r="I940" s="29"/>
      <c r="J940" s="64"/>
      <c r="K940" s="60"/>
      <c r="L940" s="60"/>
      <c r="M940" s="60"/>
    </row>
    <row r="941" spans="1:13" ht="15" customHeight="1" x14ac:dyDescent="0.25">
      <c r="A941" s="2"/>
      <c r="B941" s="2"/>
      <c r="C941" s="86"/>
      <c r="D941" s="35"/>
      <c r="E941" s="32"/>
      <c r="F941" s="34"/>
      <c r="G941" s="34"/>
      <c r="I941" s="29"/>
      <c r="J941" s="64"/>
      <c r="K941" s="60"/>
      <c r="L941" s="60"/>
      <c r="M941" s="60"/>
    </row>
    <row r="942" spans="1:13" ht="15" customHeight="1" x14ac:dyDescent="0.25">
      <c r="A942" s="2"/>
      <c r="B942" s="2"/>
      <c r="C942" s="86"/>
      <c r="D942" s="35"/>
      <c r="E942" s="32"/>
      <c r="F942" s="34"/>
      <c r="G942" s="34"/>
      <c r="I942" s="6"/>
      <c r="J942" s="60"/>
      <c r="K942" s="60"/>
      <c r="L942" s="60"/>
      <c r="M942" s="60"/>
    </row>
    <row r="943" spans="1:13" ht="15" customHeight="1" x14ac:dyDescent="0.25">
      <c r="A943" s="2"/>
      <c r="B943" s="2"/>
      <c r="C943" s="86"/>
      <c r="D943" s="35"/>
      <c r="E943" s="32"/>
      <c r="F943" s="34"/>
      <c r="G943" s="34"/>
      <c r="I943" s="6"/>
      <c r="J943" s="60"/>
      <c r="K943" s="60"/>
      <c r="L943" s="60"/>
      <c r="M943" s="60"/>
    </row>
    <row r="944" spans="1:13" ht="15" customHeight="1" x14ac:dyDescent="0.25">
      <c r="A944" s="2"/>
      <c r="B944" s="2"/>
      <c r="C944" s="86"/>
      <c r="D944" s="35"/>
      <c r="E944" s="32"/>
      <c r="F944" s="34"/>
      <c r="G944" s="34"/>
      <c r="I944" s="29"/>
      <c r="J944" s="60"/>
      <c r="K944" s="60"/>
      <c r="L944" s="60"/>
      <c r="M944" s="60"/>
    </row>
    <row r="945" spans="1:13" ht="15" customHeight="1" x14ac:dyDescent="0.25">
      <c r="A945" s="2"/>
      <c r="B945" s="2"/>
      <c r="C945" s="86"/>
      <c r="D945" s="35"/>
      <c r="E945" s="32"/>
      <c r="F945" s="34"/>
      <c r="G945" s="34"/>
      <c r="I945" s="29"/>
      <c r="J945" s="60"/>
      <c r="K945" s="61"/>
      <c r="L945" s="61"/>
      <c r="M945" s="61"/>
    </row>
    <row r="946" spans="1:13" ht="15" customHeight="1" x14ac:dyDescent="0.25">
      <c r="A946" s="2"/>
      <c r="B946" s="2"/>
      <c r="C946" s="86"/>
      <c r="D946" s="35"/>
      <c r="E946" s="32"/>
      <c r="F946" s="34"/>
      <c r="G946" s="34"/>
      <c r="I946" s="29"/>
      <c r="J946" s="59"/>
      <c r="K946" s="60"/>
      <c r="L946" s="60"/>
      <c r="M946" s="59"/>
    </row>
    <row r="947" spans="1:13" ht="15" customHeight="1" x14ac:dyDescent="0.25">
      <c r="A947" s="2"/>
      <c r="B947" s="2"/>
      <c r="C947" s="86"/>
      <c r="D947" s="35"/>
      <c r="E947" s="32"/>
      <c r="F947" s="34"/>
      <c r="G947" s="34"/>
      <c r="I947" s="29"/>
      <c r="J947" s="55"/>
      <c r="K947" s="61"/>
      <c r="L947" s="61"/>
      <c r="M947" s="72"/>
    </row>
    <row r="948" spans="1:13" ht="15" customHeight="1" x14ac:dyDescent="0.25">
      <c r="A948" s="2"/>
      <c r="B948" s="2"/>
      <c r="C948" s="86"/>
      <c r="D948" s="35"/>
      <c r="E948" s="32"/>
      <c r="F948" s="34"/>
      <c r="G948" s="34"/>
      <c r="I948" s="29"/>
      <c r="J948" s="59"/>
      <c r="K948" s="60"/>
      <c r="L948" s="60"/>
      <c r="M948" s="70"/>
    </row>
    <row r="949" spans="1:13" ht="15" customHeight="1" x14ac:dyDescent="0.25">
      <c r="A949" s="2"/>
      <c r="B949" s="2"/>
      <c r="C949" s="92"/>
      <c r="D949" s="35"/>
      <c r="E949" s="32"/>
      <c r="F949" s="34"/>
      <c r="G949" s="34"/>
      <c r="I949" s="29"/>
      <c r="J949" s="55"/>
      <c r="K949" s="60"/>
      <c r="L949" s="60"/>
      <c r="M949" s="70"/>
    </row>
    <row r="950" spans="1:13" ht="15" customHeight="1" x14ac:dyDescent="0.25">
      <c r="A950" s="2"/>
      <c r="B950" s="2"/>
      <c r="C950" s="92"/>
      <c r="D950" s="35"/>
      <c r="E950" s="32"/>
      <c r="F950" s="34"/>
      <c r="G950" s="34"/>
      <c r="I950" s="29"/>
      <c r="J950" s="55"/>
      <c r="K950" s="59"/>
      <c r="L950" s="60"/>
      <c r="M950" s="70"/>
    </row>
    <row r="951" spans="1:13" ht="15" customHeight="1" x14ac:dyDescent="0.25">
      <c r="A951" s="2"/>
      <c r="B951" s="2"/>
      <c r="C951" s="86"/>
      <c r="D951" s="35"/>
      <c r="E951" s="32"/>
      <c r="F951" s="34"/>
      <c r="G951" s="34"/>
      <c r="I951" s="29"/>
      <c r="J951" s="66"/>
      <c r="K951" s="59"/>
      <c r="L951" s="59"/>
      <c r="M951" s="70"/>
    </row>
    <row r="952" spans="1:13" ht="15" customHeight="1" x14ac:dyDescent="0.25">
      <c r="A952" s="2"/>
      <c r="B952" s="2"/>
      <c r="C952" s="86"/>
      <c r="D952" s="35"/>
      <c r="E952" s="32"/>
      <c r="F952" s="34"/>
      <c r="G952" s="34"/>
      <c r="I952" s="29"/>
      <c r="J952" s="55"/>
      <c r="K952" s="60"/>
      <c r="L952" s="60"/>
      <c r="M952" s="60"/>
    </row>
    <row r="953" spans="1:13" ht="15" customHeight="1" x14ac:dyDescent="0.25">
      <c r="A953" s="2"/>
      <c r="B953" s="2"/>
      <c r="C953" s="86"/>
      <c r="D953" s="35"/>
      <c r="E953" s="32"/>
      <c r="F953" s="34"/>
      <c r="G953" s="34"/>
      <c r="I953" s="29"/>
      <c r="J953" s="64"/>
      <c r="K953" s="60"/>
      <c r="L953" s="60"/>
      <c r="M953" s="60"/>
    </row>
    <row r="954" spans="1:13" ht="15" customHeight="1" x14ac:dyDescent="0.25">
      <c r="A954" s="2"/>
      <c r="B954" s="2"/>
      <c r="C954" s="86"/>
      <c r="D954" s="35"/>
      <c r="E954" s="32"/>
      <c r="F954" s="34"/>
      <c r="G954" s="34"/>
      <c r="I954" s="29"/>
      <c r="J954" s="60"/>
      <c r="K954" s="60"/>
      <c r="L954" s="60"/>
      <c r="M954" s="60"/>
    </row>
    <row r="955" spans="1:13" ht="15" customHeight="1" x14ac:dyDescent="0.25">
      <c r="A955" s="2"/>
      <c r="B955" s="2"/>
      <c r="C955" s="92"/>
      <c r="D955" s="35"/>
      <c r="E955" s="32"/>
      <c r="F955" s="34"/>
      <c r="G955" s="34"/>
      <c r="I955" s="29"/>
      <c r="J955" s="60"/>
      <c r="K955" s="60"/>
      <c r="L955" s="60"/>
      <c r="M955" s="60"/>
    </row>
    <row r="956" spans="1:13" ht="15" customHeight="1" x14ac:dyDescent="0.25">
      <c r="A956" s="2"/>
      <c r="B956" s="2"/>
      <c r="C956" s="86"/>
      <c r="D956" s="35"/>
      <c r="E956" s="32"/>
      <c r="F956" s="34"/>
      <c r="G956" s="34"/>
      <c r="I956" s="29"/>
      <c r="J956" s="60"/>
      <c r="K956" s="61"/>
      <c r="L956" s="61"/>
      <c r="M956" s="61"/>
    </row>
    <row r="957" spans="1:13" ht="15" customHeight="1" x14ac:dyDescent="0.25">
      <c r="A957" s="2"/>
      <c r="B957" s="2"/>
      <c r="C957" s="86"/>
      <c r="D957" s="35"/>
      <c r="E957" s="32"/>
      <c r="F957" s="34"/>
      <c r="G957" s="34"/>
      <c r="I957" s="29"/>
      <c r="J957" s="59"/>
      <c r="K957" s="60"/>
      <c r="L957" s="60"/>
      <c r="M957" s="59"/>
    </row>
    <row r="958" spans="1:13" ht="15" customHeight="1" x14ac:dyDescent="0.25">
      <c r="A958" s="2"/>
      <c r="B958" s="2"/>
      <c r="C958" s="86"/>
      <c r="D958" s="35"/>
      <c r="E958" s="32"/>
      <c r="F958" s="34"/>
      <c r="G958" s="34"/>
      <c r="I958" s="29"/>
      <c r="J958" s="55"/>
      <c r="K958" s="60"/>
      <c r="L958" s="60"/>
      <c r="M958" s="59"/>
    </row>
    <row r="959" spans="1:13" ht="15" customHeight="1" x14ac:dyDescent="0.25">
      <c r="A959" s="2"/>
      <c r="B959" s="2"/>
      <c r="C959" s="86"/>
      <c r="D959" s="35"/>
      <c r="E959" s="32"/>
      <c r="F959" s="34"/>
      <c r="G959" s="34"/>
      <c r="I959" s="29"/>
      <c r="J959" s="55"/>
      <c r="K959" s="59"/>
      <c r="L959" s="60"/>
      <c r="M959" s="59"/>
    </row>
    <row r="960" spans="1:13" ht="15" customHeight="1" x14ac:dyDescent="0.25">
      <c r="A960" s="2"/>
      <c r="B960" s="2"/>
      <c r="C960" s="86"/>
      <c r="D960" s="35"/>
      <c r="E960" s="32"/>
      <c r="F960" s="34"/>
      <c r="G960" s="34"/>
      <c r="I960" s="29"/>
      <c r="J960" s="66"/>
      <c r="K960" s="59"/>
      <c r="L960" s="59"/>
      <c r="M960" s="59"/>
    </row>
    <row r="961" spans="1:13" ht="15" customHeight="1" x14ac:dyDescent="0.25">
      <c r="A961" s="2"/>
      <c r="B961" s="2"/>
      <c r="C961" s="86"/>
      <c r="D961" s="35"/>
      <c r="E961" s="32"/>
      <c r="F961" s="34"/>
      <c r="G961" s="34"/>
      <c r="I961" s="29"/>
      <c r="J961" s="55"/>
      <c r="K961" s="60"/>
      <c r="L961" s="60"/>
      <c r="M961" s="60"/>
    </row>
    <row r="962" spans="1:13" ht="15" customHeight="1" x14ac:dyDescent="0.25">
      <c r="A962" s="2"/>
      <c r="B962" s="2"/>
      <c r="C962" s="86"/>
      <c r="D962" s="35"/>
      <c r="E962" s="32"/>
      <c r="F962" s="34"/>
      <c r="G962" s="34"/>
      <c r="I962" s="29"/>
      <c r="J962" s="60"/>
      <c r="K962" s="60"/>
      <c r="L962" s="60"/>
      <c r="M962" s="60"/>
    </row>
    <row r="963" spans="1:13" ht="15" customHeight="1" x14ac:dyDescent="0.25">
      <c r="A963" s="2"/>
      <c r="B963" s="2"/>
      <c r="C963" s="86"/>
      <c r="D963" s="35"/>
      <c r="E963" s="32"/>
      <c r="F963" s="34"/>
      <c r="G963" s="34"/>
      <c r="I963" s="29"/>
      <c r="J963" s="60"/>
      <c r="K963" s="60"/>
      <c r="L963" s="60"/>
      <c r="M963" s="60"/>
    </row>
    <row r="964" spans="1:13" ht="15" customHeight="1" x14ac:dyDescent="0.25">
      <c r="A964" s="2"/>
      <c r="B964" s="2"/>
      <c r="C964" s="86"/>
      <c r="D964" s="35"/>
      <c r="E964" s="32"/>
      <c r="F964" s="34"/>
      <c r="G964" s="34"/>
      <c r="I964" s="29"/>
      <c r="J964" s="60"/>
      <c r="K964" s="60"/>
      <c r="L964" s="60"/>
      <c r="M964" s="60"/>
    </row>
    <row r="965" spans="1:13" ht="15" customHeight="1" x14ac:dyDescent="0.25">
      <c r="A965" s="2"/>
      <c r="B965" s="2"/>
      <c r="C965" s="86"/>
      <c r="D965" s="35"/>
      <c r="E965" s="32"/>
      <c r="F965" s="34"/>
      <c r="G965" s="34"/>
      <c r="I965" s="29"/>
      <c r="J965" s="60"/>
      <c r="K965" s="60"/>
      <c r="L965" s="60"/>
      <c r="M965" s="60"/>
    </row>
    <row r="966" spans="1:13" ht="15" customHeight="1" x14ac:dyDescent="0.25">
      <c r="A966" s="2"/>
      <c r="B966" s="2"/>
      <c r="C966" s="96"/>
      <c r="D966" s="35"/>
      <c r="E966" s="32"/>
      <c r="F966" s="34"/>
      <c r="G966" s="34"/>
      <c r="I966" s="29"/>
      <c r="J966" s="60"/>
      <c r="K966" s="60"/>
      <c r="L966" s="60"/>
      <c r="M966" s="60"/>
    </row>
    <row r="967" spans="1:13" ht="15" customHeight="1" x14ac:dyDescent="0.25">
      <c r="A967" s="2"/>
      <c r="B967" s="2"/>
      <c r="C967" s="90"/>
      <c r="D967" s="35"/>
      <c r="E967" s="32"/>
      <c r="F967" s="34"/>
      <c r="G967" s="34"/>
      <c r="I967" s="29"/>
      <c r="J967" s="60"/>
      <c r="K967" s="60"/>
      <c r="L967" s="60"/>
      <c r="M967" s="60"/>
    </row>
    <row r="968" spans="1:13" ht="15" customHeight="1" x14ac:dyDescent="0.25">
      <c r="A968" s="2"/>
      <c r="B968" s="2"/>
      <c r="C968" s="97"/>
      <c r="D968" s="35"/>
      <c r="E968" s="32"/>
      <c r="F968" s="26"/>
      <c r="G968" s="34"/>
      <c r="I968" s="29"/>
      <c r="J968" s="60"/>
      <c r="K968" s="60"/>
      <c r="L968" s="60"/>
      <c r="M968" s="60"/>
    </row>
    <row r="969" spans="1:13" ht="15" customHeight="1" x14ac:dyDescent="0.25">
      <c r="A969" s="2"/>
      <c r="B969" s="2"/>
      <c r="C969" s="91"/>
      <c r="D969" s="35"/>
      <c r="E969" s="32"/>
      <c r="F969" s="26"/>
      <c r="G969" s="26"/>
      <c r="H969" s="26"/>
      <c r="I969" s="29"/>
      <c r="J969" s="60"/>
      <c r="K969" s="60"/>
      <c r="L969" s="60"/>
      <c r="M969" s="60"/>
    </row>
    <row r="970" spans="1:13" ht="15" customHeight="1" x14ac:dyDescent="0.25">
      <c r="A970" s="2"/>
      <c r="B970" s="2"/>
      <c r="C970" s="86"/>
      <c r="D970" s="35"/>
      <c r="E970" s="32"/>
      <c r="F970" s="34"/>
      <c r="G970" s="26"/>
      <c r="I970" s="29"/>
      <c r="J970" s="60"/>
      <c r="K970" s="60"/>
      <c r="L970" s="60"/>
      <c r="M970" s="60"/>
    </row>
    <row r="971" spans="1:13" ht="15" customHeight="1" x14ac:dyDescent="0.25">
      <c r="A971" s="2"/>
      <c r="B971" s="2"/>
      <c r="C971" s="86"/>
      <c r="D971" s="35"/>
      <c r="E971" s="32"/>
      <c r="F971" s="34"/>
      <c r="G971" s="34"/>
      <c r="I971" s="29"/>
      <c r="J971" s="64"/>
      <c r="K971" s="60"/>
      <c r="L971" s="60"/>
      <c r="M971" s="60"/>
    </row>
    <row r="972" spans="1:13" ht="15" customHeight="1" x14ac:dyDescent="0.25">
      <c r="A972" s="2"/>
      <c r="B972" s="2"/>
      <c r="C972" s="86"/>
      <c r="D972" s="35"/>
      <c r="E972" s="32"/>
      <c r="F972" s="34"/>
      <c r="G972" s="34"/>
      <c r="I972" s="29"/>
      <c r="J972" s="64"/>
      <c r="K972" s="60"/>
      <c r="L972" s="60"/>
      <c r="M972" s="60"/>
    </row>
    <row r="973" spans="1:13" ht="15" customHeight="1" x14ac:dyDescent="0.25">
      <c r="A973" s="2"/>
      <c r="B973" s="2"/>
      <c r="C973" s="86"/>
      <c r="D973" s="39"/>
      <c r="E973" s="32"/>
      <c r="F973" s="34"/>
      <c r="G973" s="34"/>
      <c r="I973" s="29"/>
      <c r="J973" s="60"/>
      <c r="K973" s="60"/>
      <c r="L973" s="60"/>
      <c r="M973" s="60"/>
    </row>
    <row r="974" spans="1:13" ht="15" customHeight="1" x14ac:dyDescent="0.25">
      <c r="A974" s="2"/>
      <c r="B974" s="2"/>
      <c r="C974" s="86"/>
      <c r="D974" s="39"/>
      <c r="E974" s="32"/>
      <c r="F974" s="34"/>
      <c r="G974" s="34"/>
      <c r="I974" s="29"/>
      <c r="J974" s="60"/>
      <c r="K974" s="60"/>
      <c r="L974" s="60"/>
      <c r="M974" s="60"/>
    </row>
    <row r="975" spans="1:13" ht="15" customHeight="1" x14ac:dyDescent="0.25">
      <c r="A975" s="2"/>
      <c r="B975" s="2"/>
      <c r="C975" s="86"/>
      <c r="D975" s="35"/>
      <c r="E975" s="32"/>
      <c r="F975" s="34"/>
      <c r="G975" s="34"/>
      <c r="I975" s="29"/>
      <c r="J975" s="60"/>
      <c r="K975" s="60"/>
      <c r="L975" s="60"/>
      <c r="M975" s="60"/>
    </row>
    <row r="976" spans="1:13" ht="15" customHeight="1" x14ac:dyDescent="0.25">
      <c r="A976" s="2"/>
      <c r="B976" s="2"/>
      <c r="C976" s="86"/>
      <c r="D976" s="35"/>
      <c r="E976" s="32"/>
      <c r="F976" s="34"/>
      <c r="G976" s="34"/>
      <c r="I976" s="29"/>
      <c r="J976" s="60"/>
      <c r="K976" s="60"/>
      <c r="L976" s="60"/>
      <c r="M976" s="60"/>
    </row>
    <row r="977" spans="1:13" ht="15" customHeight="1" x14ac:dyDescent="0.25">
      <c r="A977" s="2"/>
      <c r="B977" s="2"/>
      <c r="C977" s="86"/>
      <c r="D977" s="35"/>
      <c r="E977" s="32"/>
      <c r="F977" s="34"/>
      <c r="G977" s="34"/>
      <c r="I977" s="29"/>
      <c r="J977" s="60"/>
      <c r="K977" s="60"/>
      <c r="L977" s="60"/>
      <c r="M977" s="60"/>
    </row>
    <row r="978" spans="1:13" ht="15" customHeight="1" x14ac:dyDescent="0.25">
      <c r="A978" s="2"/>
      <c r="B978" s="2"/>
      <c r="C978" s="86"/>
      <c r="D978" s="35"/>
      <c r="E978" s="32"/>
      <c r="F978" s="34"/>
      <c r="G978" s="34"/>
      <c r="I978" s="29"/>
      <c r="J978" s="60"/>
      <c r="K978" s="60"/>
      <c r="L978" s="60"/>
      <c r="M978" s="60"/>
    </row>
    <row r="979" spans="1:13" ht="15" customHeight="1" x14ac:dyDescent="0.25">
      <c r="A979" s="2"/>
      <c r="B979" s="2"/>
      <c r="C979" s="86"/>
      <c r="D979" s="35"/>
      <c r="E979" s="32"/>
      <c r="F979" s="34"/>
      <c r="G979" s="34"/>
      <c r="I979" s="29"/>
      <c r="J979" s="60"/>
      <c r="K979" s="60"/>
      <c r="L979" s="60"/>
      <c r="M979" s="60"/>
    </row>
    <row r="980" spans="1:13" ht="15" customHeight="1" x14ac:dyDescent="0.25">
      <c r="A980" s="2"/>
      <c r="B980" s="2"/>
      <c r="C980" s="86"/>
      <c r="D980" s="35"/>
      <c r="E980" s="32"/>
      <c r="F980" s="34"/>
      <c r="G980" s="34"/>
      <c r="I980" s="29"/>
      <c r="J980" s="60"/>
      <c r="K980" s="60"/>
      <c r="L980" s="60"/>
      <c r="M980" s="60"/>
    </row>
    <row r="981" spans="1:13" ht="15" customHeight="1" x14ac:dyDescent="0.25">
      <c r="A981" s="2"/>
      <c r="B981" s="2"/>
      <c r="C981" s="86"/>
      <c r="D981" s="35"/>
      <c r="E981" s="32"/>
      <c r="F981" s="34"/>
      <c r="G981" s="34"/>
      <c r="I981" s="29"/>
      <c r="J981" s="60"/>
      <c r="K981" s="60"/>
      <c r="L981" s="60"/>
      <c r="M981" s="60"/>
    </row>
    <row r="982" spans="1:13" ht="15" customHeight="1" x14ac:dyDescent="0.25">
      <c r="A982" s="2"/>
      <c r="B982" s="2"/>
      <c r="C982" s="86"/>
      <c r="D982" s="35"/>
      <c r="E982" s="32"/>
      <c r="F982" s="34"/>
      <c r="G982" s="34"/>
      <c r="I982" s="29"/>
      <c r="J982" s="60"/>
      <c r="K982" s="60"/>
      <c r="L982" s="60"/>
      <c r="M982" s="60"/>
    </row>
    <row r="983" spans="1:13" ht="15" customHeight="1" x14ac:dyDescent="0.25">
      <c r="A983" s="2"/>
      <c r="B983" s="2"/>
      <c r="C983" s="86"/>
      <c r="D983" s="35"/>
      <c r="E983" s="32"/>
      <c r="F983" s="34"/>
      <c r="G983" s="34"/>
      <c r="I983" s="29"/>
      <c r="J983" s="60"/>
      <c r="K983" s="60"/>
      <c r="L983" s="60"/>
      <c r="M983" s="60"/>
    </row>
    <row r="984" spans="1:13" ht="15" customHeight="1" x14ac:dyDescent="0.25">
      <c r="A984" s="2"/>
      <c r="B984" s="2"/>
      <c r="C984" s="92"/>
      <c r="D984" s="35"/>
      <c r="E984" s="32"/>
      <c r="F984" s="34"/>
      <c r="G984" s="34"/>
      <c r="I984" s="29"/>
      <c r="J984" s="60"/>
      <c r="K984" s="60"/>
      <c r="L984" s="60"/>
      <c r="M984" s="60"/>
    </row>
    <row r="985" spans="1:13" ht="15" customHeight="1" x14ac:dyDescent="0.25">
      <c r="A985" s="2"/>
      <c r="B985" s="2"/>
      <c r="C985" s="86"/>
      <c r="D985" s="35"/>
      <c r="E985" s="32"/>
      <c r="F985" s="34"/>
      <c r="G985" s="34"/>
      <c r="I985" s="29"/>
      <c r="J985" s="60"/>
      <c r="K985" s="60"/>
      <c r="L985" s="60"/>
      <c r="M985" s="60"/>
    </row>
    <row r="986" spans="1:13" ht="15" customHeight="1" x14ac:dyDescent="0.25">
      <c r="A986" s="2"/>
      <c r="B986" s="2"/>
      <c r="C986" s="86"/>
      <c r="D986" s="35"/>
      <c r="E986" s="32"/>
      <c r="F986" s="34"/>
      <c r="G986" s="34"/>
      <c r="I986" s="29"/>
      <c r="J986" s="60"/>
      <c r="K986" s="60"/>
      <c r="L986" s="60"/>
      <c r="M986" s="60"/>
    </row>
    <row r="987" spans="1:13" ht="15" customHeight="1" x14ac:dyDescent="0.25">
      <c r="A987" s="2"/>
      <c r="B987" s="2"/>
      <c r="C987" s="86"/>
      <c r="D987" s="35"/>
      <c r="E987" s="32"/>
      <c r="F987" s="34"/>
      <c r="G987" s="34"/>
      <c r="I987" s="29"/>
      <c r="J987" s="60"/>
      <c r="K987" s="60"/>
      <c r="L987" s="60"/>
      <c r="M987" s="60"/>
    </row>
    <row r="988" spans="1:13" ht="15" customHeight="1" x14ac:dyDescent="0.25">
      <c r="A988" s="2"/>
      <c r="B988" s="2"/>
      <c r="C988" s="92"/>
      <c r="D988" s="35"/>
      <c r="E988" s="32"/>
      <c r="F988" s="34"/>
      <c r="G988" s="34"/>
      <c r="I988" s="29"/>
      <c r="J988" s="60"/>
      <c r="K988" s="60"/>
      <c r="L988" s="60"/>
      <c r="M988" s="60"/>
    </row>
    <row r="989" spans="1:13" ht="15" customHeight="1" x14ac:dyDescent="0.25">
      <c r="A989" s="2"/>
      <c r="B989" s="2"/>
      <c r="C989" s="86"/>
      <c r="D989" s="35"/>
      <c r="E989" s="32"/>
      <c r="F989" s="34"/>
      <c r="G989" s="34"/>
      <c r="I989" s="29"/>
      <c r="J989" s="60"/>
      <c r="K989" s="60"/>
      <c r="L989" s="60"/>
      <c r="M989" s="60"/>
    </row>
    <row r="990" spans="1:13" ht="15" customHeight="1" x14ac:dyDescent="0.25">
      <c r="A990" s="2"/>
      <c r="B990" s="2"/>
      <c r="C990" s="86"/>
      <c r="D990" s="35"/>
      <c r="E990" s="32"/>
      <c r="F990" s="34"/>
      <c r="G990" s="34"/>
      <c r="I990" s="29"/>
      <c r="J990" s="64"/>
      <c r="K990" s="60"/>
      <c r="L990" s="60"/>
      <c r="M990" s="60"/>
    </row>
    <row r="991" spans="1:13" ht="15" customHeight="1" x14ac:dyDescent="0.25">
      <c r="A991" s="2"/>
      <c r="B991" s="2"/>
      <c r="C991" s="86"/>
      <c r="D991" s="35"/>
      <c r="E991" s="32"/>
      <c r="F991" s="34"/>
      <c r="G991" s="34"/>
      <c r="I991" s="29"/>
      <c r="J991" s="60"/>
      <c r="K991" s="60"/>
      <c r="L991" s="60"/>
      <c r="M991" s="60"/>
    </row>
    <row r="992" spans="1:13" ht="15" customHeight="1" x14ac:dyDescent="0.25">
      <c r="A992" s="2"/>
      <c r="B992" s="2"/>
      <c r="C992" s="86"/>
      <c r="D992" s="35"/>
      <c r="E992" s="32"/>
      <c r="F992" s="34"/>
      <c r="G992" s="34"/>
      <c r="I992" s="29"/>
      <c r="J992" s="60"/>
      <c r="K992" s="60"/>
      <c r="L992" s="60"/>
      <c r="M992" s="60"/>
    </row>
    <row r="993" spans="1:13" ht="15" customHeight="1" x14ac:dyDescent="0.25">
      <c r="A993" s="2"/>
      <c r="B993" s="2"/>
      <c r="C993" s="92"/>
      <c r="D993" s="35"/>
      <c r="E993" s="32"/>
      <c r="F993" s="34"/>
      <c r="G993" s="34"/>
      <c r="I993" s="29"/>
      <c r="J993" s="60"/>
      <c r="K993" s="60"/>
      <c r="L993" s="60"/>
      <c r="M993" s="60"/>
    </row>
    <row r="994" spans="1:13" ht="15" customHeight="1" x14ac:dyDescent="0.25">
      <c r="A994" s="2"/>
      <c r="B994" s="2"/>
      <c r="C994" s="86"/>
      <c r="D994" s="35"/>
      <c r="E994" s="32"/>
      <c r="F994" s="34"/>
      <c r="G994" s="34"/>
      <c r="I994" s="29"/>
      <c r="J994" s="60"/>
      <c r="K994" s="60"/>
      <c r="L994" s="60"/>
      <c r="M994" s="60"/>
    </row>
    <row r="995" spans="1:13" ht="15" customHeight="1" x14ac:dyDescent="0.25">
      <c r="A995" s="2"/>
      <c r="B995" s="2"/>
      <c r="C995" s="86"/>
      <c r="D995" s="35"/>
      <c r="E995" s="32"/>
      <c r="F995" s="34"/>
      <c r="G995" s="34"/>
      <c r="I995" s="29"/>
      <c r="J995" s="60"/>
      <c r="K995" s="60"/>
      <c r="L995" s="60"/>
      <c r="M995" s="60"/>
    </row>
    <row r="996" spans="1:13" ht="15" customHeight="1" x14ac:dyDescent="0.25">
      <c r="A996" s="2"/>
      <c r="B996" s="2"/>
      <c r="C996" s="86"/>
      <c r="D996" s="35"/>
      <c r="E996" s="32"/>
      <c r="F996" s="34"/>
      <c r="G996" s="34"/>
      <c r="I996" s="29"/>
      <c r="J996" s="64"/>
      <c r="K996" s="60"/>
      <c r="L996" s="60"/>
      <c r="M996" s="60"/>
    </row>
    <row r="997" spans="1:13" ht="15" customHeight="1" x14ac:dyDescent="0.25">
      <c r="A997" s="2"/>
      <c r="B997" s="2"/>
      <c r="C997" s="92"/>
      <c r="D997" s="35"/>
      <c r="E997" s="32"/>
      <c r="F997" s="34"/>
      <c r="G997" s="34"/>
      <c r="I997" s="29"/>
      <c r="J997" s="64"/>
      <c r="K997" s="60"/>
      <c r="L997" s="60"/>
      <c r="M997" s="60"/>
    </row>
    <row r="998" spans="1:13" ht="15" customHeight="1" x14ac:dyDescent="0.25">
      <c r="A998" s="2"/>
      <c r="B998" s="2"/>
      <c r="C998" s="86"/>
      <c r="D998" s="35"/>
      <c r="E998" s="32"/>
      <c r="F998" s="34"/>
      <c r="G998" s="34"/>
      <c r="I998" s="6"/>
      <c r="J998" s="60"/>
      <c r="K998" s="60"/>
      <c r="L998" s="60"/>
      <c r="M998" s="60"/>
    </row>
    <row r="999" spans="1:13" ht="15" customHeight="1" x14ac:dyDescent="0.25">
      <c r="A999" s="2"/>
      <c r="B999" s="2"/>
      <c r="C999" s="86"/>
      <c r="D999" s="35"/>
      <c r="E999" s="32"/>
      <c r="F999" s="34"/>
      <c r="G999" s="34"/>
      <c r="I999" s="6"/>
      <c r="J999" s="60"/>
      <c r="K999" s="60"/>
      <c r="L999" s="60"/>
      <c r="M999" s="60"/>
    </row>
    <row r="1000" spans="1:13" ht="15" customHeight="1" x14ac:dyDescent="0.25">
      <c r="A1000" s="2"/>
      <c r="B1000" s="2"/>
      <c r="C1000" s="92"/>
      <c r="D1000" s="35"/>
      <c r="E1000" s="32"/>
      <c r="F1000" s="34"/>
      <c r="G1000" s="34"/>
      <c r="I1000" s="29"/>
      <c r="J1000" s="60"/>
      <c r="K1000" s="60"/>
      <c r="L1000" s="60"/>
      <c r="M1000" s="60"/>
    </row>
    <row r="1001" spans="1:13" ht="15" customHeight="1" x14ac:dyDescent="0.25">
      <c r="A1001" s="2"/>
      <c r="B1001" s="2"/>
      <c r="C1001" s="86"/>
      <c r="D1001" s="35"/>
      <c r="E1001" s="32"/>
      <c r="F1001" s="34"/>
      <c r="G1001" s="34"/>
      <c r="I1001" s="29"/>
      <c r="J1001" s="60"/>
      <c r="K1001" s="60"/>
      <c r="L1001" s="60"/>
      <c r="M1001" s="60"/>
    </row>
    <row r="1002" spans="1:13" ht="15" customHeight="1" x14ac:dyDescent="0.25">
      <c r="A1002" s="2"/>
      <c r="B1002" s="2"/>
      <c r="C1002" s="92"/>
      <c r="D1002" s="35"/>
      <c r="E1002" s="32"/>
      <c r="F1002" s="34"/>
      <c r="G1002" s="34"/>
      <c r="I1002" s="29"/>
      <c r="J1002" s="60"/>
      <c r="K1002" s="61"/>
      <c r="L1002" s="61"/>
      <c r="M1002" s="61"/>
    </row>
    <row r="1003" spans="1:13" ht="15" customHeight="1" x14ac:dyDescent="0.25">
      <c r="A1003" s="2"/>
      <c r="B1003" s="2"/>
      <c r="C1003" s="86"/>
      <c r="D1003" s="35"/>
      <c r="E1003" s="32"/>
      <c r="F1003" s="34"/>
      <c r="G1003" s="34"/>
      <c r="I1003" s="29"/>
      <c r="J1003" s="62"/>
      <c r="K1003" s="61"/>
      <c r="L1003" s="61"/>
      <c r="M1003" s="72"/>
    </row>
    <row r="1004" spans="1:13" ht="15" customHeight="1" x14ac:dyDescent="0.25">
      <c r="A1004" s="2"/>
      <c r="B1004" s="2"/>
      <c r="C1004" s="86"/>
      <c r="D1004" s="35"/>
      <c r="E1004" s="32"/>
      <c r="F1004" s="34"/>
      <c r="G1004" s="34"/>
      <c r="I1004" s="29"/>
      <c r="J1004" s="59"/>
      <c r="K1004" s="60"/>
      <c r="L1004" s="60"/>
      <c r="M1004" s="70"/>
    </row>
    <row r="1005" spans="1:13" ht="15" customHeight="1" x14ac:dyDescent="0.25">
      <c r="A1005" s="2"/>
      <c r="B1005" s="2"/>
      <c r="C1005" s="86"/>
      <c r="D1005" s="35"/>
      <c r="E1005" s="32"/>
      <c r="F1005" s="34"/>
      <c r="G1005" s="34"/>
      <c r="I1005" s="29"/>
      <c r="J1005" s="55"/>
      <c r="K1005" s="60"/>
      <c r="L1005" s="60"/>
      <c r="M1005" s="70"/>
    </row>
    <row r="1006" spans="1:13" ht="15" customHeight="1" x14ac:dyDescent="0.25">
      <c r="A1006" s="2"/>
      <c r="B1006" s="2"/>
      <c r="C1006" s="92"/>
      <c r="D1006" s="35"/>
      <c r="E1006" s="32"/>
      <c r="F1006" s="34"/>
      <c r="G1006" s="34"/>
      <c r="I1006" s="29"/>
      <c r="J1006" s="55"/>
      <c r="K1006" s="59"/>
      <c r="L1006" s="60"/>
      <c r="M1006" s="70"/>
    </row>
    <row r="1007" spans="1:13" ht="15" customHeight="1" x14ac:dyDescent="0.25">
      <c r="A1007" s="2"/>
      <c r="B1007" s="2"/>
      <c r="C1007" s="86"/>
      <c r="D1007" s="35"/>
      <c r="E1007" s="32"/>
      <c r="F1007" s="34"/>
      <c r="G1007" s="34"/>
      <c r="I1007" s="29"/>
      <c r="J1007" s="66"/>
      <c r="K1007" s="59"/>
      <c r="L1007" s="59"/>
      <c r="M1007" s="70"/>
    </row>
    <row r="1008" spans="1:13" ht="15" customHeight="1" x14ac:dyDescent="0.25">
      <c r="A1008" s="2"/>
      <c r="B1008" s="2"/>
      <c r="C1008" s="86"/>
      <c r="D1008" s="35"/>
      <c r="E1008" s="32"/>
      <c r="F1008" s="34"/>
      <c r="G1008" s="34"/>
      <c r="I1008" s="29"/>
      <c r="J1008" s="55"/>
      <c r="K1008" s="61"/>
      <c r="L1008" s="61"/>
      <c r="M1008" s="61"/>
    </row>
    <row r="1009" spans="1:13" ht="15" customHeight="1" x14ac:dyDescent="0.25">
      <c r="A1009" s="2"/>
      <c r="B1009" s="2"/>
      <c r="C1009" s="86"/>
      <c r="D1009" s="35"/>
      <c r="E1009" s="32"/>
      <c r="F1009" s="34"/>
      <c r="G1009" s="34"/>
      <c r="I1009" s="29"/>
      <c r="J1009" s="59"/>
      <c r="K1009" s="60"/>
      <c r="L1009" s="60"/>
      <c r="M1009" s="59"/>
    </row>
    <row r="1010" spans="1:13" ht="15" customHeight="1" x14ac:dyDescent="0.25">
      <c r="A1010" s="2"/>
      <c r="B1010" s="2"/>
      <c r="C1010" s="86"/>
      <c r="D1010" s="35"/>
      <c r="E1010" s="32"/>
      <c r="F1010" s="34"/>
      <c r="G1010" s="34"/>
      <c r="I1010" s="29"/>
      <c r="J1010" s="55"/>
      <c r="K1010" s="60"/>
      <c r="L1010" s="60"/>
      <c r="M1010" s="59"/>
    </row>
    <row r="1011" spans="1:13" ht="15" customHeight="1" x14ac:dyDescent="0.25">
      <c r="A1011" s="2"/>
      <c r="B1011" s="2"/>
      <c r="C1011" s="86"/>
      <c r="D1011" s="35"/>
      <c r="E1011" s="32"/>
      <c r="F1011" s="34"/>
      <c r="G1011" s="34"/>
      <c r="I1011" s="29"/>
      <c r="J1011" s="55"/>
      <c r="K1011" s="59"/>
      <c r="L1011" s="60"/>
      <c r="M1011" s="59"/>
    </row>
    <row r="1012" spans="1:13" ht="15" customHeight="1" x14ac:dyDescent="0.25">
      <c r="A1012" s="2"/>
      <c r="B1012" s="2"/>
      <c r="C1012" s="86"/>
      <c r="D1012" s="35"/>
      <c r="E1012" s="32"/>
      <c r="F1012" s="34"/>
      <c r="G1012" s="34"/>
      <c r="I1012" s="29"/>
      <c r="J1012" s="66"/>
      <c r="K1012" s="59"/>
      <c r="L1012" s="59"/>
      <c r="M1012" s="59"/>
    </row>
    <row r="1013" spans="1:13" ht="15" customHeight="1" x14ac:dyDescent="0.25">
      <c r="A1013" s="2"/>
      <c r="B1013" s="2"/>
      <c r="C1013" s="86"/>
      <c r="D1013" s="35"/>
      <c r="E1013" s="32"/>
      <c r="F1013" s="34"/>
      <c r="G1013" s="34"/>
      <c r="I1013" s="29"/>
      <c r="J1013" s="55"/>
      <c r="K1013" s="60"/>
      <c r="L1013" s="60"/>
      <c r="M1013" s="59"/>
    </row>
    <row r="1014" spans="1:13" ht="15" customHeight="1" x14ac:dyDescent="0.25">
      <c r="A1014" s="2"/>
      <c r="B1014" s="2"/>
      <c r="C1014" s="86"/>
      <c r="D1014" s="35"/>
      <c r="E1014" s="32"/>
      <c r="F1014" s="34"/>
      <c r="G1014" s="34"/>
      <c r="I1014" s="29"/>
      <c r="J1014" s="55"/>
      <c r="K1014" s="59"/>
      <c r="L1014" s="60"/>
      <c r="M1014" s="59"/>
    </row>
    <row r="1015" spans="1:13" ht="15" customHeight="1" x14ac:dyDescent="0.25">
      <c r="A1015" s="2"/>
      <c r="B1015" s="2"/>
      <c r="C1015" s="92"/>
      <c r="D1015" s="35"/>
      <c r="E1015" s="32"/>
      <c r="F1015" s="34"/>
      <c r="G1015" s="34"/>
      <c r="I1015" s="29"/>
      <c r="J1015" s="66"/>
      <c r="K1015" s="59"/>
      <c r="L1015" s="59"/>
      <c r="M1015" s="59"/>
    </row>
    <row r="1016" spans="1:13" ht="15" customHeight="1" x14ac:dyDescent="0.25">
      <c r="A1016" s="2"/>
      <c r="B1016" s="2"/>
      <c r="C1016" s="92"/>
      <c r="D1016" s="35"/>
      <c r="E1016" s="32"/>
      <c r="F1016" s="34"/>
      <c r="G1016" s="34"/>
      <c r="I1016" s="29"/>
      <c r="J1016" s="55"/>
      <c r="K1016" s="60"/>
      <c r="L1016" s="60"/>
      <c r="M1016" s="60"/>
    </row>
    <row r="1017" spans="1:13" ht="15" customHeight="1" x14ac:dyDescent="0.25">
      <c r="A1017" s="2"/>
      <c r="B1017" s="2"/>
      <c r="C1017" s="86"/>
      <c r="D1017" s="35"/>
      <c r="E1017" s="32"/>
      <c r="F1017" s="34"/>
      <c r="G1017" s="34"/>
      <c r="I1017" s="29"/>
      <c r="J1017" s="64"/>
      <c r="K1017" s="60"/>
      <c r="L1017" s="60"/>
      <c r="M1017" s="60"/>
    </row>
    <row r="1018" spans="1:13" ht="15" customHeight="1" x14ac:dyDescent="0.25">
      <c r="A1018" s="2"/>
      <c r="B1018" s="2"/>
      <c r="C1018" s="92"/>
      <c r="D1018" s="35"/>
      <c r="E1018" s="32"/>
      <c r="F1018" s="34"/>
      <c r="G1018" s="34"/>
      <c r="I1018" s="29"/>
      <c r="J1018" s="60"/>
      <c r="K1018" s="60"/>
      <c r="L1018" s="60"/>
      <c r="M1018" s="60"/>
    </row>
    <row r="1019" spans="1:13" ht="15" customHeight="1" x14ac:dyDescent="0.25">
      <c r="A1019" s="2"/>
      <c r="B1019" s="2"/>
      <c r="C1019" s="86"/>
      <c r="D1019" s="35"/>
      <c r="E1019" s="32"/>
      <c r="F1019" s="34"/>
      <c r="G1019" s="34"/>
      <c r="I1019" s="29"/>
      <c r="J1019" s="60"/>
      <c r="K1019" s="60"/>
      <c r="L1019" s="60"/>
      <c r="M1019" s="60"/>
    </row>
    <row r="1020" spans="1:13" ht="15" customHeight="1" x14ac:dyDescent="0.25">
      <c r="A1020" s="2"/>
      <c r="B1020" s="2"/>
      <c r="C1020" s="86"/>
      <c r="D1020" s="35"/>
      <c r="E1020" s="32"/>
      <c r="F1020" s="34"/>
      <c r="G1020" s="34"/>
      <c r="I1020" s="29"/>
      <c r="J1020" s="60"/>
      <c r="K1020" s="60"/>
      <c r="L1020" s="60"/>
      <c r="M1020" s="60"/>
    </row>
    <row r="1021" spans="1:13" ht="15" customHeight="1" x14ac:dyDescent="0.25">
      <c r="A1021" s="2"/>
      <c r="B1021" s="2"/>
      <c r="C1021" s="86"/>
      <c r="D1021" s="35"/>
      <c r="E1021" s="32"/>
      <c r="F1021" s="34"/>
      <c r="G1021" s="34"/>
      <c r="I1021" s="29"/>
      <c r="J1021" s="60"/>
      <c r="K1021" s="60"/>
      <c r="L1021" s="60"/>
      <c r="M1021" s="60"/>
    </row>
    <row r="1022" spans="1:13" ht="15" customHeight="1" x14ac:dyDescent="0.25">
      <c r="A1022" s="2"/>
      <c r="B1022" s="2"/>
      <c r="C1022" s="86"/>
      <c r="D1022" s="35"/>
      <c r="E1022" s="32"/>
      <c r="F1022" s="34"/>
      <c r="G1022" s="34"/>
      <c r="I1022" s="29"/>
      <c r="J1022" s="60"/>
      <c r="K1022" s="60"/>
      <c r="L1022" s="60"/>
      <c r="M1022" s="60"/>
    </row>
    <row r="1023" spans="1:13" ht="15" customHeight="1" x14ac:dyDescent="0.25">
      <c r="A1023" s="2"/>
      <c r="B1023" s="2"/>
      <c r="C1023" s="86"/>
      <c r="D1023" s="35"/>
      <c r="E1023" s="32"/>
      <c r="F1023" s="34"/>
      <c r="G1023" s="34"/>
      <c r="I1023" s="29"/>
      <c r="J1023" s="64"/>
      <c r="K1023" s="60"/>
      <c r="L1023" s="60"/>
      <c r="M1023" s="60"/>
    </row>
    <row r="1024" spans="1:13" ht="15" customHeight="1" x14ac:dyDescent="0.25">
      <c r="A1024" s="2"/>
      <c r="B1024" s="2"/>
      <c r="C1024" s="86"/>
      <c r="D1024" s="35"/>
      <c r="E1024" s="32"/>
      <c r="F1024" s="34"/>
      <c r="G1024" s="34"/>
      <c r="I1024" s="29"/>
      <c r="J1024" s="60"/>
      <c r="K1024" s="60"/>
      <c r="L1024" s="60"/>
      <c r="M1024" s="60"/>
    </row>
    <row r="1025" spans="1:13" ht="15" customHeight="1" x14ac:dyDescent="0.25">
      <c r="A1025" s="2"/>
      <c r="B1025" s="2"/>
      <c r="C1025" s="86"/>
      <c r="D1025" s="35"/>
      <c r="E1025" s="32"/>
      <c r="F1025" s="34"/>
      <c r="G1025" s="34"/>
      <c r="I1025" s="29"/>
      <c r="J1025" s="60"/>
      <c r="K1025" s="60"/>
      <c r="L1025" s="60"/>
      <c r="M1025" s="60"/>
    </row>
    <row r="1026" spans="1:13" ht="15" customHeight="1" x14ac:dyDescent="0.25">
      <c r="A1026" s="2"/>
      <c r="B1026" s="2"/>
      <c r="C1026" s="86"/>
      <c r="D1026" s="35"/>
      <c r="E1026" s="32"/>
      <c r="F1026" s="34"/>
      <c r="G1026" s="34"/>
      <c r="I1026" s="29"/>
      <c r="J1026" s="60"/>
      <c r="K1026" s="60"/>
      <c r="L1026" s="60"/>
      <c r="M1026" s="60"/>
    </row>
    <row r="1027" spans="1:13" ht="15" customHeight="1" x14ac:dyDescent="0.25">
      <c r="A1027" s="2"/>
      <c r="B1027" s="2"/>
      <c r="C1027" s="86"/>
      <c r="D1027" s="35"/>
      <c r="E1027" s="32"/>
      <c r="F1027" s="34"/>
      <c r="G1027" s="34"/>
      <c r="I1027" s="29"/>
      <c r="J1027" s="60"/>
      <c r="K1027" s="60"/>
      <c r="L1027" s="60"/>
      <c r="M1027" s="60"/>
    </row>
    <row r="1028" spans="1:13" ht="15" customHeight="1" x14ac:dyDescent="0.25">
      <c r="A1028" s="2"/>
      <c r="B1028" s="2"/>
      <c r="C1028" s="86"/>
      <c r="D1028" s="35"/>
      <c r="E1028" s="32"/>
      <c r="F1028" s="34"/>
      <c r="G1028" s="34"/>
      <c r="I1028" s="29"/>
      <c r="J1028" s="60"/>
      <c r="K1028" s="60"/>
      <c r="L1028" s="60"/>
      <c r="M1028" s="60"/>
    </row>
    <row r="1029" spans="1:13" ht="15" customHeight="1" x14ac:dyDescent="0.25">
      <c r="A1029" s="2"/>
      <c r="B1029" s="2"/>
      <c r="C1029" s="86"/>
      <c r="D1029" s="35"/>
      <c r="E1029" s="32"/>
      <c r="F1029" s="34"/>
      <c r="G1029" s="34"/>
      <c r="I1029" s="29"/>
      <c r="J1029" s="60"/>
      <c r="K1029" s="60"/>
      <c r="L1029" s="60"/>
      <c r="M1029" s="60"/>
    </row>
    <row r="1030" spans="1:13" ht="15" customHeight="1" x14ac:dyDescent="0.25">
      <c r="A1030" s="2"/>
      <c r="B1030" s="2"/>
      <c r="C1030" s="91"/>
      <c r="D1030" s="35"/>
      <c r="E1030" s="32"/>
      <c r="F1030" s="34"/>
      <c r="G1030" s="34"/>
      <c r="I1030" s="29"/>
      <c r="J1030" s="60"/>
      <c r="K1030" s="60"/>
      <c r="L1030" s="60"/>
      <c r="M1030" s="60"/>
    </row>
    <row r="1031" spans="1:13" ht="15" customHeight="1" x14ac:dyDescent="0.25">
      <c r="A1031" s="2"/>
      <c r="B1031" s="2"/>
      <c r="C1031" s="93"/>
      <c r="D1031" s="35"/>
      <c r="E1031" s="32"/>
      <c r="F1031" s="34"/>
      <c r="G1031" s="34"/>
      <c r="I1031" s="29"/>
      <c r="J1031" s="60"/>
      <c r="K1031" s="60"/>
      <c r="L1031" s="60"/>
      <c r="M1031" s="60"/>
    </row>
    <row r="1032" spans="1:13" ht="15" customHeight="1" x14ac:dyDescent="0.25">
      <c r="A1032" s="2"/>
      <c r="B1032" s="2"/>
      <c r="C1032" s="90"/>
      <c r="D1032" s="35"/>
      <c r="E1032" s="32"/>
      <c r="F1032" s="34"/>
      <c r="G1032" s="34"/>
      <c r="I1032" s="29"/>
      <c r="J1032" s="60"/>
      <c r="K1032" s="60"/>
      <c r="L1032" s="60"/>
      <c r="M1032" s="60"/>
    </row>
    <row r="1033" spans="1:13" ht="15" customHeight="1" x14ac:dyDescent="0.25">
      <c r="A1033" s="2"/>
      <c r="B1033" s="2"/>
      <c r="C1033" s="92"/>
      <c r="D1033" s="35"/>
      <c r="E1033" s="32"/>
      <c r="F1033" s="26"/>
      <c r="G1033" s="34"/>
      <c r="I1033" s="29"/>
      <c r="J1033" s="60"/>
      <c r="K1033" s="60"/>
      <c r="L1033" s="60"/>
      <c r="M1033" s="60"/>
    </row>
    <row r="1034" spans="1:13" ht="15" customHeight="1" x14ac:dyDescent="0.25">
      <c r="A1034" s="2"/>
      <c r="B1034" s="2"/>
      <c r="C1034" s="91"/>
      <c r="D1034" s="35"/>
      <c r="E1034" s="32"/>
      <c r="F1034" s="26"/>
      <c r="G1034" s="26"/>
      <c r="H1034" s="26"/>
      <c r="I1034" s="29"/>
      <c r="J1034" s="60"/>
      <c r="K1034" s="60"/>
      <c r="L1034" s="60"/>
      <c r="M1034" s="60"/>
    </row>
    <row r="1035" spans="1:13" ht="15" customHeight="1" x14ac:dyDescent="0.25">
      <c r="A1035" s="2"/>
      <c r="B1035" s="2"/>
      <c r="C1035" s="86"/>
      <c r="D1035" s="35"/>
      <c r="E1035" s="32"/>
      <c r="F1035" s="34"/>
      <c r="G1035" s="26"/>
      <c r="I1035" s="29"/>
      <c r="J1035" s="60"/>
      <c r="K1035" s="60"/>
      <c r="L1035" s="60"/>
      <c r="M1035" s="60"/>
    </row>
    <row r="1036" spans="1:13" ht="15" customHeight="1" x14ac:dyDescent="0.25">
      <c r="A1036" s="2"/>
      <c r="B1036" s="2"/>
      <c r="C1036" s="86"/>
      <c r="D1036" s="35"/>
      <c r="E1036" s="32"/>
      <c r="F1036" s="34"/>
      <c r="G1036" s="34"/>
      <c r="I1036" s="29"/>
      <c r="J1036" s="60"/>
      <c r="K1036" s="60"/>
      <c r="L1036" s="60"/>
      <c r="M1036" s="60"/>
    </row>
    <row r="1037" spans="1:13" ht="15" customHeight="1" x14ac:dyDescent="0.25">
      <c r="A1037" s="2"/>
      <c r="B1037" s="2"/>
      <c r="C1037" s="86"/>
      <c r="D1037" s="35"/>
      <c r="E1037" s="32"/>
      <c r="F1037" s="34"/>
      <c r="G1037" s="34"/>
      <c r="I1037" s="29"/>
      <c r="J1037" s="60"/>
      <c r="K1037" s="60"/>
      <c r="L1037" s="60"/>
      <c r="M1037" s="60"/>
    </row>
    <row r="1038" spans="1:13" ht="15" customHeight="1" x14ac:dyDescent="0.25">
      <c r="A1038" s="2"/>
      <c r="B1038" s="2"/>
      <c r="C1038" s="86"/>
      <c r="D1038" s="37"/>
      <c r="E1038" s="32"/>
      <c r="F1038" s="34"/>
      <c r="G1038" s="34"/>
      <c r="I1038" s="29"/>
      <c r="J1038" s="60"/>
      <c r="K1038" s="60"/>
      <c r="L1038" s="60"/>
      <c r="M1038" s="60"/>
    </row>
    <row r="1039" spans="1:13" ht="15" customHeight="1" x14ac:dyDescent="0.25">
      <c r="A1039" s="2"/>
      <c r="B1039" s="2"/>
      <c r="C1039" s="92"/>
      <c r="D1039" s="37"/>
      <c r="E1039" s="32"/>
      <c r="F1039" s="34"/>
      <c r="G1039" s="34"/>
      <c r="I1039" s="29"/>
      <c r="J1039" s="60"/>
      <c r="K1039" s="60"/>
      <c r="L1039" s="60"/>
      <c r="M1039" s="60"/>
    </row>
    <row r="1040" spans="1:13" ht="15" customHeight="1" x14ac:dyDescent="0.25">
      <c r="A1040" s="2"/>
      <c r="B1040" s="2"/>
      <c r="C1040" s="86"/>
      <c r="D1040" s="35"/>
      <c r="E1040" s="32"/>
      <c r="F1040" s="34"/>
      <c r="G1040" s="34"/>
      <c r="I1040" s="29"/>
      <c r="J1040" s="64"/>
      <c r="K1040" s="60"/>
      <c r="L1040" s="60"/>
      <c r="M1040" s="60"/>
    </row>
    <row r="1041" spans="1:13" ht="15" customHeight="1" x14ac:dyDescent="0.25">
      <c r="A1041" s="2"/>
      <c r="B1041" s="2"/>
      <c r="C1041" s="86"/>
      <c r="D1041" s="35"/>
      <c r="E1041" s="32"/>
      <c r="F1041" s="34"/>
      <c r="G1041" s="34"/>
      <c r="I1041" s="29"/>
      <c r="J1041" s="60"/>
      <c r="K1041" s="60"/>
      <c r="L1041" s="60"/>
      <c r="M1041" s="60"/>
    </row>
    <row r="1042" spans="1:13" ht="15" customHeight="1" x14ac:dyDescent="0.25">
      <c r="A1042" s="2"/>
      <c r="B1042" s="2"/>
      <c r="C1042" s="86"/>
      <c r="D1042" s="35"/>
      <c r="E1042" s="32"/>
      <c r="F1042" s="34"/>
      <c r="G1042" s="34"/>
      <c r="I1042" s="29"/>
      <c r="J1042" s="60"/>
      <c r="K1042" s="60"/>
      <c r="L1042" s="60"/>
      <c r="M1042" s="60"/>
    </row>
    <row r="1043" spans="1:13" ht="15" customHeight="1" x14ac:dyDescent="0.25">
      <c r="A1043" s="2"/>
      <c r="B1043" s="2"/>
      <c r="C1043" s="92"/>
      <c r="D1043" s="35"/>
      <c r="E1043" s="32"/>
      <c r="F1043" s="34"/>
      <c r="G1043" s="34"/>
      <c r="I1043" s="29"/>
      <c r="J1043" s="60"/>
      <c r="K1043" s="60"/>
      <c r="L1043" s="60"/>
      <c r="M1043" s="60"/>
    </row>
    <row r="1044" spans="1:13" ht="15" customHeight="1" x14ac:dyDescent="0.25">
      <c r="A1044" s="2"/>
      <c r="B1044" s="2"/>
      <c r="C1044" s="86"/>
      <c r="D1044" s="35"/>
      <c r="E1044" s="32"/>
      <c r="F1044" s="34"/>
      <c r="G1044" s="34"/>
      <c r="I1044" s="29"/>
      <c r="J1044" s="60"/>
      <c r="K1044" s="60"/>
      <c r="L1044" s="60"/>
      <c r="M1044" s="60"/>
    </row>
    <row r="1045" spans="1:13" ht="15" customHeight="1" x14ac:dyDescent="0.25">
      <c r="A1045" s="2"/>
      <c r="B1045" s="2"/>
      <c r="C1045" s="86"/>
      <c r="D1045" s="35"/>
      <c r="E1045" s="32"/>
      <c r="F1045" s="34"/>
      <c r="G1045" s="34"/>
      <c r="I1045" s="29"/>
      <c r="J1045" s="60"/>
      <c r="K1045" s="60"/>
      <c r="L1045" s="60"/>
      <c r="M1045" s="60"/>
    </row>
    <row r="1046" spans="1:13" ht="15" customHeight="1" x14ac:dyDescent="0.25">
      <c r="A1046" s="2"/>
      <c r="B1046" s="2"/>
      <c r="C1046" s="86"/>
      <c r="D1046" s="35"/>
      <c r="E1046" s="32"/>
      <c r="F1046" s="34"/>
      <c r="G1046" s="34"/>
      <c r="I1046" s="29"/>
      <c r="J1046" s="60"/>
      <c r="K1046" s="60"/>
      <c r="L1046" s="60"/>
      <c r="M1046" s="60"/>
    </row>
    <row r="1047" spans="1:13" ht="15" customHeight="1" x14ac:dyDescent="0.25">
      <c r="A1047" s="2"/>
      <c r="B1047" s="2"/>
      <c r="C1047" s="86"/>
      <c r="D1047" s="35"/>
      <c r="E1047" s="32"/>
      <c r="F1047" s="34"/>
      <c r="G1047" s="34"/>
      <c r="I1047" s="29"/>
      <c r="J1047" s="60"/>
      <c r="K1047" s="60"/>
      <c r="L1047" s="60"/>
      <c r="M1047" s="60"/>
    </row>
    <row r="1048" spans="1:13" ht="15" customHeight="1" x14ac:dyDescent="0.25">
      <c r="A1048" s="2"/>
      <c r="B1048" s="2"/>
      <c r="C1048" s="86"/>
      <c r="D1048" s="35"/>
      <c r="E1048" s="32"/>
      <c r="F1048" s="34"/>
      <c r="G1048" s="34"/>
      <c r="I1048" s="29"/>
      <c r="J1048" s="60"/>
      <c r="K1048" s="60"/>
      <c r="L1048" s="60"/>
      <c r="M1048" s="60"/>
    </row>
    <row r="1049" spans="1:13" ht="15" customHeight="1" x14ac:dyDescent="0.25">
      <c r="A1049" s="2"/>
      <c r="B1049" s="2"/>
      <c r="C1049" s="86"/>
      <c r="D1049" s="35"/>
      <c r="E1049" s="32"/>
      <c r="F1049" s="34"/>
      <c r="G1049" s="34"/>
      <c r="I1049" s="29"/>
      <c r="J1049" s="64"/>
      <c r="K1049" s="60"/>
      <c r="L1049" s="60"/>
      <c r="M1049" s="60"/>
    </row>
    <row r="1050" spans="1:13" ht="15" customHeight="1" x14ac:dyDescent="0.25">
      <c r="A1050" s="2"/>
      <c r="B1050" s="2"/>
      <c r="C1050" s="86"/>
      <c r="D1050" s="35"/>
      <c r="E1050" s="32"/>
      <c r="F1050" s="34"/>
      <c r="G1050" s="34"/>
      <c r="I1050" s="29"/>
      <c r="J1050" s="64"/>
      <c r="K1050" s="60"/>
      <c r="L1050" s="60"/>
      <c r="M1050" s="60"/>
    </row>
    <row r="1051" spans="1:13" ht="15" customHeight="1" x14ac:dyDescent="0.25">
      <c r="A1051" s="2"/>
      <c r="B1051" s="2"/>
      <c r="C1051" s="86"/>
      <c r="D1051" s="35"/>
      <c r="E1051" s="32"/>
      <c r="F1051" s="34"/>
      <c r="G1051" s="34"/>
      <c r="I1051" s="29"/>
      <c r="J1051" s="60"/>
      <c r="K1051" s="60"/>
      <c r="L1051" s="60"/>
      <c r="M1051" s="60"/>
    </row>
    <row r="1052" spans="1:13" ht="15" customHeight="1" x14ac:dyDescent="0.25">
      <c r="A1052" s="2"/>
      <c r="B1052" s="2"/>
      <c r="C1052" s="86"/>
      <c r="D1052" s="35"/>
      <c r="E1052" s="32"/>
      <c r="F1052" s="34"/>
      <c r="G1052" s="34"/>
      <c r="I1052" s="29"/>
      <c r="J1052" s="60"/>
      <c r="K1052" s="60"/>
      <c r="L1052" s="60"/>
      <c r="M1052" s="60"/>
    </row>
    <row r="1053" spans="1:13" ht="15" customHeight="1" x14ac:dyDescent="0.25">
      <c r="A1053" s="2"/>
      <c r="B1053" s="2"/>
      <c r="C1053" s="86"/>
      <c r="D1053" s="35"/>
      <c r="E1053" s="32"/>
      <c r="F1053" s="34"/>
      <c r="G1053" s="34"/>
      <c r="I1053" s="29"/>
      <c r="J1053" s="60"/>
      <c r="K1053" s="60"/>
      <c r="L1053" s="60"/>
      <c r="M1053" s="60"/>
    </row>
    <row r="1054" spans="1:13" ht="15" customHeight="1" x14ac:dyDescent="0.25">
      <c r="A1054" s="2"/>
      <c r="B1054" s="2"/>
      <c r="C1054" s="86"/>
      <c r="D1054" s="35"/>
      <c r="E1054" s="32"/>
      <c r="F1054" s="34"/>
      <c r="G1054" s="34"/>
      <c r="I1054" s="29"/>
      <c r="J1054" s="60"/>
      <c r="K1054" s="60"/>
      <c r="L1054" s="60"/>
      <c r="M1054" s="60"/>
    </row>
    <row r="1055" spans="1:13" ht="15" customHeight="1" x14ac:dyDescent="0.25">
      <c r="A1055" s="2"/>
      <c r="B1055" s="2"/>
      <c r="C1055" s="86"/>
      <c r="D1055" s="35"/>
      <c r="E1055" s="32"/>
      <c r="F1055" s="34"/>
      <c r="G1055" s="34"/>
      <c r="I1055" s="29"/>
      <c r="J1055" s="60"/>
      <c r="K1055" s="60"/>
      <c r="L1055" s="60"/>
      <c r="M1055" s="60"/>
    </row>
    <row r="1056" spans="1:13" ht="15" customHeight="1" x14ac:dyDescent="0.25">
      <c r="A1056" s="2"/>
      <c r="B1056" s="2"/>
      <c r="C1056" s="86"/>
      <c r="D1056" s="35"/>
      <c r="E1056" s="32"/>
      <c r="F1056" s="34"/>
      <c r="G1056" s="34"/>
      <c r="I1056" s="29"/>
      <c r="J1056" s="60"/>
      <c r="K1056" s="60"/>
      <c r="L1056" s="60"/>
      <c r="M1056" s="60"/>
    </row>
    <row r="1057" spans="1:13" ht="15" customHeight="1" x14ac:dyDescent="0.25">
      <c r="A1057" s="2"/>
      <c r="B1057" s="2"/>
      <c r="C1057" s="92"/>
      <c r="D1057" s="35"/>
      <c r="E1057" s="32"/>
      <c r="F1057" s="34"/>
      <c r="G1057" s="34"/>
      <c r="I1057" s="29"/>
      <c r="J1057" s="60"/>
      <c r="K1057" s="60"/>
      <c r="L1057" s="60"/>
      <c r="M1057" s="60"/>
    </row>
    <row r="1058" spans="1:13" ht="15" customHeight="1" x14ac:dyDescent="0.25">
      <c r="A1058" s="2"/>
      <c r="B1058" s="2"/>
      <c r="C1058" s="86"/>
      <c r="D1058" s="35"/>
      <c r="E1058" s="32"/>
      <c r="F1058" s="34"/>
      <c r="G1058" s="34"/>
      <c r="I1058" s="29"/>
      <c r="J1058" s="60"/>
      <c r="K1058" s="60"/>
      <c r="L1058" s="60"/>
      <c r="M1058" s="60"/>
    </row>
    <row r="1059" spans="1:13" ht="15" customHeight="1" x14ac:dyDescent="0.25">
      <c r="A1059" s="2"/>
      <c r="B1059" s="2"/>
      <c r="C1059" s="86"/>
      <c r="D1059" s="35"/>
      <c r="E1059" s="32"/>
      <c r="F1059" s="34"/>
      <c r="G1059" s="34"/>
      <c r="I1059" s="29"/>
      <c r="J1059" s="60"/>
      <c r="K1059" s="60"/>
      <c r="L1059" s="60"/>
      <c r="M1059" s="60"/>
    </row>
    <row r="1060" spans="1:13" ht="15" customHeight="1" x14ac:dyDescent="0.25">
      <c r="A1060" s="2"/>
      <c r="B1060" s="2"/>
      <c r="C1060" s="86"/>
      <c r="D1060" s="35"/>
      <c r="E1060" s="32"/>
      <c r="F1060" s="34"/>
      <c r="G1060" s="34"/>
      <c r="I1060" s="29"/>
      <c r="J1060" s="60"/>
      <c r="K1060" s="60"/>
      <c r="L1060" s="60"/>
      <c r="M1060" s="60"/>
    </row>
    <row r="1061" spans="1:13" ht="15" customHeight="1" x14ac:dyDescent="0.25">
      <c r="A1061" s="2"/>
      <c r="B1061" s="2"/>
      <c r="C1061" s="86"/>
      <c r="D1061" s="35"/>
      <c r="E1061" s="32"/>
      <c r="F1061" s="34"/>
      <c r="G1061" s="34"/>
      <c r="I1061" s="29"/>
      <c r="J1061" s="60"/>
      <c r="K1061" s="60"/>
      <c r="L1061" s="60"/>
      <c r="M1061" s="60"/>
    </row>
    <row r="1062" spans="1:13" ht="15" customHeight="1" x14ac:dyDescent="0.25">
      <c r="A1062" s="2"/>
      <c r="B1062" s="2"/>
      <c r="C1062" s="86"/>
      <c r="D1062" s="35"/>
      <c r="E1062" s="32"/>
      <c r="F1062" s="34"/>
      <c r="G1062" s="34"/>
      <c r="I1062" s="6"/>
      <c r="J1062" s="60"/>
      <c r="K1062" s="60"/>
      <c r="L1062" s="60"/>
      <c r="M1062" s="60"/>
    </row>
    <row r="1063" spans="1:13" ht="15" customHeight="1" x14ac:dyDescent="0.25">
      <c r="A1063" s="2"/>
      <c r="B1063" s="2"/>
      <c r="C1063" s="86"/>
      <c r="D1063" s="35"/>
      <c r="E1063" s="32"/>
      <c r="F1063" s="34"/>
      <c r="G1063" s="34"/>
      <c r="I1063" s="6"/>
      <c r="J1063" s="60"/>
      <c r="K1063" s="60"/>
      <c r="L1063" s="60"/>
      <c r="M1063" s="60"/>
    </row>
    <row r="1064" spans="1:13" ht="15" customHeight="1" x14ac:dyDescent="0.25">
      <c r="A1064" s="2"/>
      <c r="B1064" s="2"/>
      <c r="C1064" s="86"/>
      <c r="D1064" s="35"/>
      <c r="E1064" s="32"/>
      <c r="F1064" s="34"/>
      <c r="G1064" s="34"/>
      <c r="I1064" s="29"/>
      <c r="J1064" s="60"/>
      <c r="K1064" s="60"/>
      <c r="L1064" s="60"/>
      <c r="M1064" s="60"/>
    </row>
    <row r="1065" spans="1:13" ht="15" customHeight="1" x14ac:dyDescent="0.25">
      <c r="A1065" s="2"/>
      <c r="B1065" s="2"/>
      <c r="C1065" s="86"/>
      <c r="D1065" s="35"/>
      <c r="E1065" s="32"/>
      <c r="F1065" s="34"/>
      <c r="G1065" s="34"/>
      <c r="I1065" s="29"/>
      <c r="J1065" s="60"/>
      <c r="K1065" s="60"/>
      <c r="L1065" s="60"/>
      <c r="M1065" s="60"/>
    </row>
    <row r="1066" spans="1:13" ht="15" customHeight="1" x14ac:dyDescent="0.25">
      <c r="A1066" s="2"/>
      <c r="B1066" s="2"/>
      <c r="C1066" s="86"/>
      <c r="D1066" s="35"/>
      <c r="E1066" s="32"/>
      <c r="F1066" s="34"/>
      <c r="G1066" s="34"/>
      <c r="I1066" s="29"/>
      <c r="J1066" s="64"/>
      <c r="K1066" s="60"/>
      <c r="L1066" s="60"/>
      <c r="M1066" s="60"/>
    </row>
    <row r="1067" spans="1:13" ht="15" customHeight="1" x14ac:dyDescent="0.25">
      <c r="A1067" s="2"/>
      <c r="B1067" s="2"/>
      <c r="C1067" s="86"/>
      <c r="D1067" s="35"/>
      <c r="E1067" s="32"/>
      <c r="F1067" s="34"/>
      <c r="G1067" s="34"/>
      <c r="I1067" s="29"/>
      <c r="J1067" s="60"/>
      <c r="K1067" s="61"/>
      <c r="L1067" s="61"/>
      <c r="M1067" s="72"/>
    </row>
    <row r="1068" spans="1:13" ht="15" customHeight="1" x14ac:dyDescent="0.25">
      <c r="A1068" s="2"/>
      <c r="B1068" s="2"/>
      <c r="C1068" s="92"/>
      <c r="D1068" s="35"/>
      <c r="E1068" s="32"/>
      <c r="F1068" s="34"/>
      <c r="G1068" s="34"/>
      <c r="I1068" s="29"/>
      <c r="J1068" s="59"/>
      <c r="K1068" s="60"/>
      <c r="L1068" s="60"/>
      <c r="M1068" s="70"/>
    </row>
    <row r="1069" spans="1:13" ht="15" customHeight="1" x14ac:dyDescent="0.25">
      <c r="A1069" s="2"/>
      <c r="B1069" s="2"/>
      <c r="C1069" s="92"/>
      <c r="D1069" s="35"/>
      <c r="E1069" s="32"/>
      <c r="F1069" s="34"/>
      <c r="G1069" s="34"/>
      <c r="I1069" s="29"/>
      <c r="J1069" s="55"/>
      <c r="K1069" s="60"/>
      <c r="L1069" s="60"/>
      <c r="M1069" s="70"/>
    </row>
    <row r="1070" spans="1:13" ht="15" customHeight="1" x14ac:dyDescent="0.25">
      <c r="A1070" s="2"/>
      <c r="B1070" s="2"/>
      <c r="C1070" s="92"/>
      <c r="D1070" s="35"/>
      <c r="E1070" s="32"/>
      <c r="F1070" s="34"/>
      <c r="G1070" s="34"/>
      <c r="I1070" s="29"/>
      <c r="J1070" s="55"/>
      <c r="K1070" s="59"/>
      <c r="L1070" s="60"/>
      <c r="M1070" s="70"/>
    </row>
    <row r="1071" spans="1:13" ht="15" customHeight="1" x14ac:dyDescent="0.25">
      <c r="A1071" s="2"/>
      <c r="B1071" s="2"/>
      <c r="C1071" s="86"/>
      <c r="D1071" s="35"/>
      <c r="E1071" s="32"/>
      <c r="F1071" s="34"/>
      <c r="G1071" s="34"/>
      <c r="I1071" s="29"/>
      <c r="J1071" s="66"/>
      <c r="K1071" s="59"/>
      <c r="L1071" s="59"/>
      <c r="M1071" s="70"/>
    </row>
    <row r="1072" spans="1:13" ht="15" customHeight="1" x14ac:dyDescent="0.25">
      <c r="A1072" s="2"/>
      <c r="B1072" s="2"/>
      <c r="C1072" s="86"/>
      <c r="D1072" s="35"/>
      <c r="E1072" s="32"/>
      <c r="F1072" s="34"/>
      <c r="G1072" s="34"/>
      <c r="I1072" s="29"/>
      <c r="J1072" s="55"/>
      <c r="K1072" s="61"/>
      <c r="L1072" s="61"/>
      <c r="M1072" s="61"/>
    </row>
    <row r="1073" spans="1:13" ht="15" customHeight="1" x14ac:dyDescent="0.25">
      <c r="A1073" s="2"/>
      <c r="B1073" s="2"/>
      <c r="C1073" s="86"/>
      <c r="D1073" s="35"/>
      <c r="E1073" s="32"/>
      <c r="F1073" s="34"/>
      <c r="G1073" s="34"/>
      <c r="I1073" s="29"/>
      <c r="J1073" s="59"/>
      <c r="K1073" s="60"/>
      <c r="L1073" s="60"/>
      <c r="M1073" s="59"/>
    </row>
    <row r="1074" spans="1:13" ht="15" customHeight="1" x14ac:dyDescent="0.25">
      <c r="A1074" s="2"/>
      <c r="B1074" s="2"/>
      <c r="C1074" s="86"/>
      <c r="D1074" s="35"/>
      <c r="E1074" s="32"/>
      <c r="F1074" s="34"/>
      <c r="G1074" s="34"/>
      <c r="I1074" s="29"/>
      <c r="J1074" s="55"/>
      <c r="K1074" s="60"/>
      <c r="L1074" s="60"/>
      <c r="M1074" s="59"/>
    </row>
    <row r="1075" spans="1:13" ht="15" customHeight="1" x14ac:dyDescent="0.25">
      <c r="A1075" s="2"/>
      <c r="B1075" s="2"/>
      <c r="C1075" s="86"/>
      <c r="D1075" s="35"/>
      <c r="E1075" s="32"/>
      <c r="F1075" s="34"/>
      <c r="G1075" s="34"/>
      <c r="I1075" s="29"/>
      <c r="J1075" s="55"/>
      <c r="K1075" s="59"/>
      <c r="L1075" s="60"/>
      <c r="M1075" s="59"/>
    </row>
    <row r="1076" spans="1:13" ht="15" customHeight="1" x14ac:dyDescent="0.25">
      <c r="A1076" s="2"/>
      <c r="B1076" s="2"/>
      <c r="C1076" s="86"/>
      <c r="D1076" s="35"/>
      <c r="E1076" s="32"/>
      <c r="F1076" s="34"/>
      <c r="G1076" s="34"/>
      <c r="I1076" s="29"/>
      <c r="J1076" s="66"/>
      <c r="K1076" s="59"/>
      <c r="L1076" s="59"/>
      <c r="M1076" s="59"/>
    </row>
    <row r="1077" spans="1:13" ht="15" customHeight="1" x14ac:dyDescent="0.25">
      <c r="A1077" s="2"/>
      <c r="B1077" s="2"/>
      <c r="C1077" s="92"/>
      <c r="D1077" s="35"/>
      <c r="E1077" s="32"/>
      <c r="F1077" s="34"/>
      <c r="G1077" s="34"/>
      <c r="I1077" s="29"/>
      <c r="J1077" s="55"/>
      <c r="K1077" s="60"/>
      <c r="L1077" s="60"/>
      <c r="M1077" s="59"/>
    </row>
    <row r="1078" spans="1:13" ht="15" customHeight="1" x14ac:dyDescent="0.25">
      <c r="A1078" s="2"/>
      <c r="B1078" s="2"/>
      <c r="C1078" s="86"/>
      <c r="D1078" s="35"/>
      <c r="E1078" s="32"/>
      <c r="F1078" s="34"/>
      <c r="G1078" s="34"/>
      <c r="I1078" s="29"/>
      <c r="J1078" s="55"/>
      <c r="K1078" s="59"/>
      <c r="L1078" s="60"/>
      <c r="M1078" s="59"/>
    </row>
    <row r="1079" spans="1:13" ht="15" customHeight="1" x14ac:dyDescent="0.25">
      <c r="A1079" s="2"/>
      <c r="B1079" s="2"/>
      <c r="C1079" s="86"/>
      <c r="D1079" s="35"/>
      <c r="E1079" s="32"/>
      <c r="F1079" s="34"/>
      <c r="G1079" s="34"/>
      <c r="I1079" s="29"/>
      <c r="J1079" s="66"/>
      <c r="K1079" s="59"/>
      <c r="L1079" s="59"/>
      <c r="M1079" s="59"/>
    </row>
    <row r="1080" spans="1:13" ht="15" customHeight="1" x14ac:dyDescent="0.25">
      <c r="A1080" s="2"/>
      <c r="B1080" s="2"/>
      <c r="C1080" s="86"/>
      <c r="D1080" s="35"/>
      <c r="E1080" s="32"/>
      <c r="F1080" s="34"/>
      <c r="G1080" s="34"/>
      <c r="I1080" s="29"/>
      <c r="J1080" s="55"/>
      <c r="K1080" s="60"/>
      <c r="L1080" s="60"/>
      <c r="M1080" s="59"/>
    </row>
    <row r="1081" spans="1:13" ht="15" customHeight="1" x14ac:dyDescent="0.25">
      <c r="A1081" s="2"/>
      <c r="B1081" s="2"/>
      <c r="C1081" s="86"/>
      <c r="D1081" s="35"/>
      <c r="E1081" s="32"/>
      <c r="F1081" s="34"/>
      <c r="G1081" s="34"/>
      <c r="I1081" s="29"/>
      <c r="J1081" s="55"/>
      <c r="K1081" s="59"/>
      <c r="L1081" s="60"/>
      <c r="M1081" s="59"/>
    </row>
    <row r="1082" spans="1:13" ht="15" customHeight="1" x14ac:dyDescent="0.25">
      <c r="A1082" s="2"/>
      <c r="B1082" s="2"/>
      <c r="C1082" s="86"/>
      <c r="D1082" s="35"/>
      <c r="E1082" s="32"/>
      <c r="F1082" s="34"/>
      <c r="G1082" s="34"/>
      <c r="I1082" s="29"/>
      <c r="J1082" s="66"/>
      <c r="K1082" s="59"/>
      <c r="L1082" s="59"/>
      <c r="M1082" s="59"/>
    </row>
    <row r="1083" spans="1:13" ht="15" customHeight="1" x14ac:dyDescent="0.25">
      <c r="A1083" s="2"/>
      <c r="B1083" s="2"/>
      <c r="C1083" s="86"/>
      <c r="D1083" s="35"/>
      <c r="E1083" s="32"/>
      <c r="F1083" s="34"/>
      <c r="G1083" s="34"/>
      <c r="I1083" s="29"/>
      <c r="J1083" s="55"/>
      <c r="K1083" s="60"/>
      <c r="L1083" s="60"/>
      <c r="M1083" s="60"/>
    </row>
    <row r="1084" spans="1:13" ht="15" customHeight="1" x14ac:dyDescent="0.25">
      <c r="A1084" s="2"/>
      <c r="B1084" s="2"/>
      <c r="C1084" s="86"/>
      <c r="D1084" s="35"/>
      <c r="E1084" s="32"/>
      <c r="F1084" s="34"/>
      <c r="G1084" s="34"/>
      <c r="I1084" s="29"/>
      <c r="J1084" s="60"/>
      <c r="K1084" s="61"/>
      <c r="L1084" s="61"/>
      <c r="M1084" s="61"/>
    </row>
    <row r="1085" spans="1:13" ht="15" customHeight="1" x14ac:dyDescent="0.25">
      <c r="A1085" s="2"/>
      <c r="B1085" s="2"/>
      <c r="C1085" s="86"/>
      <c r="D1085" s="35"/>
      <c r="E1085" s="32"/>
      <c r="F1085" s="34"/>
      <c r="G1085" s="34"/>
      <c r="I1085" s="29"/>
      <c r="J1085" s="62"/>
      <c r="K1085" s="60"/>
      <c r="L1085" s="60"/>
      <c r="M1085" s="62"/>
    </row>
    <row r="1086" spans="1:13" ht="15" customHeight="1" x14ac:dyDescent="0.25">
      <c r="A1086" s="2"/>
      <c r="B1086" s="2"/>
      <c r="C1086" s="86"/>
      <c r="D1086" s="35"/>
      <c r="E1086" s="32"/>
      <c r="F1086" s="34"/>
      <c r="G1086" s="34"/>
      <c r="I1086" s="29"/>
      <c r="J1086" s="55"/>
      <c r="K1086" s="60"/>
      <c r="L1086" s="60"/>
      <c r="M1086" s="62"/>
    </row>
    <row r="1087" spans="1:13" ht="15" customHeight="1" x14ac:dyDescent="0.25">
      <c r="A1087" s="2"/>
      <c r="B1087" s="2"/>
      <c r="C1087" s="86"/>
      <c r="D1087" s="35"/>
      <c r="E1087" s="32"/>
      <c r="F1087" s="34"/>
      <c r="G1087" s="34"/>
      <c r="I1087" s="29"/>
      <c r="J1087" s="55"/>
      <c r="K1087" s="62"/>
      <c r="L1087" s="60"/>
      <c r="M1087" s="62"/>
    </row>
    <row r="1088" spans="1:13" ht="15" customHeight="1" x14ac:dyDescent="0.25">
      <c r="A1088" s="2"/>
      <c r="B1088" s="2"/>
      <c r="C1088" s="86"/>
      <c r="D1088" s="35"/>
      <c r="E1088" s="32"/>
      <c r="F1088" s="34"/>
      <c r="G1088" s="34"/>
      <c r="I1088" s="29"/>
      <c r="J1088" s="57"/>
      <c r="K1088" s="62"/>
      <c r="L1088" s="62"/>
      <c r="M1088" s="62"/>
    </row>
    <row r="1089" spans="1:13" ht="15" customHeight="1" x14ac:dyDescent="0.25">
      <c r="A1089" s="2"/>
      <c r="B1089" s="2"/>
      <c r="C1089" s="86"/>
      <c r="D1089" s="35"/>
      <c r="E1089" s="32"/>
      <c r="F1089" s="34"/>
      <c r="G1089" s="34"/>
      <c r="I1089" s="29"/>
      <c r="J1089" s="55"/>
      <c r="K1089" s="60"/>
      <c r="L1089" s="60"/>
      <c r="M1089" s="62"/>
    </row>
    <row r="1090" spans="1:13" ht="15" customHeight="1" x14ac:dyDescent="0.25">
      <c r="A1090" s="2"/>
      <c r="B1090" s="2"/>
      <c r="C1090" s="92"/>
      <c r="D1090" s="35"/>
      <c r="E1090" s="32"/>
      <c r="F1090" s="34"/>
      <c r="G1090" s="34"/>
      <c r="I1090" s="29"/>
      <c r="J1090" s="55"/>
      <c r="K1090" s="60"/>
      <c r="L1090" s="60"/>
      <c r="M1090" s="62"/>
    </row>
    <row r="1091" spans="1:13" ht="15" customHeight="1" x14ac:dyDescent="0.25">
      <c r="A1091" s="2"/>
      <c r="B1091" s="2"/>
      <c r="C1091" s="86"/>
      <c r="D1091" s="35"/>
      <c r="E1091" s="32"/>
      <c r="F1091" s="34"/>
      <c r="G1091" s="34"/>
      <c r="I1091" s="29"/>
      <c r="J1091" s="55"/>
      <c r="K1091" s="62"/>
      <c r="L1091" s="60"/>
      <c r="M1091" s="62"/>
    </row>
    <row r="1092" spans="1:13" ht="15" customHeight="1" x14ac:dyDescent="0.25">
      <c r="A1092" s="2"/>
      <c r="B1092" s="2"/>
      <c r="C1092" s="92"/>
      <c r="D1092" s="35"/>
      <c r="E1092" s="32"/>
      <c r="F1092" s="34"/>
      <c r="G1092" s="34"/>
      <c r="I1092" s="29"/>
      <c r="J1092" s="57"/>
      <c r="K1092" s="62"/>
      <c r="L1092" s="60"/>
      <c r="M1092" s="62"/>
    </row>
    <row r="1093" spans="1:13" ht="15" customHeight="1" x14ac:dyDescent="0.25">
      <c r="A1093" s="2"/>
      <c r="B1093" s="2"/>
      <c r="C1093" s="86"/>
      <c r="D1093" s="35"/>
      <c r="E1093" s="32"/>
      <c r="F1093" s="34"/>
      <c r="G1093" s="34"/>
      <c r="I1093" s="29"/>
      <c r="J1093" s="57"/>
      <c r="K1093" s="62"/>
      <c r="L1093" s="60"/>
      <c r="M1093" s="62"/>
    </row>
    <row r="1094" spans="1:13" ht="15" customHeight="1" x14ac:dyDescent="0.25">
      <c r="A1094" s="2"/>
      <c r="B1094" s="2"/>
      <c r="C1094" s="86"/>
      <c r="D1094" s="35"/>
      <c r="E1094" s="32"/>
      <c r="F1094" s="34"/>
      <c r="G1094" s="34"/>
      <c r="I1094" s="29"/>
      <c r="J1094" s="57"/>
      <c r="K1094" s="62"/>
      <c r="L1094" s="62"/>
      <c r="M1094" s="62"/>
    </row>
    <row r="1095" spans="1:13" ht="15" customHeight="1" x14ac:dyDescent="0.25">
      <c r="A1095" s="2"/>
      <c r="B1095" s="2"/>
      <c r="C1095" s="86"/>
      <c r="D1095" s="35"/>
      <c r="E1095" s="32"/>
      <c r="F1095" s="34"/>
      <c r="G1095" s="34"/>
      <c r="I1095" s="29"/>
      <c r="J1095" s="55"/>
      <c r="K1095" s="60"/>
      <c r="L1095" s="60"/>
      <c r="M1095" s="60"/>
    </row>
    <row r="1096" spans="1:13" ht="15" customHeight="1" x14ac:dyDescent="0.25">
      <c r="A1096" s="2"/>
      <c r="B1096" s="2"/>
      <c r="C1096" s="86"/>
      <c r="D1096" s="35"/>
      <c r="E1096" s="32"/>
      <c r="F1096" s="34"/>
      <c r="G1096" s="34"/>
      <c r="I1096" s="29"/>
      <c r="J1096" s="60"/>
      <c r="K1096" s="60"/>
      <c r="L1096" s="60"/>
      <c r="M1096" s="60"/>
    </row>
    <row r="1097" spans="1:13" ht="15" customHeight="1" x14ac:dyDescent="0.25">
      <c r="A1097" s="2"/>
      <c r="B1097" s="2"/>
      <c r="C1097" s="86"/>
      <c r="D1097" s="35"/>
      <c r="E1097" s="32"/>
      <c r="F1097" s="34"/>
      <c r="G1097" s="34"/>
      <c r="I1097" s="29"/>
      <c r="J1097" s="60"/>
      <c r="K1097" s="60"/>
      <c r="L1097" s="60"/>
      <c r="M1097" s="60"/>
    </row>
    <row r="1098" spans="1:13" ht="15" customHeight="1" x14ac:dyDescent="0.25">
      <c r="A1098" s="2"/>
      <c r="B1098" s="2"/>
      <c r="C1098" s="86"/>
      <c r="D1098" s="35"/>
      <c r="E1098" s="32"/>
      <c r="F1098" s="34"/>
      <c r="G1098" s="34"/>
      <c r="I1098" s="29"/>
      <c r="J1098" s="60"/>
      <c r="K1098" s="60"/>
      <c r="L1098" s="60"/>
      <c r="M1098" s="60"/>
    </row>
    <row r="1099" spans="1:13" ht="15" customHeight="1" x14ac:dyDescent="0.25">
      <c r="A1099" s="2"/>
      <c r="B1099" s="2"/>
      <c r="C1099" s="86"/>
      <c r="D1099" s="35"/>
      <c r="E1099" s="32"/>
      <c r="F1099" s="34"/>
      <c r="G1099" s="34"/>
      <c r="I1099" s="29"/>
      <c r="J1099" s="64"/>
      <c r="K1099" s="60"/>
      <c r="L1099" s="60"/>
      <c r="M1099" s="60"/>
    </row>
    <row r="1100" spans="1:13" ht="15" customHeight="1" x14ac:dyDescent="0.25">
      <c r="A1100" s="2"/>
      <c r="B1100" s="2"/>
      <c r="C1100" s="86"/>
      <c r="D1100" s="35"/>
      <c r="E1100" s="32"/>
      <c r="F1100" s="34"/>
      <c r="G1100" s="34"/>
      <c r="I1100" s="29"/>
      <c r="J1100" s="64"/>
      <c r="K1100" s="61"/>
      <c r="L1100" s="61"/>
      <c r="M1100" s="61"/>
    </row>
    <row r="1101" spans="1:13" ht="15" customHeight="1" x14ac:dyDescent="0.25">
      <c r="A1101" s="2"/>
      <c r="B1101" s="2"/>
      <c r="C1101" s="86"/>
      <c r="D1101" s="35"/>
      <c r="E1101" s="32"/>
      <c r="F1101" s="34"/>
      <c r="G1101" s="34"/>
      <c r="I1101" s="29"/>
      <c r="J1101" s="62"/>
      <c r="K1101" s="60"/>
      <c r="L1101" s="60"/>
      <c r="M1101" s="62"/>
    </row>
    <row r="1102" spans="1:13" ht="15" customHeight="1" x14ac:dyDescent="0.25">
      <c r="A1102" s="2"/>
      <c r="B1102" s="2"/>
      <c r="C1102" s="91"/>
      <c r="D1102" s="35"/>
      <c r="E1102" s="32"/>
      <c r="F1102" s="34"/>
      <c r="G1102" s="34"/>
      <c r="I1102" s="29"/>
      <c r="J1102" s="55"/>
      <c r="K1102" s="60"/>
      <c r="L1102" s="60"/>
      <c r="M1102" s="62"/>
    </row>
    <row r="1103" spans="1:13" ht="15" customHeight="1" x14ac:dyDescent="0.25">
      <c r="A1103" s="2"/>
      <c r="B1103" s="2"/>
      <c r="C1103" s="91"/>
      <c r="D1103" s="35"/>
      <c r="E1103" s="32"/>
      <c r="F1103" s="34"/>
      <c r="G1103" s="34"/>
      <c r="I1103" s="29"/>
      <c r="J1103" s="64"/>
      <c r="K1103" s="62"/>
      <c r="L1103" s="60"/>
      <c r="M1103" s="62"/>
    </row>
    <row r="1104" spans="1:13" ht="15" customHeight="1" x14ac:dyDescent="0.25">
      <c r="A1104" s="2"/>
      <c r="B1104" s="2"/>
      <c r="C1104" s="91"/>
      <c r="D1104" s="35"/>
      <c r="E1104" s="32"/>
      <c r="F1104" s="34"/>
      <c r="G1104" s="34"/>
      <c r="I1104" s="29"/>
      <c r="J1104" s="64"/>
      <c r="K1104" s="62"/>
      <c r="L1104" s="62"/>
      <c r="M1104" s="62"/>
    </row>
    <row r="1105" spans="1:13" ht="15" customHeight="1" x14ac:dyDescent="0.25">
      <c r="A1105" s="2"/>
      <c r="B1105" s="2"/>
      <c r="C1105" s="91"/>
      <c r="D1105" s="35"/>
      <c r="E1105" s="32"/>
      <c r="F1105" s="34"/>
      <c r="G1105" s="34"/>
      <c r="I1105" s="29"/>
      <c r="J1105" s="64"/>
      <c r="K1105" s="60"/>
      <c r="L1105" s="60"/>
      <c r="M1105" s="60"/>
    </row>
    <row r="1106" spans="1:13" ht="15" customHeight="1" x14ac:dyDescent="0.25">
      <c r="A1106" s="2"/>
      <c r="B1106" s="2"/>
      <c r="C1106" s="91"/>
      <c r="D1106" s="35"/>
      <c r="E1106" s="32"/>
      <c r="F1106" s="34"/>
      <c r="G1106" s="34"/>
      <c r="I1106" s="29"/>
      <c r="J1106" s="64"/>
      <c r="K1106" s="60"/>
      <c r="L1106" s="60"/>
      <c r="M1106" s="60"/>
    </row>
    <row r="1107" spans="1:13" ht="15" customHeight="1" x14ac:dyDescent="0.25">
      <c r="A1107" s="2"/>
      <c r="B1107" s="2"/>
      <c r="C1107" s="95"/>
      <c r="D1107" s="35"/>
      <c r="E1107" s="32"/>
      <c r="F1107" s="34"/>
      <c r="G1107" s="34"/>
      <c r="I1107" s="29"/>
      <c r="J1107" s="64"/>
      <c r="K1107" s="60"/>
      <c r="L1107" s="60"/>
      <c r="M1107" s="60"/>
    </row>
    <row r="1108" spans="1:13" ht="15" customHeight="1" x14ac:dyDescent="0.25">
      <c r="A1108" s="2"/>
      <c r="B1108" s="2"/>
      <c r="C1108" s="90"/>
      <c r="D1108" s="35"/>
      <c r="E1108" s="32"/>
      <c r="F1108" s="34"/>
      <c r="G1108" s="34"/>
      <c r="I1108" s="29"/>
      <c r="J1108" s="64"/>
      <c r="K1108" s="60"/>
      <c r="L1108" s="60"/>
      <c r="M1108" s="60"/>
    </row>
    <row r="1109" spans="1:13" ht="15" customHeight="1" x14ac:dyDescent="0.25">
      <c r="A1109" s="2"/>
      <c r="B1109" s="2"/>
      <c r="C1109" s="92"/>
      <c r="D1109" s="35"/>
      <c r="E1109" s="32"/>
      <c r="F1109" s="26"/>
      <c r="G1109" s="34"/>
      <c r="I1109" s="29"/>
      <c r="J1109" s="64"/>
      <c r="K1109" s="60"/>
      <c r="L1109" s="60"/>
      <c r="M1109" s="60"/>
    </row>
    <row r="1110" spans="1:13" ht="15" customHeight="1" x14ac:dyDescent="0.25">
      <c r="A1110" s="2"/>
      <c r="B1110" s="2"/>
      <c r="C1110" s="86"/>
      <c r="D1110" s="35"/>
      <c r="E1110" s="32"/>
      <c r="F1110" s="26"/>
      <c r="G1110" s="26"/>
      <c r="H1110" s="26"/>
      <c r="I1110" s="29"/>
      <c r="J1110" s="60"/>
      <c r="K1110" s="60"/>
      <c r="L1110" s="60"/>
      <c r="M1110" s="60"/>
    </row>
    <row r="1111" spans="1:13" ht="15" customHeight="1" x14ac:dyDescent="0.25">
      <c r="A1111" s="2"/>
      <c r="B1111" s="2"/>
      <c r="C1111" s="92"/>
      <c r="D1111" s="35"/>
      <c r="E1111" s="32"/>
      <c r="F1111" s="34"/>
      <c r="G1111" s="26"/>
      <c r="I1111" s="29"/>
      <c r="J1111" s="60"/>
      <c r="K1111" s="60"/>
      <c r="L1111" s="60"/>
      <c r="M1111" s="60"/>
    </row>
    <row r="1112" spans="1:13" ht="15" customHeight="1" x14ac:dyDescent="0.25">
      <c r="A1112" s="2"/>
      <c r="B1112" s="2"/>
      <c r="C1112" s="92"/>
      <c r="D1112" s="35"/>
      <c r="E1112" s="32"/>
      <c r="F1112" s="34"/>
      <c r="G1112" s="34"/>
      <c r="I1112" s="29"/>
      <c r="J1112" s="60"/>
      <c r="K1112" s="60"/>
      <c r="L1112" s="60"/>
      <c r="M1112" s="60"/>
    </row>
    <row r="1113" spans="1:13" ht="15" customHeight="1" x14ac:dyDescent="0.25">
      <c r="A1113" s="2"/>
      <c r="B1113" s="2"/>
      <c r="C1113" s="86"/>
      <c r="D1113" s="35"/>
      <c r="E1113" s="32"/>
      <c r="F1113" s="34"/>
      <c r="G1113" s="34"/>
      <c r="I1113" s="29"/>
      <c r="J1113" s="60"/>
      <c r="K1113" s="60"/>
      <c r="L1113" s="60"/>
      <c r="M1113" s="60"/>
    </row>
    <row r="1114" spans="1:13" ht="15" customHeight="1" x14ac:dyDescent="0.25">
      <c r="A1114" s="2"/>
      <c r="B1114" s="2"/>
      <c r="C1114" s="86"/>
      <c r="D1114" s="37"/>
      <c r="E1114" s="32"/>
      <c r="F1114" s="34"/>
      <c r="G1114" s="34"/>
      <c r="I1114" s="29"/>
      <c r="J1114" s="60"/>
      <c r="K1114" s="60"/>
      <c r="L1114" s="60"/>
      <c r="M1114" s="60"/>
    </row>
    <row r="1115" spans="1:13" ht="15" customHeight="1" x14ac:dyDescent="0.25">
      <c r="A1115" s="2"/>
      <c r="B1115" s="2"/>
      <c r="C1115" s="92"/>
      <c r="D1115" s="37"/>
      <c r="E1115" s="32"/>
      <c r="F1115" s="34"/>
      <c r="G1115" s="34"/>
      <c r="I1115" s="29"/>
      <c r="J1115" s="60"/>
      <c r="K1115" s="60"/>
      <c r="L1115" s="60"/>
      <c r="M1115" s="60"/>
    </row>
    <row r="1116" spans="1:13" ht="15" customHeight="1" x14ac:dyDescent="0.25">
      <c r="A1116" s="2"/>
      <c r="B1116" s="2"/>
      <c r="C1116" s="86"/>
      <c r="D1116" s="35"/>
      <c r="E1116" s="32"/>
      <c r="F1116" s="34"/>
      <c r="G1116" s="34"/>
      <c r="I1116" s="29"/>
      <c r="J1116" s="60"/>
      <c r="K1116" s="60"/>
      <c r="L1116" s="60"/>
      <c r="M1116" s="60"/>
    </row>
    <row r="1117" spans="1:13" ht="15" customHeight="1" x14ac:dyDescent="0.25">
      <c r="A1117" s="2"/>
      <c r="B1117" s="2"/>
      <c r="C1117" s="86"/>
      <c r="D1117" s="35"/>
      <c r="E1117" s="32"/>
      <c r="F1117" s="34"/>
      <c r="G1117" s="34"/>
      <c r="I1117" s="29"/>
      <c r="J1117" s="60"/>
      <c r="K1117" s="60"/>
      <c r="L1117" s="60"/>
      <c r="M1117" s="60"/>
    </row>
    <row r="1118" spans="1:13" ht="15" customHeight="1" x14ac:dyDescent="0.25">
      <c r="A1118" s="2"/>
      <c r="B1118" s="2"/>
      <c r="C1118" s="86"/>
      <c r="D1118" s="35"/>
      <c r="E1118" s="32"/>
      <c r="F1118" s="34"/>
      <c r="G1118" s="34"/>
      <c r="I1118" s="29"/>
      <c r="J1118" s="60"/>
      <c r="K1118" s="60"/>
      <c r="L1118" s="60"/>
      <c r="M1118" s="60"/>
    </row>
    <row r="1119" spans="1:13" ht="15" customHeight="1" x14ac:dyDescent="0.25">
      <c r="A1119" s="2"/>
      <c r="B1119" s="2"/>
      <c r="C1119" s="92"/>
      <c r="D1119" s="35"/>
      <c r="E1119" s="32"/>
      <c r="F1119" s="34"/>
      <c r="G1119" s="34"/>
      <c r="I1119" s="29"/>
      <c r="J1119" s="60"/>
      <c r="K1119" s="60"/>
      <c r="L1119" s="60"/>
      <c r="M1119" s="60"/>
    </row>
    <row r="1120" spans="1:13" ht="15" customHeight="1" x14ac:dyDescent="0.25">
      <c r="A1120" s="2"/>
      <c r="B1120" s="2"/>
      <c r="C1120" s="92"/>
      <c r="D1120" s="35"/>
      <c r="E1120" s="32"/>
      <c r="F1120" s="34"/>
      <c r="G1120" s="34"/>
      <c r="I1120" s="29"/>
      <c r="J1120" s="60"/>
      <c r="K1120" s="60"/>
      <c r="L1120" s="60"/>
      <c r="M1120" s="60"/>
    </row>
    <row r="1121" spans="1:13" ht="15" customHeight="1" x14ac:dyDescent="0.25">
      <c r="A1121" s="2"/>
      <c r="B1121" s="2"/>
      <c r="C1121" s="86"/>
      <c r="D1121" s="35"/>
      <c r="E1121" s="32"/>
      <c r="F1121" s="34"/>
      <c r="G1121" s="34"/>
      <c r="I1121" s="29"/>
      <c r="J1121" s="64"/>
      <c r="K1121" s="60"/>
      <c r="L1121" s="60"/>
      <c r="M1121" s="60"/>
    </row>
    <row r="1122" spans="1:13" ht="15" customHeight="1" x14ac:dyDescent="0.25">
      <c r="A1122" s="2"/>
      <c r="B1122" s="2"/>
      <c r="C1122" s="86"/>
      <c r="D1122" s="35"/>
      <c r="E1122" s="32"/>
      <c r="F1122" s="34"/>
      <c r="G1122" s="34"/>
      <c r="I1122" s="29"/>
      <c r="J1122" s="64"/>
      <c r="K1122" s="60"/>
      <c r="L1122" s="60"/>
      <c r="M1122" s="60"/>
    </row>
    <row r="1123" spans="1:13" ht="15" customHeight="1" x14ac:dyDescent="0.25">
      <c r="A1123" s="2"/>
      <c r="B1123" s="2"/>
      <c r="C1123" s="86"/>
      <c r="D1123" s="35"/>
      <c r="E1123" s="32"/>
      <c r="F1123" s="34"/>
      <c r="G1123" s="34"/>
      <c r="I1123" s="29"/>
      <c r="J1123" s="60"/>
      <c r="K1123" s="60"/>
      <c r="L1123" s="60"/>
      <c r="M1123" s="60"/>
    </row>
    <row r="1124" spans="1:13" ht="15" customHeight="1" x14ac:dyDescent="0.25">
      <c r="A1124" s="2"/>
      <c r="B1124" s="2"/>
      <c r="C1124" s="86"/>
      <c r="D1124" s="35"/>
      <c r="E1124" s="32"/>
      <c r="F1124" s="34"/>
      <c r="G1124" s="34"/>
      <c r="I1124" s="29"/>
      <c r="J1124" s="60"/>
      <c r="K1124" s="60"/>
      <c r="L1124" s="60"/>
      <c r="M1124" s="60"/>
    </row>
    <row r="1125" spans="1:13" ht="15" customHeight="1" x14ac:dyDescent="0.25">
      <c r="A1125" s="2"/>
      <c r="B1125" s="2"/>
      <c r="C1125" s="86"/>
      <c r="D1125" s="35"/>
      <c r="E1125" s="32"/>
      <c r="F1125" s="34"/>
      <c r="G1125" s="34"/>
      <c r="I1125" s="29"/>
      <c r="J1125" s="60"/>
      <c r="K1125" s="60"/>
      <c r="L1125" s="60"/>
      <c r="M1125" s="60"/>
    </row>
    <row r="1126" spans="1:13" ht="15" customHeight="1" x14ac:dyDescent="0.25">
      <c r="A1126" s="2"/>
      <c r="B1126" s="2"/>
      <c r="C1126" s="86"/>
      <c r="D1126" s="35"/>
      <c r="E1126" s="32"/>
      <c r="F1126" s="34"/>
      <c r="G1126" s="34"/>
      <c r="I1126" s="29"/>
      <c r="J1126" s="60"/>
      <c r="K1126" s="60"/>
      <c r="L1126" s="60"/>
      <c r="M1126" s="60"/>
    </row>
    <row r="1127" spans="1:13" ht="15" customHeight="1" x14ac:dyDescent="0.25">
      <c r="A1127" s="2"/>
      <c r="B1127" s="2"/>
      <c r="C1127" s="86"/>
      <c r="D1127" s="35"/>
      <c r="E1127" s="32"/>
      <c r="F1127" s="34"/>
      <c r="G1127" s="34"/>
      <c r="I1127" s="29"/>
      <c r="J1127" s="60"/>
      <c r="K1127" s="60"/>
      <c r="L1127" s="60"/>
      <c r="M1127" s="60"/>
    </row>
    <row r="1128" spans="1:13" ht="15" customHeight="1" x14ac:dyDescent="0.25">
      <c r="A1128" s="2"/>
      <c r="B1128" s="2"/>
      <c r="C1128" s="86"/>
      <c r="D1128" s="35"/>
      <c r="E1128" s="32"/>
      <c r="F1128" s="34"/>
      <c r="G1128" s="34"/>
      <c r="I1128" s="29"/>
      <c r="J1128" s="60"/>
      <c r="K1128" s="60"/>
      <c r="L1128" s="60"/>
      <c r="M1128" s="60"/>
    </row>
    <row r="1129" spans="1:13" ht="15" customHeight="1" x14ac:dyDescent="0.25">
      <c r="A1129" s="2"/>
      <c r="B1129" s="2"/>
      <c r="C1129" s="86"/>
      <c r="D1129" s="35"/>
      <c r="E1129" s="32"/>
      <c r="F1129" s="34"/>
      <c r="G1129" s="34"/>
      <c r="I1129" s="29"/>
      <c r="J1129" s="60"/>
      <c r="K1129" s="60"/>
      <c r="L1129" s="60"/>
      <c r="M1129" s="60"/>
    </row>
    <row r="1130" spans="1:13" ht="15" customHeight="1" x14ac:dyDescent="0.25">
      <c r="A1130" s="2"/>
      <c r="B1130" s="2"/>
      <c r="C1130" s="86"/>
      <c r="D1130" s="35"/>
      <c r="E1130" s="32"/>
      <c r="F1130" s="34"/>
      <c r="G1130" s="34"/>
      <c r="I1130" s="29"/>
      <c r="J1130" s="60"/>
      <c r="K1130" s="60"/>
      <c r="L1130" s="60"/>
      <c r="M1130" s="60"/>
    </row>
    <row r="1131" spans="1:13" ht="15" customHeight="1" x14ac:dyDescent="0.25">
      <c r="A1131" s="2"/>
      <c r="B1131" s="2"/>
      <c r="C1131" s="86"/>
      <c r="D1131" s="35"/>
      <c r="E1131" s="32"/>
      <c r="F1131" s="34"/>
      <c r="G1131" s="34"/>
      <c r="I1131" s="29"/>
      <c r="J1131" s="60"/>
      <c r="K1131" s="60"/>
      <c r="L1131" s="60"/>
      <c r="M1131" s="60"/>
    </row>
    <row r="1132" spans="1:13" ht="15" customHeight="1" x14ac:dyDescent="0.25">
      <c r="A1132" s="2"/>
      <c r="B1132" s="2"/>
      <c r="C1132" s="86"/>
      <c r="D1132" s="35"/>
      <c r="E1132" s="32"/>
      <c r="F1132" s="34"/>
      <c r="G1132" s="34"/>
      <c r="I1132" s="29"/>
      <c r="J1132" s="60"/>
      <c r="K1132" s="60"/>
      <c r="L1132" s="60"/>
      <c r="M1132" s="60"/>
    </row>
    <row r="1133" spans="1:13" ht="15" customHeight="1" x14ac:dyDescent="0.25">
      <c r="A1133" s="2"/>
      <c r="B1133" s="2"/>
      <c r="C1133" s="86"/>
      <c r="D1133" s="35"/>
      <c r="E1133" s="32"/>
      <c r="F1133" s="34"/>
      <c r="G1133" s="34"/>
      <c r="I1133" s="29"/>
      <c r="J1133" s="60"/>
      <c r="K1133" s="60"/>
      <c r="L1133" s="60"/>
      <c r="M1133" s="60"/>
    </row>
    <row r="1134" spans="1:13" ht="15" customHeight="1" x14ac:dyDescent="0.25">
      <c r="A1134" s="2"/>
      <c r="B1134" s="2"/>
      <c r="C1134" s="86"/>
      <c r="D1134" s="35"/>
      <c r="E1134" s="32"/>
      <c r="F1134" s="34"/>
      <c r="G1134" s="34"/>
      <c r="I1134" s="29"/>
      <c r="J1134" s="60"/>
      <c r="K1134" s="60"/>
      <c r="L1134" s="60"/>
      <c r="M1134" s="60"/>
    </row>
    <row r="1135" spans="1:13" ht="15" customHeight="1" x14ac:dyDescent="0.25">
      <c r="A1135" s="2"/>
      <c r="B1135" s="2"/>
      <c r="C1135" s="86"/>
      <c r="D1135" s="35"/>
      <c r="E1135" s="32"/>
      <c r="F1135" s="34"/>
      <c r="G1135" s="34"/>
      <c r="I1135" s="29"/>
      <c r="J1135" s="60"/>
      <c r="K1135" s="60"/>
      <c r="L1135" s="60"/>
      <c r="M1135" s="60"/>
    </row>
    <row r="1136" spans="1:13" ht="15" customHeight="1" x14ac:dyDescent="0.25">
      <c r="A1136" s="2"/>
      <c r="B1136" s="2"/>
      <c r="C1136" s="86"/>
      <c r="D1136" s="35"/>
      <c r="E1136" s="32"/>
      <c r="F1136" s="34"/>
      <c r="G1136" s="34"/>
      <c r="I1136" s="29"/>
      <c r="J1136" s="60"/>
      <c r="K1136" s="60"/>
      <c r="L1136" s="60"/>
      <c r="M1136" s="60"/>
    </row>
    <row r="1137" spans="1:13" ht="15" customHeight="1" x14ac:dyDescent="0.25">
      <c r="A1137" s="2"/>
      <c r="B1137" s="2"/>
      <c r="C1137" s="86"/>
      <c r="D1137" s="35"/>
      <c r="E1137" s="32"/>
      <c r="F1137" s="34"/>
      <c r="G1137" s="34"/>
      <c r="I1137" s="29"/>
      <c r="J1137" s="60"/>
      <c r="K1137" s="60"/>
      <c r="L1137" s="60"/>
      <c r="M1137" s="60"/>
    </row>
    <row r="1138" spans="1:13" ht="15" customHeight="1" x14ac:dyDescent="0.25">
      <c r="A1138" s="2"/>
      <c r="B1138" s="2"/>
      <c r="C1138" s="86"/>
      <c r="D1138" s="35"/>
      <c r="E1138" s="32"/>
      <c r="F1138" s="34"/>
      <c r="G1138" s="34"/>
      <c r="I1138" s="29"/>
      <c r="J1138" s="60"/>
      <c r="K1138" s="60"/>
      <c r="L1138" s="60"/>
      <c r="M1138" s="60"/>
    </row>
    <row r="1139" spans="1:13" ht="15" customHeight="1" x14ac:dyDescent="0.25">
      <c r="A1139" s="2"/>
      <c r="B1139" s="2"/>
      <c r="C1139" s="86"/>
      <c r="D1139" s="35"/>
      <c r="E1139" s="32"/>
      <c r="F1139" s="34"/>
      <c r="G1139" s="34"/>
      <c r="I1139" s="29"/>
      <c r="J1139" s="60"/>
      <c r="K1139" s="60"/>
      <c r="L1139" s="60"/>
      <c r="M1139" s="60"/>
    </row>
    <row r="1140" spans="1:13" ht="15" customHeight="1" x14ac:dyDescent="0.25">
      <c r="A1140" s="2"/>
      <c r="B1140" s="2"/>
      <c r="C1140" s="86"/>
      <c r="D1140" s="35"/>
      <c r="E1140" s="32"/>
      <c r="F1140" s="34"/>
      <c r="G1140" s="34"/>
      <c r="I1140" s="29"/>
      <c r="J1140" s="60"/>
      <c r="K1140" s="60"/>
      <c r="L1140" s="60"/>
      <c r="M1140" s="60"/>
    </row>
    <row r="1141" spans="1:13" ht="15" customHeight="1" x14ac:dyDescent="0.25">
      <c r="A1141" s="2"/>
      <c r="B1141" s="2"/>
      <c r="C1141" s="86"/>
      <c r="D1141" s="35"/>
      <c r="E1141" s="32"/>
      <c r="F1141" s="34"/>
      <c r="G1141" s="34"/>
      <c r="I1141" s="29"/>
      <c r="J1141" s="60"/>
      <c r="K1141" s="60"/>
      <c r="L1141" s="60"/>
      <c r="M1141" s="60"/>
    </row>
    <row r="1142" spans="1:13" ht="15" customHeight="1" x14ac:dyDescent="0.25">
      <c r="A1142" s="2"/>
      <c r="B1142" s="2"/>
      <c r="C1142" s="86"/>
      <c r="D1142" s="35"/>
      <c r="E1142" s="32"/>
      <c r="F1142" s="34"/>
      <c r="G1142" s="34"/>
      <c r="I1142" s="29"/>
      <c r="J1142" s="60"/>
      <c r="K1142" s="60"/>
      <c r="L1142" s="60"/>
      <c r="M1142" s="60"/>
    </row>
    <row r="1143" spans="1:13" ht="15" customHeight="1" x14ac:dyDescent="0.25">
      <c r="A1143" s="2"/>
      <c r="B1143" s="2"/>
      <c r="C1143" s="86"/>
      <c r="D1143" s="35"/>
      <c r="E1143" s="32"/>
      <c r="F1143" s="34"/>
      <c r="G1143" s="34"/>
      <c r="I1143" s="29"/>
      <c r="J1143" s="60"/>
      <c r="K1143" s="60"/>
      <c r="L1143" s="60"/>
      <c r="M1143" s="60"/>
    </row>
    <row r="1144" spans="1:13" ht="15" customHeight="1" x14ac:dyDescent="0.25">
      <c r="A1144" s="2"/>
      <c r="B1144" s="2"/>
      <c r="C1144" s="86"/>
      <c r="D1144" s="35"/>
      <c r="E1144" s="32"/>
      <c r="F1144" s="34"/>
      <c r="G1144" s="34"/>
      <c r="I1144" s="29"/>
      <c r="J1144" s="60"/>
      <c r="K1144" s="61"/>
      <c r="L1144" s="61"/>
      <c r="M1144" s="61"/>
    </row>
    <row r="1145" spans="1:13" ht="15" customHeight="1" x14ac:dyDescent="0.25">
      <c r="A1145" s="2"/>
      <c r="B1145" s="2"/>
      <c r="C1145" s="86"/>
      <c r="D1145" s="35"/>
      <c r="E1145" s="32"/>
      <c r="F1145" s="34"/>
      <c r="G1145" s="34"/>
      <c r="I1145" s="29"/>
      <c r="J1145" s="62"/>
      <c r="K1145" s="60"/>
      <c r="L1145" s="60"/>
      <c r="M1145" s="62"/>
    </row>
    <row r="1146" spans="1:13" ht="15" customHeight="1" x14ac:dyDescent="0.25">
      <c r="A1146" s="2"/>
      <c r="B1146" s="2"/>
      <c r="C1146" s="86"/>
      <c r="D1146" s="35"/>
      <c r="E1146" s="32"/>
      <c r="F1146" s="34"/>
      <c r="G1146" s="34"/>
      <c r="I1146" s="29"/>
      <c r="J1146" s="55"/>
      <c r="K1146" s="60"/>
      <c r="L1146" s="60"/>
      <c r="M1146" s="62"/>
    </row>
    <row r="1147" spans="1:13" ht="15" customHeight="1" x14ac:dyDescent="0.25">
      <c r="A1147" s="2"/>
      <c r="B1147" s="2"/>
      <c r="C1147" s="92"/>
      <c r="D1147" s="35"/>
      <c r="E1147" s="32"/>
      <c r="F1147" s="34"/>
      <c r="G1147" s="34"/>
      <c r="I1147" s="29"/>
      <c r="J1147" s="55"/>
      <c r="K1147" s="61"/>
      <c r="L1147" s="61"/>
      <c r="M1147" s="61"/>
    </row>
    <row r="1148" spans="1:13" ht="15" customHeight="1" x14ac:dyDescent="0.25">
      <c r="A1148" s="2"/>
      <c r="B1148" s="2"/>
      <c r="C1148" s="92"/>
      <c r="D1148" s="35"/>
      <c r="E1148" s="32"/>
      <c r="F1148" s="34"/>
      <c r="G1148" s="34"/>
      <c r="I1148" s="6"/>
      <c r="J1148" s="59"/>
      <c r="K1148" s="60"/>
      <c r="L1148" s="60"/>
      <c r="M1148" s="59"/>
    </row>
    <row r="1149" spans="1:13" ht="15" customHeight="1" x14ac:dyDescent="0.25">
      <c r="A1149" s="2"/>
      <c r="B1149" s="2"/>
      <c r="C1149" s="92"/>
      <c r="D1149" s="35"/>
      <c r="E1149" s="32"/>
      <c r="F1149" s="34"/>
      <c r="G1149" s="34"/>
      <c r="I1149" s="6"/>
      <c r="J1149" s="55"/>
      <c r="K1149" s="60"/>
      <c r="L1149" s="60"/>
      <c r="M1149" s="59"/>
    </row>
    <row r="1150" spans="1:13" ht="15" customHeight="1" x14ac:dyDescent="0.25">
      <c r="A1150" s="2"/>
      <c r="B1150" s="2"/>
      <c r="C1150" s="86"/>
      <c r="D1150" s="35"/>
      <c r="E1150" s="32"/>
      <c r="F1150" s="34"/>
      <c r="G1150" s="34"/>
      <c r="I1150" s="29"/>
      <c r="J1150" s="55"/>
      <c r="K1150" s="59"/>
      <c r="L1150" s="60"/>
      <c r="M1150" s="59"/>
    </row>
    <row r="1151" spans="1:13" ht="15" customHeight="1" x14ac:dyDescent="0.25">
      <c r="A1151" s="2"/>
      <c r="B1151" s="2"/>
      <c r="C1151" s="86"/>
      <c r="D1151" s="35"/>
      <c r="E1151" s="32"/>
      <c r="F1151" s="34"/>
      <c r="G1151" s="34"/>
      <c r="I1151" s="29"/>
      <c r="J1151" s="66"/>
      <c r="K1151" s="59"/>
      <c r="L1151" s="59"/>
      <c r="M1151" s="59"/>
    </row>
    <row r="1152" spans="1:13" ht="15" customHeight="1" x14ac:dyDescent="0.25">
      <c r="A1152" s="2"/>
      <c r="B1152" s="2"/>
      <c r="C1152" s="86"/>
      <c r="D1152" s="35"/>
      <c r="E1152" s="32"/>
      <c r="F1152" s="34"/>
      <c r="G1152" s="34"/>
      <c r="I1152" s="29"/>
      <c r="J1152" s="55"/>
      <c r="K1152" s="60"/>
      <c r="L1152" s="60"/>
      <c r="M1152" s="59"/>
    </row>
    <row r="1153" spans="1:13" ht="15" customHeight="1" x14ac:dyDescent="0.25">
      <c r="A1153" s="2"/>
      <c r="B1153" s="2"/>
      <c r="C1153" s="86"/>
      <c r="D1153" s="35"/>
      <c r="E1153" s="32"/>
      <c r="F1153" s="34"/>
      <c r="G1153" s="34"/>
      <c r="I1153" s="29"/>
      <c r="J1153" s="55"/>
      <c r="K1153" s="61"/>
      <c r="L1153" s="61"/>
      <c r="M1153" s="72"/>
    </row>
    <row r="1154" spans="1:13" ht="15" customHeight="1" x14ac:dyDescent="0.25">
      <c r="A1154" s="2"/>
      <c r="B1154" s="2"/>
      <c r="C1154" s="86"/>
      <c r="D1154" s="35"/>
      <c r="E1154" s="32"/>
      <c r="F1154" s="34"/>
      <c r="G1154" s="34"/>
      <c r="I1154" s="29"/>
      <c r="J1154" s="59"/>
      <c r="K1154" s="60"/>
      <c r="L1154" s="60"/>
      <c r="M1154" s="70"/>
    </row>
    <row r="1155" spans="1:13" ht="15" customHeight="1" x14ac:dyDescent="0.25">
      <c r="A1155" s="2"/>
      <c r="B1155" s="2"/>
      <c r="C1155" s="86"/>
      <c r="D1155" s="35"/>
      <c r="E1155" s="32"/>
      <c r="F1155" s="34"/>
      <c r="G1155" s="34"/>
      <c r="I1155" s="29"/>
      <c r="J1155" s="55"/>
      <c r="K1155" s="60"/>
      <c r="L1155" s="60"/>
      <c r="M1155" s="70"/>
    </row>
    <row r="1156" spans="1:13" ht="15" customHeight="1" x14ac:dyDescent="0.25">
      <c r="A1156" s="2"/>
      <c r="B1156" s="2"/>
      <c r="C1156" s="86"/>
      <c r="D1156" s="35"/>
      <c r="E1156" s="32"/>
      <c r="F1156" s="34"/>
      <c r="G1156" s="34"/>
      <c r="I1156" s="29"/>
      <c r="J1156" s="55"/>
      <c r="K1156" s="59"/>
      <c r="L1156" s="60"/>
      <c r="M1156" s="70"/>
    </row>
    <row r="1157" spans="1:13" ht="15" customHeight="1" x14ac:dyDescent="0.25">
      <c r="A1157" s="2"/>
      <c r="B1157" s="2"/>
      <c r="C1157" s="86"/>
      <c r="D1157" s="35"/>
      <c r="E1157" s="32"/>
      <c r="F1157" s="34"/>
      <c r="G1157" s="34"/>
      <c r="I1157" s="29"/>
      <c r="J1157" s="66"/>
      <c r="K1157" s="59"/>
      <c r="L1157" s="59"/>
      <c r="M1157" s="70"/>
    </row>
    <row r="1158" spans="1:13" ht="15" customHeight="1" x14ac:dyDescent="0.25">
      <c r="A1158" s="2"/>
      <c r="B1158" s="2"/>
      <c r="C1158" s="92"/>
      <c r="D1158" s="35"/>
      <c r="E1158" s="32"/>
      <c r="F1158" s="34"/>
      <c r="G1158" s="34"/>
      <c r="I1158" s="29"/>
      <c r="J1158" s="55"/>
      <c r="K1158" s="60"/>
      <c r="L1158" s="60"/>
      <c r="M1158" s="60"/>
    </row>
    <row r="1159" spans="1:13" ht="15" customHeight="1" x14ac:dyDescent="0.25">
      <c r="A1159" s="2"/>
      <c r="B1159" s="2"/>
      <c r="C1159" s="86"/>
      <c r="D1159" s="35"/>
      <c r="E1159" s="32"/>
      <c r="F1159" s="34"/>
      <c r="G1159" s="34"/>
      <c r="I1159" s="29"/>
      <c r="J1159" s="60"/>
      <c r="K1159" s="60"/>
      <c r="L1159" s="60"/>
      <c r="M1159" s="60"/>
    </row>
    <row r="1160" spans="1:13" ht="15" customHeight="1" x14ac:dyDescent="0.25">
      <c r="A1160" s="2"/>
      <c r="B1160" s="2"/>
      <c r="C1160" s="86"/>
      <c r="D1160" s="35"/>
      <c r="E1160" s="32"/>
      <c r="F1160" s="34"/>
      <c r="G1160" s="34"/>
      <c r="I1160" s="29"/>
      <c r="J1160" s="60"/>
      <c r="K1160" s="60"/>
      <c r="L1160" s="60"/>
      <c r="M1160" s="60"/>
    </row>
    <row r="1161" spans="1:13" ht="15" customHeight="1" x14ac:dyDescent="0.25">
      <c r="A1161" s="2"/>
      <c r="B1161" s="2"/>
      <c r="C1161" s="86"/>
      <c r="D1161" s="35"/>
      <c r="E1161" s="32"/>
      <c r="F1161" s="34"/>
      <c r="G1161" s="34"/>
      <c r="I1161" s="29"/>
      <c r="J1161" s="60"/>
      <c r="K1161" s="60"/>
      <c r="L1161" s="60"/>
      <c r="M1161" s="60"/>
    </row>
    <row r="1162" spans="1:13" ht="15" customHeight="1" x14ac:dyDescent="0.25">
      <c r="A1162" s="2"/>
      <c r="B1162" s="2"/>
      <c r="C1162" s="86"/>
      <c r="D1162" s="35"/>
      <c r="E1162" s="32"/>
      <c r="F1162" s="34"/>
      <c r="G1162" s="34"/>
      <c r="I1162" s="29"/>
      <c r="J1162" s="60"/>
      <c r="K1162" s="60"/>
      <c r="L1162" s="60"/>
      <c r="M1162" s="60"/>
    </row>
    <row r="1163" spans="1:13" ht="15" customHeight="1" x14ac:dyDescent="0.25">
      <c r="A1163" s="2"/>
      <c r="B1163" s="2"/>
      <c r="C1163" s="86"/>
      <c r="D1163" s="35"/>
      <c r="E1163" s="32"/>
      <c r="F1163" s="34"/>
      <c r="G1163" s="34"/>
      <c r="I1163" s="29"/>
      <c r="J1163" s="60"/>
      <c r="K1163" s="60"/>
      <c r="L1163" s="60"/>
      <c r="M1163" s="60"/>
    </row>
    <row r="1164" spans="1:13" ht="15" customHeight="1" x14ac:dyDescent="0.25">
      <c r="A1164" s="2"/>
      <c r="B1164" s="2"/>
      <c r="C1164" s="86"/>
      <c r="D1164" s="35"/>
      <c r="E1164" s="32"/>
      <c r="F1164" s="34"/>
      <c r="G1164" s="34"/>
      <c r="I1164" s="29"/>
      <c r="J1164" s="60"/>
      <c r="K1164" s="60"/>
      <c r="L1164" s="60"/>
      <c r="M1164" s="60"/>
    </row>
    <row r="1165" spans="1:13" ht="15" customHeight="1" x14ac:dyDescent="0.25">
      <c r="A1165" s="2"/>
      <c r="B1165" s="2"/>
      <c r="C1165" s="86"/>
      <c r="D1165" s="35"/>
      <c r="E1165" s="32"/>
      <c r="F1165" s="34"/>
      <c r="G1165" s="34"/>
      <c r="I1165" s="29"/>
      <c r="J1165" s="60"/>
      <c r="K1165" s="60"/>
      <c r="L1165" s="60"/>
      <c r="M1165" s="60"/>
    </row>
    <row r="1166" spans="1:13" ht="15" customHeight="1" x14ac:dyDescent="0.25">
      <c r="A1166" s="2"/>
      <c r="B1166" s="2"/>
      <c r="C1166" s="86"/>
      <c r="D1166" s="35"/>
      <c r="E1166" s="32"/>
      <c r="F1166" s="34"/>
      <c r="G1166" s="34"/>
      <c r="I1166" s="29"/>
      <c r="J1166" s="60"/>
      <c r="K1166" s="60"/>
      <c r="L1166" s="60"/>
      <c r="M1166" s="60"/>
    </row>
    <row r="1167" spans="1:13" ht="15" customHeight="1" x14ac:dyDescent="0.25">
      <c r="A1167" s="2"/>
      <c r="B1167" s="2"/>
      <c r="C1167" s="86"/>
      <c r="D1167" s="35"/>
      <c r="E1167" s="32"/>
      <c r="F1167" s="34"/>
      <c r="G1167" s="34"/>
      <c r="I1167" s="29"/>
      <c r="J1167" s="60"/>
      <c r="K1167" s="60"/>
      <c r="L1167" s="60"/>
      <c r="M1167" s="60"/>
    </row>
    <row r="1168" spans="1:13" ht="15" customHeight="1" x14ac:dyDescent="0.25">
      <c r="A1168" s="2"/>
      <c r="B1168" s="2"/>
      <c r="C1168" s="86"/>
      <c r="D1168" s="35"/>
      <c r="E1168" s="32"/>
      <c r="F1168" s="34"/>
      <c r="G1168" s="34"/>
      <c r="I1168" s="29"/>
      <c r="J1168" s="64"/>
      <c r="K1168" s="60"/>
      <c r="L1168" s="60"/>
      <c r="M1168" s="60"/>
    </row>
    <row r="1169" spans="1:13" ht="15" customHeight="1" x14ac:dyDescent="0.25">
      <c r="A1169" s="2"/>
      <c r="B1169" s="2"/>
      <c r="C1169" s="86"/>
      <c r="D1169" s="35"/>
      <c r="E1169" s="32"/>
      <c r="F1169" s="34"/>
      <c r="G1169" s="34"/>
      <c r="I1169" s="29"/>
      <c r="J1169" s="64"/>
      <c r="K1169" s="60"/>
      <c r="L1169" s="60"/>
      <c r="M1169" s="60"/>
    </row>
    <row r="1170" spans="1:13" ht="15" customHeight="1" x14ac:dyDescent="0.25">
      <c r="A1170" s="2"/>
      <c r="B1170" s="2"/>
      <c r="C1170" s="92"/>
      <c r="D1170" s="35"/>
      <c r="E1170" s="32"/>
      <c r="F1170" s="34"/>
      <c r="G1170" s="34"/>
      <c r="I1170" s="29"/>
      <c r="J1170" s="64"/>
      <c r="K1170" s="60"/>
      <c r="L1170" s="60"/>
      <c r="M1170" s="60"/>
    </row>
    <row r="1171" spans="1:13" ht="15" customHeight="1" x14ac:dyDescent="0.25">
      <c r="A1171" s="2"/>
      <c r="B1171" s="2"/>
      <c r="C1171" s="92"/>
      <c r="D1171" s="35"/>
      <c r="E1171" s="32"/>
      <c r="F1171" s="34"/>
      <c r="G1171" s="34"/>
      <c r="I1171" s="29"/>
      <c r="J1171" s="64"/>
      <c r="K1171" s="60"/>
      <c r="L1171" s="60"/>
      <c r="M1171" s="60"/>
    </row>
    <row r="1172" spans="1:13" ht="15" customHeight="1" x14ac:dyDescent="0.25">
      <c r="A1172" s="2"/>
      <c r="B1172" s="2"/>
      <c r="C1172" s="86"/>
      <c r="D1172" s="35"/>
      <c r="E1172" s="32"/>
      <c r="F1172" s="34"/>
      <c r="G1172" s="34"/>
      <c r="I1172" s="29"/>
      <c r="J1172" s="64"/>
      <c r="K1172" s="60"/>
      <c r="L1172" s="60"/>
      <c r="M1172" s="60"/>
    </row>
    <row r="1173" spans="1:13" ht="15" customHeight="1" x14ac:dyDescent="0.25">
      <c r="A1173" s="2"/>
      <c r="B1173" s="2"/>
      <c r="C1173" s="86"/>
      <c r="D1173" s="35"/>
      <c r="E1173" s="32"/>
      <c r="F1173" s="34"/>
      <c r="G1173" s="34"/>
      <c r="I1173" s="29"/>
      <c r="J1173" s="60"/>
      <c r="K1173" s="60"/>
      <c r="L1173" s="60"/>
      <c r="M1173" s="60"/>
    </row>
    <row r="1174" spans="1:13" ht="15" customHeight="1" x14ac:dyDescent="0.25">
      <c r="A1174" s="2"/>
      <c r="B1174" s="2"/>
      <c r="C1174" s="86"/>
      <c r="D1174" s="35"/>
      <c r="E1174" s="32"/>
      <c r="F1174" s="34"/>
      <c r="G1174" s="34"/>
      <c r="I1174" s="29"/>
      <c r="J1174" s="60"/>
      <c r="K1174" s="60"/>
      <c r="L1174" s="60"/>
      <c r="M1174" s="60"/>
    </row>
    <row r="1175" spans="1:13" ht="15" customHeight="1" x14ac:dyDescent="0.25">
      <c r="A1175" s="2"/>
      <c r="B1175" s="2"/>
      <c r="C1175" s="86"/>
      <c r="D1175" s="35"/>
      <c r="E1175" s="32"/>
      <c r="F1175" s="34"/>
      <c r="G1175" s="34"/>
      <c r="I1175" s="29"/>
      <c r="J1175" s="60"/>
      <c r="K1175" s="61"/>
      <c r="L1175" s="58"/>
      <c r="M1175" s="61"/>
    </row>
    <row r="1176" spans="1:13" ht="15" customHeight="1" x14ac:dyDescent="0.25">
      <c r="A1176" s="2"/>
      <c r="B1176" s="2"/>
      <c r="C1176" s="86"/>
      <c r="D1176" s="35"/>
      <c r="E1176" s="32"/>
      <c r="F1176" s="34"/>
      <c r="G1176" s="34"/>
      <c r="I1176" s="29"/>
      <c r="J1176" s="62"/>
      <c r="K1176" s="61"/>
      <c r="L1176" s="58"/>
      <c r="M1176" s="61"/>
    </row>
    <row r="1177" spans="1:13" ht="15" customHeight="1" x14ac:dyDescent="0.25">
      <c r="A1177" s="2"/>
      <c r="B1177" s="2"/>
      <c r="C1177" s="92"/>
      <c r="D1177" s="35"/>
      <c r="E1177" s="32"/>
      <c r="F1177" s="34"/>
      <c r="G1177" s="34"/>
      <c r="I1177" s="29"/>
      <c r="J1177" s="59"/>
      <c r="K1177" s="60"/>
      <c r="L1177" s="60"/>
      <c r="M1177" s="59"/>
    </row>
    <row r="1178" spans="1:13" ht="15" customHeight="1" x14ac:dyDescent="0.25">
      <c r="A1178" s="2"/>
      <c r="B1178" s="2"/>
      <c r="C1178" s="86"/>
      <c r="D1178" s="35"/>
      <c r="E1178" s="32"/>
      <c r="F1178" s="34"/>
      <c r="G1178" s="34"/>
      <c r="I1178" s="29"/>
      <c r="J1178" s="55"/>
      <c r="K1178" s="60"/>
      <c r="L1178" s="60"/>
      <c r="M1178" s="59"/>
    </row>
    <row r="1179" spans="1:13" ht="15" customHeight="1" x14ac:dyDescent="0.25">
      <c r="A1179" s="2"/>
      <c r="B1179" s="2"/>
      <c r="C1179" s="86"/>
      <c r="D1179" s="35"/>
      <c r="E1179" s="32"/>
      <c r="F1179" s="34"/>
      <c r="G1179" s="34"/>
      <c r="I1179" s="29"/>
      <c r="J1179" s="55"/>
      <c r="K1179" s="59"/>
      <c r="L1179" s="60"/>
      <c r="M1179" s="59"/>
    </row>
    <row r="1180" spans="1:13" ht="15" customHeight="1" x14ac:dyDescent="0.25">
      <c r="A1180" s="2"/>
      <c r="B1180" s="2"/>
      <c r="C1180" s="86"/>
      <c r="D1180" s="35"/>
      <c r="E1180" s="32"/>
      <c r="F1180" s="34"/>
      <c r="G1180" s="34"/>
      <c r="I1180" s="29"/>
      <c r="J1180" s="66"/>
      <c r="K1180" s="59"/>
      <c r="L1180" s="59"/>
      <c r="M1180" s="59"/>
    </row>
    <row r="1181" spans="1:13" ht="15" customHeight="1" x14ac:dyDescent="0.25">
      <c r="A1181" s="2"/>
      <c r="B1181" s="2"/>
      <c r="C1181" s="86"/>
      <c r="D1181" s="35"/>
      <c r="E1181" s="32"/>
      <c r="F1181" s="34"/>
      <c r="G1181" s="34"/>
      <c r="I1181" s="29"/>
      <c r="J1181" s="55"/>
      <c r="K1181" s="60"/>
      <c r="L1181" s="60"/>
      <c r="M1181" s="60"/>
    </row>
    <row r="1182" spans="1:13" ht="15" customHeight="1" x14ac:dyDescent="0.25">
      <c r="A1182" s="2"/>
      <c r="B1182" s="2"/>
      <c r="C1182" s="86"/>
      <c r="D1182" s="35"/>
      <c r="E1182" s="32"/>
      <c r="F1182" s="34"/>
      <c r="G1182" s="34"/>
      <c r="I1182" s="29"/>
      <c r="J1182" s="60"/>
      <c r="K1182" s="60"/>
      <c r="L1182" s="60"/>
      <c r="M1182" s="60"/>
    </row>
    <row r="1183" spans="1:13" ht="15" customHeight="1" x14ac:dyDescent="0.25">
      <c r="A1183" s="2"/>
      <c r="B1183" s="2"/>
      <c r="C1183" s="86"/>
      <c r="D1183" s="35"/>
      <c r="E1183" s="32"/>
      <c r="F1183" s="34"/>
      <c r="G1183" s="34"/>
      <c r="I1183" s="29"/>
      <c r="J1183" s="60"/>
      <c r="K1183" s="60"/>
      <c r="L1183" s="60"/>
      <c r="M1183" s="60"/>
    </row>
    <row r="1184" spans="1:13" ht="15" customHeight="1" x14ac:dyDescent="0.25">
      <c r="A1184" s="2"/>
      <c r="B1184" s="2"/>
      <c r="C1184" s="86"/>
      <c r="D1184" s="35"/>
      <c r="E1184" s="32"/>
      <c r="F1184" s="34"/>
      <c r="G1184" s="34"/>
      <c r="I1184" s="29"/>
      <c r="J1184" s="60"/>
      <c r="K1184" s="60"/>
      <c r="L1184" s="60"/>
      <c r="M1184" s="60"/>
    </row>
    <row r="1185" spans="1:13" ht="15" customHeight="1" x14ac:dyDescent="0.25">
      <c r="A1185" s="2"/>
      <c r="B1185" s="2"/>
      <c r="C1185" s="86"/>
      <c r="D1185" s="35"/>
      <c r="E1185" s="32"/>
      <c r="F1185" s="34"/>
      <c r="G1185" s="34"/>
      <c r="I1185" s="29"/>
      <c r="J1185" s="60"/>
      <c r="K1185" s="60"/>
      <c r="L1185" s="60"/>
      <c r="M1185" s="60"/>
    </row>
    <row r="1186" spans="1:13" ht="15" customHeight="1" x14ac:dyDescent="0.25">
      <c r="A1186" s="2"/>
      <c r="B1186" s="2"/>
      <c r="C1186" s="86"/>
      <c r="D1186" s="35"/>
      <c r="E1186" s="32"/>
      <c r="F1186" s="34"/>
      <c r="G1186" s="34"/>
      <c r="I1186" s="29"/>
      <c r="J1186" s="64"/>
      <c r="K1186" s="60"/>
      <c r="L1186" s="60"/>
      <c r="M1186" s="60"/>
    </row>
    <row r="1187" spans="1:13" ht="15" customHeight="1" x14ac:dyDescent="0.25">
      <c r="A1187" s="2"/>
      <c r="B1187" s="2"/>
      <c r="C1187" s="86"/>
      <c r="D1187" s="35"/>
      <c r="E1187" s="32"/>
      <c r="F1187" s="34"/>
      <c r="G1187" s="34"/>
      <c r="I1187" s="29"/>
      <c r="J1187" s="64"/>
      <c r="K1187" s="60"/>
      <c r="L1187" s="60"/>
      <c r="M1187" s="60"/>
    </row>
    <row r="1188" spans="1:13" ht="15" customHeight="1" x14ac:dyDescent="0.25">
      <c r="A1188" s="2"/>
      <c r="B1188" s="2"/>
      <c r="C1188" s="86"/>
      <c r="D1188" s="35"/>
      <c r="E1188" s="32"/>
      <c r="F1188" s="34"/>
      <c r="G1188" s="34"/>
      <c r="I1188" s="29"/>
      <c r="J1188" s="64"/>
      <c r="K1188" s="60"/>
      <c r="L1188" s="60"/>
      <c r="M1188" s="60"/>
    </row>
    <row r="1189" spans="1:13" ht="15" customHeight="1" x14ac:dyDescent="0.25">
      <c r="A1189" s="2"/>
      <c r="B1189" s="2"/>
      <c r="C1189" s="86"/>
      <c r="D1189" s="35"/>
      <c r="E1189" s="32"/>
      <c r="F1189" s="34"/>
      <c r="G1189" s="34"/>
      <c r="I1189" s="29"/>
      <c r="J1189" s="60"/>
      <c r="K1189" s="60"/>
      <c r="L1189" s="60"/>
      <c r="M1189" s="60"/>
    </row>
    <row r="1190" spans="1:13" ht="15" customHeight="1" x14ac:dyDescent="0.25">
      <c r="A1190" s="2"/>
      <c r="B1190" s="2"/>
      <c r="C1190" s="86"/>
      <c r="D1190" s="35"/>
      <c r="E1190" s="32"/>
      <c r="F1190" s="34"/>
      <c r="G1190" s="34"/>
      <c r="I1190" s="29"/>
      <c r="J1190" s="60"/>
      <c r="K1190" s="60"/>
      <c r="L1190" s="60"/>
      <c r="M1190" s="60"/>
    </row>
    <row r="1191" spans="1:13" ht="15" customHeight="1" x14ac:dyDescent="0.25">
      <c r="A1191" s="2"/>
      <c r="B1191" s="2"/>
      <c r="C1191" s="86"/>
      <c r="D1191" s="35"/>
      <c r="E1191" s="32"/>
      <c r="F1191" s="34"/>
      <c r="G1191" s="34"/>
      <c r="I1191" s="29"/>
      <c r="J1191" s="60"/>
      <c r="K1191" s="61"/>
      <c r="L1191" s="61"/>
      <c r="M1191" s="61"/>
    </row>
    <row r="1192" spans="1:13" ht="15" customHeight="1" x14ac:dyDescent="0.25">
      <c r="A1192" s="2"/>
      <c r="B1192" s="2"/>
      <c r="C1192" s="86"/>
      <c r="D1192" s="35"/>
      <c r="E1192" s="32"/>
      <c r="F1192" s="34"/>
      <c r="G1192" s="34"/>
      <c r="I1192" s="29"/>
      <c r="J1192" s="59"/>
      <c r="K1192" s="60"/>
      <c r="L1192" s="60"/>
      <c r="M1192" s="59"/>
    </row>
    <row r="1193" spans="1:13" ht="15" customHeight="1" x14ac:dyDescent="0.25">
      <c r="A1193" s="2"/>
      <c r="B1193" s="2"/>
      <c r="C1193" s="86"/>
      <c r="D1193" s="35"/>
      <c r="E1193" s="32"/>
      <c r="F1193" s="34"/>
      <c r="G1193" s="34"/>
      <c r="I1193" s="29"/>
      <c r="J1193" s="55"/>
      <c r="K1193" s="60"/>
      <c r="L1193" s="60"/>
      <c r="M1193" s="59"/>
    </row>
    <row r="1194" spans="1:13" ht="15" customHeight="1" x14ac:dyDescent="0.25">
      <c r="A1194" s="2"/>
      <c r="B1194" s="2"/>
      <c r="C1194" s="86"/>
      <c r="D1194" s="35"/>
      <c r="E1194" s="32"/>
      <c r="F1194" s="34"/>
      <c r="G1194" s="34"/>
      <c r="I1194" s="29"/>
      <c r="J1194" s="55"/>
      <c r="K1194" s="59"/>
      <c r="L1194" s="60"/>
      <c r="M1194" s="59"/>
    </row>
    <row r="1195" spans="1:13" ht="15" customHeight="1" x14ac:dyDescent="0.25">
      <c r="A1195" s="2"/>
      <c r="B1195" s="2"/>
      <c r="C1195" s="95"/>
      <c r="D1195" s="35"/>
      <c r="E1195" s="32"/>
      <c r="F1195" s="34"/>
      <c r="G1195" s="34"/>
      <c r="I1195" s="29"/>
      <c r="J1195" s="66"/>
      <c r="K1195" s="59"/>
      <c r="L1195" s="59"/>
      <c r="M1195" s="59"/>
    </row>
    <row r="1196" spans="1:13" ht="15" customHeight="1" x14ac:dyDescent="0.25">
      <c r="A1196" s="2"/>
      <c r="B1196" s="2"/>
      <c r="C1196" s="90"/>
      <c r="D1196" s="35"/>
      <c r="E1196" s="32"/>
      <c r="F1196" s="34"/>
      <c r="G1196" s="34"/>
      <c r="I1196" s="29"/>
      <c r="J1196" s="55"/>
      <c r="K1196" s="60"/>
      <c r="L1196" s="60"/>
      <c r="M1196" s="60"/>
    </row>
    <row r="1197" spans="1:13" ht="15" customHeight="1" x14ac:dyDescent="0.25">
      <c r="A1197" s="2"/>
      <c r="B1197" s="2"/>
      <c r="C1197" s="92"/>
      <c r="D1197" s="35"/>
      <c r="E1197" s="32"/>
      <c r="F1197" s="26"/>
      <c r="G1197" s="34"/>
      <c r="I1197" s="29"/>
      <c r="J1197" s="60"/>
      <c r="K1197" s="60"/>
      <c r="L1197" s="60"/>
      <c r="M1197" s="60"/>
    </row>
    <row r="1198" spans="1:13" ht="15" customHeight="1" x14ac:dyDescent="0.25">
      <c r="A1198" s="2"/>
      <c r="B1198" s="2"/>
      <c r="C1198" s="86"/>
      <c r="D1198" s="35"/>
      <c r="E1198" s="32"/>
      <c r="F1198" s="26"/>
      <c r="G1198" s="26"/>
      <c r="H1198" s="26"/>
      <c r="I1198" s="29"/>
      <c r="J1198" s="60"/>
      <c r="K1198" s="60"/>
      <c r="L1198" s="60"/>
      <c r="M1198" s="60"/>
    </row>
    <row r="1199" spans="1:13" ht="15" customHeight="1" x14ac:dyDescent="0.25">
      <c r="A1199" s="2"/>
      <c r="B1199" s="2"/>
      <c r="C1199" s="86"/>
      <c r="D1199" s="35"/>
      <c r="E1199" s="32"/>
      <c r="F1199" s="34"/>
      <c r="G1199" s="26"/>
      <c r="I1199" s="29"/>
      <c r="J1199" s="64"/>
      <c r="K1199" s="60"/>
      <c r="L1199" s="60"/>
      <c r="M1199" s="60"/>
    </row>
    <row r="1200" spans="1:13" ht="15" customHeight="1" x14ac:dyDescent="0.25">
      <c r="A1200" s="2"/>
      <c r="B1200" s="2"/>
      <c r="C1200" s="92"/>
      <c r="D1200" s="35"/>
      <c r="E1200" s="32"/>
      <c r="F1200" s="34"/>
      <c r="G1200" s="34"/>
      <c r="I1200" s="29"/>
      <c r="J1200" s="64"/>
      <c r="K1200" s="60"/>
      <c r="L1200" s="60"/>
      <c r="M1200" s="60"/>
    </row>
    <row r="1201" spans="1:13" ht="15" customHeight="1" x14ac:dyDescent="0.25">
      <c r="A1201" s="2"/>
      <c r="B1201" s="2"/>
      <c r="C1201" s="86"/>
      <c r="D1201" s="35"/>
      <c r="E1201" s="32"/>
      <c r="F1201" s="34"/>
      <c r="G1201" s="34"/>
      <c r="I1201" s="29"/>
      <c r="J1201" s="64"/>
      <c r="K1201" s="60"/>
      <c r="L1201" s="60"/>
      <c r="M1201" s="60"/>
    </row>
    <row r="1202" spans="1:13" ht="15" customHeight="1" x14ac:dyDescent="0.25">
      <c r="A1202" s="2"/>
      <c r="B1202" s="2"/>
      <c r="C1202" s="86"/>
      <c r="D1202" s="37"/>
      <c r="E1202" s="32"/>
      <c r="F1202" s="34"/>
      <c r="G1202" s="34"/>
      <c r="I1202" s="29"/>
      <c r="J1202" s="64"/>
      <c r="K1202" s="60"/>
      <c r="L1202" s="60"/>
      <c r="M1202" s="60"/>
    </row>
    <row r="1203" spans="1:13" ht="15" customHeight="1" x14ac:dyDescent="0.25">
      <c r="A1203" s="2"/>
      <c r="B1203" s="2"/>
      <c r="C1203" s="92"/>
      <c r="D1203" s="37"/>
      <c r="E1203" s="32"/>
      <c r="F1203" s="34"/>
      <c r="G1203" s="34"/>
      <c r="I1203" s="29"/>
      <c r="J1203" s="60"/>
      <c r="K1203" s="60"/>
      <c r="L1203" s="60"/>
      <c r="M1203" s="60"/>
    </row>
    <row r="1204" spans="1:13" ht="15" customHeight="1" x14ac:dyDescent="0.25">
      <c r="A1204" s="2"/>
      <c r="B1204" s="2"/>
      <c r="C1204" s="86"/>
      <c r="D1204" s="35"/>
      <c r="E1204" s="32"/>
      <c r="F1204" s="34"/>
      <c r="G1204" s="34"/>
      <c r="I1204" s="29"/>
      <c r="J1204" s="60"/>
      <c r="K1204" s="60"/>
      <c r="L1204" s="60"/>
      <c r="M1204" s="60"/>
    </row>
    <row r="1205" spans="1:13" ht="15" customHeight="1" x14ac:dyDescent="0.25">
      <c r="A1205" s="2"/>
      <c r="B1205" s="2"/>
      <c r="C1205" s="86"/>
      <c r="D1205" s="35"/>
      <c r="E1205" s="32"/>
      <c r="F1205" s="34"/>
      <c r="G1205" s="34"/>
      <c r="I1205" s="29"/>
      <c r="J1205" s="60"/>
      <c r="K1205" s="60"/>
      <c r="L1205" s="60"/>
      <c r="M1205" s="60"/>
    </row>
    <row r="1206" spans="1:13" ht="15" customHeight="1" x14ac:dyDescent="0.25">
      <c r="A1206" s="2"/>
      <c r="B1206" s="2"/>
      <c r="C1206" s="92"/>
      <c r="D1206" s="35"/>
      <c r="E1206" s="32"/>
      <c r="F1206" s="34"/>
      <c r="G1206" s="34"/>
      <c r="I1206" s="29"/>
      <c r="J1206" s="60"/>
      <c r="K1206" s="60"/>
      <c r="L1206" s="60"/>
      <c r="M1206" s="60"/>
    </row>
    <row r="1207" spans="1:13" ht="15" customHeight="1" x14ac:dyDescent="0.25">
      <c r="A1207" s="2"/>
      <c r="B1207" s="2"/>
      <c r="C1207" s="86"/>
      <c r="D1207" s="35"/>
      <c r="E1207" s="32"/>
      <c r="F1207" s="34"/>
      <c r="G1207" s="34"/>
      <c r="I1207" s="29"/>
      <c r="J1207" s="60"/>
      <c r="K1207" s="61"/>
      <c r="L1207" s="61"/>
      <c r="M1207" s="61"/>
    </row>
    <row r="1208" spans="1:13" ht="15" customHeight="1" x14ac:dyDescent="0.25">
      <c r="A1208" s="2"/>
      <c r="B1208" s="2"/>
      <c r="C1208" s="92"/>
      <c r="D1208" s="35"/>
      <c r="E1208" s="32"/>
      <c r="F1208" s="34"/>
      <c r="G1208" s="34"/>
      <c r="I1208" s="29"/>
      <c r="J1208" s="62"/>
      <c r="K1208" s="60"/>
      <c r="L1208" s="60"/>
      <c r="M1208" s="62"/>
    </row>
    <row r="1209" spans="1:13" ht="15" customHeight="1" x14ac:dyDescent="0.25">
      <c r="A1209" s="2"/>
      <c r="B1209" s="2"/>
      <c r="C1209" s="86"/>
      <c r="D1209" s="35"/>
      <c r="E1209" s="32"/>
      <c r="F1209" s="34"/>
      <c r="G1209" s="34"/>
      <c r="I1209" s="29"/>
      <c r="J1209" s="55"/>
      <c r="K1209" s="60"/>
      <c r="L1209" s="60"/>
      <c r="M1209" s="62"/>
    </row>
    <row r="1210" spans="1:13" ht="15" customHeight="1" x14ac:dyDescent="0.25">
      <c r="A1210" s="2"/>
      <c r="B1210" s="2"/>
      <c r="C1210" s="86"/>
      <c r="D1210" s="35"/>
      <c r="E1210" s="32"/>
      <c r="F1210" s="34"/>
      <c r="G1210" s="34"/>
      <c r="I1210" s="29"/>
      <c r="J1210" s="55"/>
      <c r="K1210" s="62"/>
      <c r="L1210" s="60"/>
      <c r="M1210" s="62"/>
    </row>
    <row r="1211" spans="1:13" ht="15" customHeight="1" x14ac:dyDescent="0.25">
      <c r="A1211" s="2"/>
      <c r="B1211" s="2"/>
      <c r="C1211" s="86"/>
      <c r="D1211" s="35"/>
      <c r="E1211" s="32"/>
      <c r="F1211" s="34"/>
      <c r="G1211" s="34"/>
      <c r="I1211" s="29"/>
      <c r="J1211" s="57"/>
      <c r="K1211" s="60"/>
      <c r="L1211" s="60"/>
      <c r="M1211" s="60"/>
    </row>
    <row r="1212" spans="1:13" ht="15" customHeight="1" x14ac:dyDescent="0.25">
      <c r="A1212" s="2"/>
      <c r="B1212" s="2"/>
      <c r="C1212" s="86"/>
      <c r="D1212" s="35"/>
      <c r="E1212" s="32"/>
      <c r="F1212" s="34"/>
      <c r="G1212" s="34"/>
      <c r="I1212" s="29"/>
      <c r="J1212" s="60"/>
      <c r="K1212" s="60"/>
      <c r="L1212" s="60"/>
      <c r="M1212" s="60"/>
    </row>
    <row r="1213" spans="1:13" ht="15" customHeight="1" x14ac:dyDescent="0.25">
      <c r="A1213" s="2"/>
      <c r="B1213" s="2"/>
      <c r="C1213" s="86"/>
      <c r="D1213" s="35"/>
      <c r="E1213" s="32"/>
      <c r="F1213" s="34"/>
      <c r="G1213" s="34"/>
      <c r="I1213" s="29"/>
      <c r="J1213" s="60"/>
      <c r="K1213" s="60"/>
      <c r="L1213" s="60"/>
      <c r="M1213" s="60"/>
    </row>
    <row r="1214" spans="1:13" ht="15" customHeight="1" x14ac:dyDescent="0.25">
      <c r="A1214" s="2"/>
      <c r="B1214" s="2"/>
      <c r="C1214" s="86"/>
      <c r="D1214" s="35"/>
      <c r="E1214" s="32"/>
      <c r="F1214" s="34"/>
      <c r="G1214" s="34"/>
      <c r="I1214" s="29"/>
      <c r="J1214" s="64"/>
      <c r="K1214" s="60"/>
      <c r="L1214" s="60"/>
      <c r="M1214" s="60"/>
    </row>
    <row r="1215" spans="1:13" ht="15" customHeight="1" x14ac:dyDescent="0.25">
      <c r="A1215" s="2"/>
      <c r="B1215" s="2"/>
      <c r="C1215" s="86"/>
      <c r="D1215" s="35"/>
      <c r="E1215" s="32"/>
      <c r="F1215" s="34"/>
      <c r="G1215" s="34"/>
      <c r="I1215" s="29"/>
      <c r="J1215" s="64"/>
      <c r="K1215" s="60"/>
      <c r="L1215" s="60"/>
      <c r="M1215" s="60"/>
    </row>
    <row r="1216" spans="1:13" ht="15" customHeight="1" x14ac:dyDescent="0.25">
      <c r="A1216" s="2"/>
      <c r="B1216" s="2"/>
      <c r="C1216" s="86"/>
      <c r="D1216" s="35"/>
      <c r="E1216" s="32"/>
      <c r="F1216" s="34"/>
      <c r="G1216" s="34"/>
      <c r="I1216" s="29"/>
      <c r="J1216" s="60"/>
      <c r="K1216" s="60"/>
      <c r="L1216" s="60"/>
      <c r="M1216" s="60"/>
    </row>
    <row r="1217" spans="1:13" ht="15" customHeight="1" x14ac:dyDescent="0.25">
      <c r="A1217" s="2"/>
      <c r="B1217" s="2"/>
      <c r="C1217" s="86"/>
      <c r="D1217" s="35"/>
      <c r="E1217" s="32"/>
      <c r="F1217" s="34"/>
      <c r="G1217" s="34"/>
      <c r="I1217" s="29"/>
      <c r="J1217" s="60"/>
      <c r="K1217" s="60"/>
      <c r="L1217" s="60"/>
      <c r="M1217" s="60"/>
    </row>
    <row r="1218" spans="1:13" ht="15" customHeight="1" x14ac:dyDescent="0.25">
      <c r="A1218" s="2"/>
      <c r="B1218" s="2"/>
      <c r="C1218" s="86"/>
      <c r="D1218" s="35"/>
      <c r="E1218" s="32"/>
      <c r="F1218" s="34"/>
      <c r="G1218" s="34"/>
      <c r="I1218" s="29"/>
      <c r="J1218" s="60"/>
      <c r="K1218" s="60"/>
      <c r="L1218" s="60"/>
      <c r="M1218" s="60"/>
    </row>
    <row r="1219" spans="1:13" ht="15" customHeight="1" x14ac:dyDescent="0.25">
      <c r="A1219" s="2"/>
      <c r="B1219" s="2"/>
      <c r="C1219" s="92"/>
      <c r="D1219" s="35"/>
      <c r="E1219" s="32"/>
      <c r="F1219" s="34"/>
      <c r="G1219" s="34"/>
      <c r="I1219" s="29"/>
      <c r="J1219" s="60"/>
      <c r="K1219" s="60"/>
      <c r="L1219" s="60"/>
      <c r="M1219" s="60"/>
    </row>
    <row r="1220" spans="1:13" ht="15" customHeight="1" x14ac:dyDescent="0.25">
      <c r="A1220" s="2"/>
      <c r="B1220" s="2"/>
      <c r="C1220" s="86"/>
      <c r="D1220" s="35"/>
      <c r="E1220" s="32"/>
      <c r="F1220" s="34"/>
      <c r="G1220" s="34"/>
      <c r="I1220" s="29"/>
      <c r="J1220" s="60"/>
      <c r="K1220" s="60"/>
      <c r="L1220" s="60"/>
      <c r="M1220" s="60"/>
    </row>
    <row r="1221" spans="1:13" ht="15" customHeight="1" x14ac:dyDescent="0.25">
      <c r="A1221" s="2"/>
      <c r="B1221" s="2"/>
      <c r="C1221" s="86"/>
      <c r="D1221" s="35"/>
      <c r="E1221" s="32"/>
      <c r="F1221" s="34"/>
      <c r="G1221" s="34"/>
      <c r="I1221" s="29"/>
      <c r="J1221" s="60"/>
      <c r="K1221" s="60"/>
      <c r="L1221" s="60"/>
      <c r="M1221" s="60"/>
    </row>
    <row r="1222" spans="1:13" ht="15" customHeight="1" x14ac:dyDescent="0.25">
      <c r="A1222" s="2"/>
      <c r="B1222" s="2"/>
      <c r="C1222" s="86"/>
      <c r="D1222" s="35"/>
      <c r="E1222" s="32"/>
      <c r="F1222" s="34"/>
      <c r="G1222" s="34"/>
      <c r="I1222" s="29"/>
      <c r="J1222" s="60"/>
      <c r="K1222" s="60"/>
      <c r="L1222" s="60"/>
      <c r="M1222" s="60"/>
    </row>
    <row r="1223" spans="1:13" ht="15" customHeight="1" x14ac:dyDescent="0.25">
      <c r="A1223" s="2"/>
      <c r="B1223" s="2"/>
      <c r="C1223" s="92"/>
      <c r="D1223" s="35"/>
      <c r="E1223" s="32"/>
      <c r="F1223" s="34"/>
      <c r="G1223" s="34"/>
      <c r="I1223" s="6"/>
      <c r="J1223" s="64"/>
      <c r="K1223" s="60"/>
      <c r="L1223" s="60"/>
      <c r="M1223" s="60"/>
    </row>
    <row r="1224" spans="1:13" ht="15" customHeight="1" x14ac:dyDescent="0.25">
      <c r="A1224" s="2"/>
      <c r="B1224" s="2"/>
      <c r="C1224" s="86"/>
      <c r="D1224" s="35"/>
      <c r="E1224" s="32"/>
      <c r="F1224" s="34"/>
      <c r="G1224" s="34"/>
      <c r="I1224" s="6"/>
      <c r="J1224" s="60"/>
      <c r="K1224" s="60"/>
      <c r="L1224" s="60"/>
      <c r="M1224" s="60"/>
    </row>
    <row r="1225" spans="1:13" ht="15" customHeight="1" x14ac:dyDescent="0.25">
      <c r="A1225" s="2"/>
      <c r="B1225" s="2"/>
      <c r="C1225" s="86"/>
      <c r="D1225" s="35"/>
      <c r="E1225" s="32"/>
      <c r="F1225" s="34"/>
      <c r="G1225" s="34"/>
      <c r="I1225" s="29"/>
      <c r="J1225" s="64"/>
      <c r="K1225" s="60"/>
      <c r="L1225" s="60"/>
      <c r="M1225" s="60"/>
    </row>
    <row r="1226" spans="1:13" ht="15" customHeight="1" x14ac:dyDescent="0.25">
      <c r="A1226" s="2"/>
      <c r="B1226" s="2"/>
      <c r="C1226" s="86"/>
      <c r="D1226" s="35"/>
      <c r="E1226" s="32"/>
      <c r="F1226" s="34"/>
      <c r="G1226" s="34"/>
      <c r="I1226" s="29"/>
      <c r="J1226" s="64"/>
      <c r="K1226" s="60"/>
      <c r="L1226" s="60"/>
      <c r="M1226" s="60"/>
    </row>
    <row r="1227" spans="1:13" ht="15" customHeight="1" x14ac:dyDescent="0.25">
      <c r="A1227" s="2"/>
      <c r="B1227" s="2"/>
      <c r="C1227" s="86"/>
      <c r="D1227" s="35"/>
      <c r="E1227" s="32"/>
      <c r="F1227" s="34"/>
      <c r="G1227" s="34"/>
      <c r="I1227" s="29"/>
      <c r="J1227" s="60"/>
      <c r="K1227" s="61"/>
      <c r="L1227" s="61"/>
      <c r="M1227" s="61"/>
    </row>
    <row r="1228" spans="1:13" ht="15" customHeight="1" x14ac:dyDescent="0.25">
      <c r="A1228" s="2"/>
      <c r="B1228" s="2"/>
      <c r="C1228" s="86"/>
      <c r="D1228" s="35"/>
      <c r="E1228" s="32"/>
      <c r="F1228" s="34"/>
      <c r="G1228" s="34"/>
      <c r="I1228" s="29"/>
      <c r="J1228" s="59"/>
      <c r="K1228" s="61"/>
      <c r="L1228" s="61"/>
      <c r="M1228" s="72"/>
    </row>
    <row r="1229" spans="1:13" ht="15" customHeight="1" x14ac:dyDescent="0.25">
      <c r="A1229" s="2"/>
      <c r="B1229" s="2"/>
      <c r="C1229" s="86"/>
      <c r="D1229" s="35"/>
      <c r="E1229" s="32"/>
      <c r="F1229" s="34"/>
      <c r="G1229" s="34"/>
      <c r="I1229" s="29"/>
      <c r="J1229" s="59"/>
      <c r="K1229" s="60"/>
      <c r="L1229" s="60"/>
      <c r="M1229" s="70"/>
    </row>
    <row r="1230" spans="1:13" ht="15" customHeight="1" x14ac:dyDescent="0.25">
      <c r="A1230" s="2"/>
      <c r="B1230" s="2"/>
      <c r="C1230" s="86"/>
      <c r="D1230" s="35"/>
      <c r="E1230" s="32"/>
      <c r="F1230" s="34"/>
      <c r="G1230" s="34"/>
      <c r="I1230" s="29"/>
      <c r="J1230" s="55"/>
      <c r="K1230" s="60"/>
      <c r="L1230" s="60"/>
      <c r="M1230" s="70"/>
    </row>
    <row r="1231" spans="1:13" ht="15" customHeight="1" x14ac:dyDescent="0.25">
      <c r="A1231" s="2"/>
      <c r="B1231" s="2"/>
      <c r="C1231" s="86"/>
      <c r="D1231" s="35"/>
      <c r="E1231" s="32"/>
      <c r="F1231" s="34"/>
      <c r="G1231" s="34"/>
      <c r="I1231" s="29"/>
      <c r="J1231" s="55"/>
      <c r="K1231" s="59"/>
      <c r="L1231" s="60"/>
      <c r="M1231" s="70"/>
    </row>
    <row r="1232" spans="1:13" ht="15" customHeight="1" x14ac:dyDescent="0.25">
      <c r="A1232" s="2"/>
      <c r="B1232" s="2"/>
      <c r="C1232" s="86"/>
      <c r="D1232" s="35"/>
      <c r="E1232" s="32"/>
      <c r="F1232" s="34"/>
      <c r="G1232" s="34"/>
      <c r="I1232" s="29"/>
      <c r="J1232" s="66"/>
      <c r="K1232" s="59"/>
      <c r="L1232" s="59"/>
      <c r="M1232" s="70"/>
    </row>
    <row r="1233" spans="1:13" ht="15" customHeight="1" x14ac:dyDescent="0.25">
      <c r="A1233" s="2"/>
      <c r="B1233" s="2"/>
      <c r="C1233" s="86"/>
      <c r="D1233" s="35"/>
      <c r="E1233" s="32"/>
      <c r="F1233" s="34"/>
      <c r="G1233" s="34"/>
      <c r="I1233" s="29"/>
      <c r="J1233" s="55"/>
      <c r="K1233" s="61"/>
      <c r="L1233" s="61"/>
      <c r="M1233" s="61"/>
    </row>
    <row r="1234" spans="1:13" ht="15" customHeight="1" x14ac:dyDescent="0.25">
      <c r="A1234" s="2"/>
      <c r="B1234" s="2"/>
      <c r="C1234" s="92"/>
      <c r="D1234" s="35"/>
      <c r="E1234" s="32"/>
      <c r="F1234" s="34"/>
      <c r="G1234" s="34"/>
      <c r="I1234" s="29"/>
      <c r="J1234" s="59"/>
      <c r="K1234" s="60"/>
      <c r="L1234" s="60"/>
      <c r="M1234" s="59"/>
    </row>
    <row r="1235" spans="1:13" ht="15" customHeight="1" x14ac:dyDescent="0.25">
      <c r="A1235" s="2"/>
      <c r="B1235" s="2"/>
      <c r="C1235" s="92"/>
      <c r="D1235" s="35"/>
      <c r="E1235" s="32"/>
      <c r="F1235" s="34"/>
      <c r="G1235" s="34"/>
      <c r="I1235" s="29"/>
      <c r="J1235" s="55"/>
      <c r="K1235" s="60"/>
      <c r="L1235" s="60"/>
      <c r="M1235" s="59"/>
    </row>
    <row r="1236" spans="1:13" ht="15" customHeight="1" x14ac:dyDescent="0.25">
      <c r="A1236" s="2"/>
      <c r="B1236" s="2"/>
      <c r="C1236" s="92"/>
      <c r="D1236" s="35"/>
      <c r="E1236" s="32"/>
      <c r="F1236" s="34"/>
      <c r="G1236" s="34"/>
      <c r="I1236" s="29"/>
      <c r="J1236" s="55"/>
      <c r="K1236" s="59"/>
      <c r="L1236" s="60"/>
      <c r="M1236" s="59"/>
    </row>
    <row r="1237" spans="1:13" ht="15" customHeight="1" x14ac:dyDescent="0.25">
      <c r="A1237" s="2"/>
      <c r="B1237" s="2"/>
      <c r="C1237" s="86"/>
      <c r="D1237" s="35"/>
      <c r="E1237" s="32"/>
      <c r="F1237" s="34"/>
      <c r="G1237" s="34"/>
      <c r="I1237" s="29"/>
      <c r="J1237" s="66"/>
      <c r="K1237" s="59"/>
      <c r="L1237" s="59"/>
      <c r="M1237" s="59"/>
    </row>
    <row r="1238" spans="1:13" ht="15" customHeight="1" x14ac:dyDescent="0.25">
      <c r="A1238" s="2"/>
      <c r="B1238" s="2"/>
      <c r="C1238" s="92"/>
      <c r="D1238" s="35"/>
      <c r="E1238" s="32"/>
      <c r="F1238" s="34"/>
      <c r="G1238" s="34"/>
      <c r="I1238" s="29"/>
      <c r="J1238" s="55"/>
      <c r="K1238" s="60"/>
      <c r="L1238" s="60"/>
      <c r="M1238" s="60"/>
    </row>
    <row r="1239" spans="1:13" ht="15" customHeight="1" x14ac:dyDescent="0.25">
      <c r="A1239" s="2"/>
      <c r="B1239" s="2"/>
      <c r="C1239" s="86"/>
      <c r="D1239" s="35"/>
      <c r="E1239" s="32"/>
      <c r="F1239" s="34"/>
      <c r="G1239" s="34"/>
      <c r="I1239" s="29"/>
      <c r="J1239" s="64"/>
      <c r="K1239" s="60"/>
      <c r="L1239" s="60"/>
      <c r="M1239" s="60"/>
    </row>
    <row r="1240" spans="1:13" ht="15" customHeight="1" x14ac:dyDescent="0.25">
      <c r="A1240" s="2"/>
      <c r="B1240" s="2"/>
      <c r="C1240" s="86"/>
      <c r="D1240" s="35"/>
      <c r="E1240" s="32"/>
      <c r="F1240" s="34"/>
      <c r="G1240" s="34"/>
      <c r="I1240" s="29"/>
      <c r="J1240" s="64"/>
      <c r="K1240" s="60"/>
      <c r="L1240" s="60"/>
      <c r="M1240" s="60"/>
    </row>
    <row r="1241" spans="1:13" ht="15" customHeight="1" x14ac:dyDescent="0.25">
      <c r="A1241" s="2"/>
      <c r="B1241" s="2"/>
      <c r="C1241" s="86"/>
      <c r="D1241" s="35"/>
      <c r="E1241" s="32"/>
      <c r="F1241" s="34"/>
      <c r="G1241" s="34"/>
      <c r="I1241" s="29"/>
      <c r="J1241" s="64"/>
      <c r="K1241" s="60"/>
      <c r="L1241" s="60"/>
      <c r="M1241" s="60"/>
    </row>
    <row r="1242" spans="1:13" ht="15" customHeight="1" x14ac:dyDescent="0.25">
      <c r="A1242" s="2"/>
      <c r="B1242" s="2"/>
      <c r="C1242" s="86"/>
      <c r="D1242" s="35"/>
      <c r="E1242" s="32"/>
      <c r="F1242" s="34"/>
      <c r="G1242" s="34"/>
      <c r="I1242" s="29"/>
      <c r="J1242" s="60"/>
      <c r="K1242" s="60"/>
      <c r="L1242" s="60"/>
      <c r="M1242" s="60"/>
    </row>
    <row r="1243" spans="1:13" ht="15" customHeight="1" x14ac:dyDescent="0.25">
      <c r="A1243" s="2"/>
      <c r="B1243" s="2"/>
      <c r="C1243" s="86"/>
      <c r="D1243" s="35"/>
      <c r="E1243" s="32"/>
      <c r="F1243" s="34"/>
      <c r="G1243" s="34"/>
      <c r="I1243" s="29"/>
      <c r="J1243" s="60"/>
      <c r="K1243" s="60"/>
      <c r="L1243" s="60"/>
      <c r="M1243" s="60"/>
    </row>
    <row r="1244" spans="1:13" ht="15" customHeight="1" x14ac:dyDescent="0.25">
      <c r="A1244" s="2"/>
      <c r="B1244" s="2"/>
      <c r="C1244" s="92"/>
      <c r="D1244" s="35"/>
      <c r="E1244" s="32"/>
      <c r="F1244" s="34"/>
      <c r="G1244" s="34"/>
      <c r="I1244" s="29"/>
      <c r="J1244" s="60"/>
      <c r="K1244" s="60"/>
      <c r="L1244" s="60"/>
      <c r="M1244" s="60"/>
    </row>
    <row r="1245" spans="1:13" ht="15" customHeight="1" x14ac:dyDescent="0.25">
      <c r="A1245" s="2"/>
      <c r="B1245" s="2"/>
      <c r="C1245" s="86"/>
      <c r="D1245" s="35"/>
      <c r="E1245" s="32"/>
      <c r="F1245" s="34"/>
      <c r="G1245" s="34"/>
      <c r="I1245" s="29"/>
      <c r="J1245" s="60"/>
      <c r="K1245" s="60"/>
      <c r="L1245" s="60"/>
      <c r="M1245" s="60"/>
    </row>
    <row r="1246" spans="1:13" ht="15" customHeight="1" x14ac:dyDescent="0.25">
      <c r="A1246" s="2"/>
      <c r="B1246" s="2"/>
      <c r="C1246" s="86"/>
      <c r="D1246" s="35"/>
      <c r="E1246" s="32"/>
      <c r="F1246" s="34"/>
      <c r="G1246" s="34"/>
      <c r="I1246" s="29"/>
      <c r="J1246" s="60"/>
      <c r="K1246" s="60"/>
      <c r="L1246" s="60"/>
      <c r="M1246" s="60"/>
    </row>
    <row r="1247" spans="1:13" ht="15" customHeight="1" x14ac:dyDescent="0.25">
      <c r="A1247" s="2"/>
      <c r="B1247" s="2"/>
      <c r="C1247" s="86"/>
      <c r="D1247" s="35"/>
      <c r="E1247" s="32"/>
      <c r="F1247" s="34"/>
      <c r="G1247" s="34"/>
      <c r="I1247" s="29"/>
      <c r="J1247" s="60"/>
      <c r="K1247" s="60"/>
      <c r="L1247" s="60"/>
      <c r="M1247" s="60"/>
    </row>
    <row r="1248" spans="1:13" ht="15" customHeight="1" x14ac:dyDescent="0.25">
      <c r="A1248" s="2"/>
      <c r="B1248" s="2"/>
      <c r="C1248" s="86"/>
      <c r="D1248" s="35"/>
      <c r="E1248" s="32"/>
      <c r="F1248" s="34"/>
      <c r="G1248" s="34"/>
      <c r="I1248" s="29"/>
      <c r="J1248" s="60"/>
      <c r="K1248" s="60"/>
      <c r="L1248" s="60"/>
      <c r="M1248" s="60"/>
    </row>
    <row r="1249" spans="1:13" ht="15" customHeight="1" x14ac:dyDescent="0.25">
      <c r="A1249" s="2"/>
      <c r="B1249" s="2"/>
      <c r="C1249" s="86"/>
      <c r="D1249" s="35"/>
      <c r="E1249" s="32"/>
      <c r="F1249" s="34"/>
      <c r="G1249" s="34"/>
      <c r="I1249" s="29"/>
      <c r="J1249" s="60"/>
      <c r="K1249" s="60"/>
      <c r="L1249" s="60"/>
      <c r="M1249" s="60"/>
    </row>
    <row r="1250" spans="1:13" ht="15" customHeight="1" x14ac:dyDescent="0.25">
      <c r="A1250" s="2"/>
      <c r="B1250" s="2"/>
      <c r="C1250" s="86"/>
      <c r="D1250" s="35"/>
      <c r="E1250" s="32"/>
      <c r="F1250" s="34"/>
      <c r="G1250" s="34"/>
      <c r="I1250" s="29"/>
      <c r="J1250" s="60"/>
      <c r="K1250" s="60"/>
      <c r="L1250" s="60"/>
      <c r="M1250" s="60"/>
    </row>
    <row r="1251" spans="1:13" ht="15" customHeight="1" x14ac:dyDescent="0.25">
      <c r="A1251" s="2"/>
      <c r="B1251" s="2"/>
      <c r="C1251" s="86"/>
      <c r="D1251" s="35"/>
      <c r="E1251" s="32"/>
      <c r="F1251" s="34"/>
      <c r="G1251" s="34"/>
      <c r="I1251" s="29"/>
      <c r="J1251" s="60"/>
      <c r="K1251" s="60"/>
      <c r="L1251" s="60"/>
      <c r="M1251" s="60"/>
    </row>
    <row r="1252" spans="1:13" ht="15" customHeight="1" x14ac:dyDescent="0.25">
      <c r="A1252" s="2"/>
      <c r="B1252" s="2"/>
      <c r="C1252" s="86"/>
      <c r="D1252" s="35"/>
      <c r="E1252" s="32"/>
      <c r="F1252" s="34"/>
      <c r="G1252" s="34"/>
      <c r="I1252" s="29"/>
      <c r="J1252" s="60"/>
      <c r="K1252" s="60"/>
      <c r="L1252" s="60"/>
      <c r="M1252" s="60"/>
    </row>
    <row r="1253" spans="1:13" ht="15" customHeight="1" x14ac:dyDescent="0.25">
      <c r="A1253" s="2"/>
      <c r="B1253" s="2"/>
      <c r="C1253" s="86"/>
      <c r="D1253" s="35"/>
      <c r="E1253" s="32"/>
      <c r="F1253" s="34"/>
      <c r="G1253" s="34"/>
      <c r="I1253" s="29"/>
      <c r="J1253" s="60"/>
      <c r="K1253" s="60"/>
      <c r="L1253" s="60"/>
      <c r="M1253" s="60"/>
    </row>
    <row r="1254" spans="1:13" ht="15" customHeight="1" x14ac:dyDescent="0.25">
      <c r="A1254" s="2"/>
      <c r="B1254" s="2"/>
      <c r="C1254" s="86"/>
      <c r="D1254" s="35"/>
      <c r="E1254" s="32"/>
      <c r="F1254" s="34"/>
      <c r="G1254" s="34"/>
      <c r="I1254" s="29"/>
      <c r="J1254" s="60"/>
      <c r="K1254" s="60"/>
      <c r="L1254" s="60"/>
      <c r="M1254" s="60"/>
    </row>
    <row r="1255" spans="1:13" ht="15" customHeight="1" x14ac:dyDescent="0.25">
      <c r="A1255" s="2"/>
      <c r="B1255" s="2"/>
      <c r="C1255" s="86"/>
      <c r="D1255" s="35"/>
      <c r="E1255" s="32"/>
      <c r="F1255" s="34"/>
      <c r="G1255" s="34"/>
      <c r="I1255" s="29"/>
      <c r="J1255" s="60"/>
      <c r="K1255" s="61"/>
      <c r="L1255" s="61"/>
      <c r="M1255" s="61"/>
    </row>
    <row r="1256" spans="1:13" ht="15" customHeight="1" x14ac:dyDescent="0.25">
      <c r="A1256" s="2"/>
      <c r="B1256" s="2"/>
      <c r="C1256" s="86"/>
      <c r="D1256" s="35"/>
      <c r="E1256" s="32"/>
      <c r="F1256" s="34"/>
      <c r="G1256" s="34"/>
      <c r="I1256" s="29"/>
      <c r="J1256" s="59"/>
      <c r="K1256" s="60"/>
      <c r="L1256" s="60"/>
      <c r="M1256" s="59"/>
    </row>
    <row r="1257" spans="1:13" ht="15" customHeight="1" x14ac:dyDescent="0.25">
      <c r="A1257" s="2"/>
      <c r="B1257" s="2"/>
      <c r="C1257" s="86"/>
      <c r="D1257" s="35"/>
      <c r="E1257" s="32"/>
      <c r="F1257" s="34"/>
      <c r="G1257" s="34"/>
      <c r="I1257" s="29"/>
      <c r="J1257" s="55"/>
      <c r="K1257" s="60"/>
      <c r="L1257" s="60"/>
      <c r="M1257" s="59"/>
    </row>
    <row r="1258" spans="1:13" ht="15" customHeight="1" x14ac:dyDescent="0.25">
      <c r="A1258" s="2"/>
      <c r="B1258" s="2"/>
      <c r="C1258" s="86"/>
      <c r="D1258" s="35"/>
      <c r="E1258" s="32"/>
      <c r="F1258" s="34"/>
      <c r="G1258" s="34"/>
      <c r="I1258" s="29"/>
      <c r="J1258" s="55"/>
      <c r="K1258" s="59"/>
      <c r="L1258" s="60"/>
      <c r="M1258" s="59"/>
    </row>
    <row r="1259" spans="1:13" ht="15" customHeight="1" x14ac:dyDescent="0.25">
      <c r="A1259" s="2"/>
      <c r="B1259" s="2"/>
      <c r="C1259" s="86"/>
      <c r="D1259" s="35"/>
      <c r="E1259" s="32"/>
      <c r="F1259" s="34"/>
      <c r="G1259" s="34"/>
      <c r="I1259" s="29"/>
      <c r="J1259" s="66"/>
      <c r="K1259" s="59"/>
      <c r="L1259" s="59"/>
      <c r="M1259" s="59"/>
    </row>
    <row r="1260" spans="1:13" ht="15" customHeight="1" x14ac:dyDescent="0.25">
      <c r="A1260" s="2"/>
      <c r="B1260" s="2"/>
      <c r="C1260" s="86"/>
      <c r="D1260" s="35"/>
      <c r="E1260" s="32"/>
      <c r="F1260" s="34"/>
      <c r="G1260" s="34"/>
      <c r="I1260" s="29"/>
      <c r="J1260" s="55"/>
      <c r="K1260" s="60"/>
      <c r="L1260" s="60"/>
      <c r="M1260" s="60"/>
    </row>
    <row r="1261" spans="1:13" ht="15" customHeight="1" x14ac:dyDescent="0.25">
      <c r="A1261" s="2"/>
      <c r="B1261" s="2"/>
      <c r="C1261" s="86"/>
      <c r="D1261" s="35"/>
      <c r="E1261" s="32"/>
      <c r="F1261" s="34"/>
      <c r="G1261" s="34"/>
      <c r="I1261" s="29"/>
      <c r="J1261" s="60"/>
      <c r="K1261" s="61"/>
      <c r="L1261" s="61"/>
      <c r="M1261" s="61"/>
    </row>
    <row r="1262" spans="1:13" ht="15" customHeight="1" x14ac:dyDescent="0.25">
      <c r="A1262" s="2"/>
      <c r="B1262" s="2"/>
      <c r="C1262" s="93"/>
      <c r="D1262" s="35"/>
      <c r="E1262" s="32"/>
      <c r="F1262" s="34"/>
      <c r="G1262" s="34"/>
      <c r="I1262" s="29"/>
      <c r="J1262" s="62"/>
      <c r="K1262" s="60"/>
      <c r="L1262" s="60"/>
      <c r="M1262" s="62"/>
    </row>
    <row r="1263" spans="1:13" ht="15" customHeight="1" x14ac:dyDescent="0.25">
      <c r="A1263" s="2"/>
      <c r="B1263" s="2"/>
      <c r="C1263" s="90"/>
      <c r="D1263" s="35"/>
      <c r="E1263" s="32"/>
      <c r="F1263" s="34"/>
      <c r="G1263" s="34"/>
      <c r="I1263" s="29"/>
      <c r="J1263" s="55"/>
      <c r="K1263" s="60"/>
      <c r="L1263" s="60"/>
      <c r="M1263" s="62"/>
    </row>
    <row r="1264" spans="1:13" ht="15" customHeight="1" x14ac:dyDescent="0.25">
      <c r="A1264" s="2"/>
      <c r="B1264" s="2"/>
      <c r="C1264" s="92"/>
      <c r="D1264" s="35"/>
      <c r="E1264" s="32"/>
      <c r="F1264" s="34"/>
      <c r="G1264" s="34"/>
      <c r="I1264" s="29"/>
      <c r="J1264" s="55"/>
      <c r="K1264" s="62"/>
      <c r="L1264" s="60"/>
      <c r="M1264" s="62"/>
    </row>
    <row r="1265" spans="1:13" ht="15" customHeight="1" x14ac:dyDescent="0.25">
      <c r="A1265" s="2"/>
      <c r="B1265" s="2"/>
      <c r="C1265" s="86"/>
      <c r="D1265" s="35"/>
      <c r="E1265" s="32"/>
      <c r="F1265" s="34"/>
      <c r="G1265" s="26"/>
      <c r="H1265" s="26"/>
      <c r="I1265" s="29"/>
      <c r="J1265" s="57"/>
      <c r="K1265" s="62"/>
      <c r="L1265" s="62"/>
      <c r="M1265" s="62"/>
    </row>
    <row r="1266" spans="1:13" ht="15" customHeight="1" x14ac:dyDescent="0.25">
      <c r="A1266" s="2"/>
      <c r="B1266" s="2"/>
      <c r="C1266" s="86"/>
      <c r="D1266" s="35"/>
      <c r="E1266" s="32"/>
      <c r="F1266" s="34"/>
      <c r="G1266" s="34"/>
      <c r="I1266" s="29"/>
      <c r="J1266" s="55"/>
      <c r="K1266" s="62"/>
      <c r="L1266" s="60"/>
      <c r="M1266" s="62"/>
    </row>
    <row r="1267" spans="1:13" ht="15" customHeight="1" x14ac:dyDescent="0.25">
      <c r="A1267" s="2"/>
      <c r="B1267" s="2"/>
      <c r="C1267" s="86"/>
      <c r="D1267" s="35"/>
      <c r="E1267" s="32"/>
      <c r="F1267" s="34"/>
      <c r="G1267" s="34"/>
      <c r="I1267" s="29"/>
      <c r="J1267" s="57"/>
      <c r="K1267" s="62"/>
      <c r="L1267" s="62"/>
      <c r="M1267" s="62"/>
    </row>
    <row r="1268" spans="1:13" ht="15" customHeight="1" x14ac:dyDescent="0.25">
      <c r="A1268" s="2"/>
      <c r="B1268" s="2"/>
      <c r="C1268" s="92"/>
      <c r="D1268" s="35"/>
      <c r="E1268" s="32"/>
      <c r="F1268" s="34"/>
      <c r="G1268" s="34"/>
      <c r="I1268" s="29"/>
      <c r="J1268" s="55"/>
      <c r="K1268" s="61"/>
      <c r="L1268" s="61"/>
      <c r="M1268" s="61"/>
    </row>
    <row r="1269" spans="1:13" ht="15" customHeight="1" x14ac:dyDescent="0.25">
      <c r="A1269" s="2"/>
      <c r="B1269" s="2"/>
      <c r="C1269" s="86"/>
      <c r="D1269" s="37"/>
      <c r="E1269" s="34"/>
      <c r="F1269" s="34"/>
      <c r="G1269" s="34"/>
      <c r="I1269" s="29"/>
      <c r="J1269" s="59"/>
      <c r="K1269" s="60"/>
      <c r="L1269" s="60"/>
      <c r="M1269" s="59"/>
    </row>
    <row r="1270" spans="1:13" ht="15" customHeight="1" x14ac:dyDescent="0.25">
      <c r="A1270" s="2"/>
      <c r="B1270" s="2"/>
      <c r="C1270" s="92"/>
      <c r="D1270" s="37"/>
      <c r="E1270" s="34"/>
      <c r="F1270" s="34"/>
      <c r="G1270" s="34"/>
      <c r="I1270" s="29"/>
      <c r="J1270" s="55"/>
      <c r="K1270" s="60"/>
      <c r="L1270" s="60"/>
      <c r="M1270" s="59"/>
    </row>
    <row r="1271" spans="1:13" ht="15" customHeight="1" x14ac:dyDescent="0.25">
      <c r="A1271" s="2"/>
      <c r="B1271" s="2"/>
      <c r="C1271" s="92"/>
      <c r="D1271" s="35"/>
      <c r="E1271" s="32"/>
      <c r="F1271" s="34"/>
      <c r="G1271" s="34"/>
      <c r="I1271" s="29"/>
      <c r="J1271" s="55"/>
      <c r="K1271" s="59"/>
      <c r="L1271" s="60"/>
      <c r="M1271" s="59"/>
    </row>
    <row r="1272" spans="1:13" ht="15" customHeight="1" x14ac:dyDescent="0.25">
      <c r="A1272" s="2"/>
      <c r="B1272" s="2"/>
      <c r="C1272" s="92"/>
      <c r="D1272" s="35"/>
      <c r="E1272" s="32"/>
      <c r="F1272" s="34"/>
      <c r="G1272" s="34"/>
      <c r="I1272" s="29"/>
      <c r="J1272" s="66"/>
      <c r="K1272" s="59"/>
      <c r="L1272" s="60"/>
      <c r="M1272" s="59"/>
    </row>
    <row r="1273" spans="1:13" ht="15" customHeight="1" x14ac:dyDescent="0.25">
      <c r="A1273" s="2"/>
      <c r="B1273" s="2"/>
      <c r="C1273" s="92"/>
      <c r="D1273" s="35"/>
      <c r="E1273" s="32"/>
      <c r="F1273" s="34"/>
      <c r="G1273" s="34"/>
      <c r="I1273" s="29"/>
      <c r="J1273" s="66"/>
      <c r="K1273" s="59"/>
      <c r="L1273" s="59"/>
      <c r="M1273" s="59"/>
    </row>
    <row r="1274" spans="1:13" ht="15" customHeight="1" x14ac:dyDescent="0.25">
      <c r="A1274" s="2"/>
      <c r="B1274" s="2"/>
      <c r="C1274" s="86"/>
      <c r="D1274" s="35"/>
      <c r="E1274" s="32"/>
      <c r="F1274" s="34"/>
      <c r="G1274" s="34"/>
      <c r="I1274" s="29"/>
      <c r="J1274" s="55"/>
      <c r="K1274" s="60"/>
      <c r="L1274" s="60"/>
      <c r="M1274" s="60"/>
    </row>
    <row r="1275" spans="1:13" ht="15" customHeight="1" x14ac:dyDescent="0.25">
      <c r="A1275" s="2"/>
      <c r="B1275" s="2"/>
      <c r="C1275" s="86"/>
      <c r="D1275" s="35"/>
      <c r="E1275" s="32"/>
      <c r="F1275" s="34"/>
      <c r="G1275" s="34"/>
      <c r="I1275" s="29"/>
      <c r="J1275" s="60"/>
      <c r="K1275" s="60"/>
      <c r="L1275" s="60"/>
      <c r="M1275" s="60"/>
    </row>
    <row r="1276" spans="1:13" ht="15" customHeight="1" x14ac:dyDescent="0.25">
      <c r="A1276" s="2"/>
      <c r="B1276" s="2"/>
      <c r="C1276" s="86"/>
      <c r="D1276" s="35"/>
      <c r="E1276" s="32"/>
      <c r="F1276" s="34"/>
      <c r="G1276" s="34"/>
      <c r="I1276" s="29"/>
      <c r="J1276" s="60"/>
      <c r="K1276" s="60"/>
      <c r="L1276" s="60"/>
      <c r="M1276" s="60"/>
    </row>
    <row r="1277" spans="1:13" ht="15" customHeight="1" x14ac:dyDescent="0.25">
      <c r="A1277" s="2"/>
      <c r="B1277" s="2"/>
      <c r="C1277" s="86"/>
      <c r="D1277" s="35"/>
      <c r="E1277" s="32"/>
      <c r="F1277" s="34"/>
      <c r="G1277" s="34"/>
      <c r="I1277" s="6"/>
      <c r="J1277" s="60"/>
      <c r="K1277" s="60"/>
      <c r="L1277" s="60"/>
      <c r="M1277" s="60"/>
    </row>
    <row r="1278" spans="1:13" ht="15" customHeight="1" x14ac:dyDescent="0.25">
      <c r="A1278" s="2"/>
      <c r="B1278" s="2"/>
      <c r="C1278" s="92"/>
      <c r="D1278" s="35"/>
      <c r="E1278" s="32"/>
      <c r="F1278" s="34"/>
      <c r="G1278" s="34"/>
      <c r="I1278" s="6"/>
      <c r="J1278" s="60"/>
      <c r="K1278" s="60"/>
      <c r="L1278" s="60"/>
      <c r="M1278" s="60"/>
    </row>
    <row r="1279" spans="1:13" ht="15" customHeight="1" x14ac:dyDescent="0.25">
      <c r="A1279" s="2"/>
      <c r="B1279" s="2"/>
      <c r="C1279" s="92"/>
      <c r="D1279" s="35"/>
      <c r="E1279" s="32"/>
      <c r="F1279" s="34"/>
      <c r="G1279" s="34"/>
      <c r="I1279" s="6"/>
      <c r="J1279" s="60"/>
      <c r="K1279" s="60"/>
      <c r="L1279" s="60"/>
      <c r="M1279" s="60"/>
    </row>
    <row r="1280" spans="1:13" ht="15" customHeight="1" x14ac:dyDescent="0.25">
      <c r="A1280" s="2"/>
      <c r="B1280" s="2"/>
      <c r="C1280" s="92"/>
      <c r="D1280" s="35"/>
      <c r="E1280" s="32"/>
      <c r="F1280" s="34"/>
      <c r="G1280" s="34"/>
      <c r="I1280" s="6"/>
      <c r="J1280" s="60"/>
      <c r="K1280" s="60"/>
      <c r="L1280" s="60"/>
      <c r="M1280" s="60"/>
    </row>
    <row r="1281" spans="1:13" ht="15" customHeight="1" x14ac:dyDescent="0.25">
      <c r="A1281" s="2"/>
      <c r="B1281" s="2"/>
      <c r="C1281" s="86"/>
      <c r="D1281" s="35"/>
      <c r="E1281" s="32"/>
      <c r="F1281" s="34"/>
      <c r="G1281" s="34"/>
      <c r="I1281" s="6"/>
      <c r="J1281" s="60"/>
      <c r="K1281" s="60"/>
      <c r="L1281" s="60"/>
      <c r="M1281" s="60"/>
    </row>
    <row r="1282" spans="1:13" ht="15" customHeight="1" x14ac:dyDescent="0.25">
      <c r="A1282" s="2"/>
      <c r="B1282" s="2"/>
      <c r="C1282" s="86"/>
      <c r="D1282" s="35"/>
      <c r="E1282" s="32"/>
      <c r="F1282" s="34"/>
      <c r="G1282" s="34"/>
      <c r="I1282" s="6"/>
      <c r="J1282" s="60"/>
      <c r="K1282" s="61"/>
      <c r="L1282" s="61"/>
      <c r="M1282" s="72"/>
    </row>
    <row r="1283" spans="1:13" ht="15" customHeight="1" x14ac:dyDescent="0.25">
      <c r="A1283" s="2"/>
      <c r="B1283" s="2"/>
      <c r="C1283" s="86"/>
      <c r="D1283" s="35"/>
      <c r="E1283" s="32"/>
      <c r="F1283" s="34"/>
      <c r="G1283" s="34"/>
      <c r="I1283" s="6"/>
      <c r="J1283" s="59"/>
      <c r="K1283" s="60"/>
      <c r="L1283" s="60"/>
      <c r="M1283" s="70"/>
    </row>
    <row r="1284" spans="1:13" ht="15" customHeight="1" x14ac:dyDescent="0.25">
      <c r="A1284" s="2"/>
      <c r="B1284" s="2"/>
      <c r="C1284" s="86"/>
      <c r="D1284" s="35"/>
      <c r="E1284" s="32"/>
      <c r="F1284" s="34"/>
      <c r="G1284" s="34"/>
      <c r="I1284" s="6"/>
      <c r="J1284" s="55"/>
      <c r="K1284" s="60"/>
      <c r="L1284" s="60"/>
      <c r="M1284" s="70"/>
    </row>
    <row r="1285" spans="1:13" ht="15" customHeight="1" x14ac:dyDescent="0.25">
      <c r="A1285" s="2"/>
      <c r="B1285" s="2"/>
      <c r="C1285" s="86"/>
      <c r="D1285" s="35"/>
      <c r="E1285" s="32"/>
      <c r="F1285" s="34"/>
      <c r="G1285" s="34"/>
      <c r="I1285" s="6"/>
      <c r="J1285" s="55"/>
      <c r="K1285" s="59"/>
      <c r="L1285" s="60"/>
      <c r="M1285" s="70"/>
    </row>
    <row r="1286" spans="1:13" ht="15" customHeight="1" x14ac:dyDescent="0.25">
      <c r="A1286" s="2"/>
      <c r="B1286" s="2"/>
      <c r="C1286" s="92"/>
      <c r="D1286" s="35"/>
      <c r="E1286" s="32"/>
      <c r="F1286" s="34"/>
      <c r="G1286" s="34"/>
      <c r="I1286" s="6"/>
      <c r="J1286" s="66"/>
      <c r="K1286" s="59"/>
      <c r="L1286" s="59"/>
      <c r="M1286" s="70"/>
    </row>
    <row r="1287" spans="1:13" ht="15" customHeight="1" x14ac:dyDescent="0.25">
      <c r="A1287" s="2"/>
      <c r="B1287" s="2"/>
      <c r="C1287" s="86"/>
      <c r="D1287" s="35"/>
      <c r="E1287" s="32"/>
      <c r="F1287" s="34"/>
      <c r="G1287" s="34"/>
      <c r="I1287" s="6"/>
      <c r="J1287" s="55"/>
      <c r="K1287" s="60"/>
      <c r="L1287" s="60"/>
      <c r="M1287" s="60"/>
    </row>
    <row r="1288" spans="1:13" ht="15" customHeight="1" x14ac:dyDescent="0.25">
      <c r="A1288" s="2"/>
      <c r="B1288" s="2"/>
      <c r="C1288" s="92"/>
      <c r="D1288" s="35"/>
      <c r="E1288" s="32"/>
      <c r="F1288" s="34"/>
      <c r="G1288" s="34"/>
      <c r="I1288" s="6"/>
      <c r="J1288" s="60"/>
      <c r="K1288" s="60"/>
      <c r="L1288" s="60"/>
      <c r="M1288" s="60"/>
    </row>
    <row r="1289" spans="1:13" ht="15" customHeight="1" x14ac:dyDescent="0.25">
      <c r="A1289" s="2"/>
      <c r="B1289" s="2"/>
      <c r="C1289" s="86"/>
      <c r="D1289" s="35"/>
      <c r="E1289" s="32"/>
      <c r="F1289" s="34"/>
      <c r="G1289" s="34"/>
      <c r="I1289" s="6"/>
      <c r="J1289" s="60"/>
      <c r="K1289" s="60"/>
      <c r="L1289" s="60"/>
      <c r="M1289" s="60"/>
    </row>
    <row r="1290" spans="1:13" ht="15" customHeight="1" x14ac:dyDescent="0.25">
      <c r="A1290" s="2"/>
      <c r="B1290" s="2"/>
      <c r="C1290" s="86"/>
      <c r="D1290" s="35"/>
      <c r="E1290" s="32"/>
      <c r="F1290" s="34"/>
      <c r="G1290" s="34"/>
      <c r="I1290" s="6"/>
      <c r="J1290" s="60"/>
      <c r="K1290" s="60"/>
      <c r="L1290" s="60"/>
      <c r="M1290" s="60"/>
    </row>
    <row r="1291" spans="1:13" ht="15" customHeight="1" x14ac:dyDescent="0.25">
      <c r="A1291" s="2"/>
      <c r="B1291" s="2"/>
      <c r="C1291" s="86"/>
      <c r="D1291" s="35"/>
      <c r="E1291" s="32"/>
      <c r="F1291" s="34"/>
      <c r="G1291" s="34"/>
      <c r="I1291" s="6"/>
      <c r="J1291" s="60"/>
      <c r="K1291" s="60"/>
      <c r="L1291" s="60"/>
      <c r="M1291" s="60"/>
    </row>
    <row r="1292" spans="1:13" ht="15" customHeight="1" x14ac:dyDescent="0.25">
      <c r="A1292" s="2"/>
      <c r="B1292" s="2"/>
      <c r="C1292" s="86"/>
      <c r="D1292" s="35"/>
      <c r="E1292" s="32"/>
      <c r="F1292" s="34"/>
      <c r="G1292" s="34"/>
      <c r="I1292" s="6"/>
      <c r="J1292" s="60"/>
      <c r="K1292" s="60"/>
      <c r="L1292" s="60"/>
      <c r="M1292" s="60"/>
    </row>
    <row r="1293" spans="1:13" ht="15" customHeight="1" x14ac:dyDescent="0.25">
      <c r="A1293" s="2"/>
      <c r="B1293" s="2"/>
      <c r="C1293" s="86"/>
      <c r="D1293" s="35"/>
      <c r="E1293" s="32"/>
      <c r="F1293" s="34"/>
      <c r="G1293" s="34"/>
      <c r="I1293" s="6"/>
      <c r="J1293" s="60"/>
      <c r="K1293" s="60"/>
      <c r="L1293" s="60"/>
      <c r="M1293" s="60"/>
    </row>
    <row r="1294" spans="1:13" ht="15" customHeight="1" x14ac:dyDescent="0.25">
      <c r="A1294" s="2"/>
      <c r="B1294" s="2"/>
      <c r="C1294" s="92"/>
      <c r="D1294" s="35"/>
      <c r="E1294" s="32"/>
      <c r="F1294" s="34"/>
      <c r="G1294" s="34"/>
      <c r="I1294" s="6"/>
      <c r="J1294" s="60"/>
      <c r="K1294" s="60"/>
      <c r="L1294" s="60"/>
      <c r="M1294" s="60"/>
    </row>
    <row r="1295" spans="1:13" ht="15" customHeight="1" x14ac:dyDescent="0.25">
      <c r="A1295" s="2"/>
      <c r="B1295" s="2"/>
      <c r="C1295" s="86"/>
      <c r="D1295" s="35"/>
      <c r="E1295" s="32"/>
      <c r="F1295" s="34"/>
      <c r="G1295" s="34"/>
      <c r="I1295" s="6"/>
      <c r="J1295" s="60"/>
      <c r="K1295" s="61"/>
      <c r="L1295" s="61"/>
      <c r="M1295" s="61"/>
    </row>
    <row r="1296" spans="1:13" ht="15" customHeight="1" x14ac:dyDescent="0.25">
      <c r="A1296" s="2"/>
      <c r="B1296" s="2"/>
      <c r="C1296" s="86"/>
      <c r="D1296" s="35"/>
      <c r="E1296" s="32"/>
      <c r="F1296" s="34"/>
      <c r="G1296" s="34"/>
      <c r="I1296" s="6"/>
      <c r="J1296" s="59"/>
      <c r="K1296" s="60"/>
      <c r="L1296" s="60"/>
      <c r="M1296" s="59"/>
    </row>
    <row r="1297" spans="1:13" ht="15" customHeight="1" x14ac:dyDescent="0.25">
      <c r="A1297" s="2"/>
      <c r="B1297" s="2"/>
      <c r="C1297" s="86"/>
      <c r="D1297" s="35"/>
      <c r="E1297" s="32"/>
      <c r="F1297" s="34"/>
      <c r="G1297" s="34"/>
      <c r="I1297" s="6"/>
      <c r="J1297" s="55"/>
      <c r="K1297" s="60"/>
      <c r="L1297" s="60"/>
      <c r="M1297" s="59"/>
    </row>
    <row r="1298" spans="1:13" ht="15" customHeight="1" x14ac:dyDescent="0.25">
      <c r="A1298" s="2"/>
      <c r="B1298" s="2"/>
      <c r="C1298" s="86"/>
      <c r="D1298" s="35"/>
      <c r="E1298" s="32"/>
      <c r="F1298" s="34"/>
      <c r="G1298" s="34"/>
      <c r="I1298" s="6"/>
      <c r="J1298" s="55"/>
      <c r="K1298" s="59"/>
      <c r="L1298" s="60"/>
      <c r="M1298" s="59"/>
    </row>
    <row r="1299" spans="1:13" ht="15" customHeight="1" x14ac:dyDescent="0.25">
      <c r="A1299" s="2"/>
      <c r="B1299" s="2"/>
      <c r="C1299" s="86"/>
      <c r="D1299" s="35"/>
      <c r="E1299" s="32"/>
      <c r="F1299" s="34"/>
      <c r="G1299" s="34"/>
      <c r="I1299" s="6"/>
      <c r="J1299" s="66"/>
      <c r="K1299" s="59"/>
      <c r="L1299" s="59"/>
      <c r="M1299" s="59"/>
    </row>
    <row r="1300" spans="1:13" ht="15" customHeight="1" x14ac:dyDescent="0.25">
      <c r="A1300" s="2"/>
      <c r="B1300" s="2"/>
      <c r="C1300" s="86"/>
      <c r="D1300" s="35"/>
      <c r="E1300" s="32"/>
      <c r="F1300" s="34"/>
      <c r="G1300" s="34"/>
      <c r="I1300" s="3"/>
      <c r="J1300" s="55"/>
      <c r="K1300" s="60"/>
      <c r="L1300" s="60"/>
      <c r="M1300" s="60"/>
    </row>
    <row r="1301" spans="1:13" ht="15" customHeight="1" x14ac:dyDescent="0.25">
      <c r="A1301" s="2"/>
      <c r="B1301" s="2"/>
      <c r="C1301" s="86"/>
      <c r="D1301" s="35"/>
      <c r="E1301" s="32"/>
      <c r="F1301" s="34"/>
      <c r="G1301" s="34"/>
      <c r="I1301" s="6"/>
      <c r="J1301" s="60"/>
      <c r="K1301" s="60"/>
      <c r="L1301" s="60"/>
      <c r="M1301" s="60"/>
    </row>
    <row r="1302" spans="1:13" ht="15" customHeight="1" x14ac:dyDescent="0.25">
      <c r="A1302" s="2"/>
      <c r="B1302" s="2"/>
      <c r="C1302" s="86"/>
      <c r="D1302" s="35"/>
      <c r="E1302" s="32"/>
      <c r="F1302" s="34"/>
      <c r="G1302" s="34"/>
      <c r="I1302" s="6"/>
      <c r="J1302" s="64"/>
      <c r="K1302" s="60"/>
      <c r="L1302" s="60"/>
      <c r="M1302" s="60"/>
    </row>
    <row r="1303" spans="1:13" ht="15" customHeight="1" x14ac:dyDescent="0.25">
      <c r="A1303" s="2"/>
      <c r="B1303" s="2"/>
      <c r="C1303" s="93"/>
      <c r="D1303" s="35"/>
      <c r="E1303" s="32"/>
      <c r="F1303" s="34"/>
      <c r="G1303" s="34"/>
      <c r="I1303" s="6"/>
      <c r="J1303" s="64"/>
      <c r="K1303" s="60"/>
      <c r="L1303" s="60"/>
      <c r="M1303" s="60"/>
    </row>
    <row r="1304" spans="1:13" ht="15" customHeight="1" x14ac:dyDescent="0.25">
      <c r="A1304" s="2"/>
      <c r="B1304" s="2"/>
      <c r="C1304" s="90"/>
      <c r="D1304" s="35"/>
      <c r="E1304" s="32"/>
      <c r="F1304" s="34"/>
      <c r="G1304" s="34"/>
      <c r="I1304" s="6"/>
      <c r="J1304" s="64"/>
      <c r="K1304" s="61"/>
      <c r="L1304" s="61"/>
      <c r="M1304" s="61"/>
    </row>
    <row r="1305" spans="1:13" ht="15" customHeight="1" x14ac:dyDescent="0.25">
      <c r="A1305" s="2"/>
      <c r="B1305" s="2"/>
      <c r="C1305" s="90"/>
      <c r="D1305" s="35"/>
      <c r="E1305" s="32"/>
      <c r="F1305" s="26"/>
      <c r="G1305" s="34"/>
      <c r="I1305" s="6"/>
      <c r="J1305" s="62"/>
      <c r="K1305" s="60"/>
      <c r="L1305" s="60"/>
      <c r="M1305" s="62"/>
    </row>
    <row r="1306" spans="1:13" ht="15" customHeight="1" x14ac:dyDescent="0.25">
      <c r="A1306" s="2"/>
      <c r="B1306" s="2"/>
      <c r="C1306" s="92"/>
      <c r="D1306" s="35"/>
      <c r="E1306" s="32"/>
      <c r="F1306" s="26"/>
      <c r="G1306" s="26"/>
      <c r="H1306" s="26"/>
      <c r="I1306" s="6"/>
      <c r="J1306" s="55"/>
      <c r="K1306" s="60"/>
      <c r="L1306" s="60"/>
      <c r="M1306" s="62"/>
    </row>
    <row r="1307" spans="1:13" ht="15" customHeight="1" x14ac:dyDescent="0.25">
      <c r="A1307" s="2"/>
      <c r="B1307" s="2"/>
      <c r="C1307" s="92"/>
      <c r="D1307" s="35"/>
      <c r="E1307" s="32"/>
      <c r="F1307" s="34"/>
      <c r="G1307" s="26"/>
      <c r="I1307" s="6"/>
      <c r="J1307" s="55"/>
      <c r="K1307" s="62"/>
      <c r="L1307" s="60"/>
      <c r="M1307" s="62"/>
    </row>
    <row r="1308" spans="1:13" ht="15" customHeight="1" x14ac:dyDescent="0.25">
      <c r="A1308" s="2"/>
      <c r="B1308" s="2"/>
      <c r="C1308" s="86"/>
      <c r="D1308" s="35"/>
      <c r="E1308" s="32"/>
      <c r="F1308" s="34"/>
      <c r="G1308" s="34"/>
      <c r="I1308" s="6"/>
      <c r="J1308" s="57"/>
      <c r="K1308" s="61"/>
      <c r="L1308" s="61"/>
      <c r="M1308" s="61"/>
    </row>
    <row r="1309" spans="1:13" ht="15" customHeight="1" x14ac:dyDescent="0.25">
      <c r="A1309" s="2"/>
      <c r="B1309" s="2"/>
      <c r="C1309" s="86"/>
      <c r="D1309" s="35"/>
      <c r="E1309" s="32"/>
      <c r="F1309" s="34"/>
      <c r="G1309" s="34"/>
      <c r="I1309" s="6"/>
      <c r="J1309" s="59"/>
      <c r="K1309" s="60"/>
      <c r="L1309" s="60"/>
      <c r="M1309" s="59"/>
    </row>
    <row r="1310" spans="1:13" ht="15" customHeight="1" x14ac:dyDescent="0.25">
      <c r="A1310" s="2"/>
      <c r="B1310" s="2"/>
      <c r="C1310" s="86"/>
      <c r="D1310" s="37"/>
      <c r="E1310" s="32"/>
      <c r="F1310" s="34"/>
      <c r="G1310" s="34"/>
      <c r="I1310" s="6"/>
      <c r="J1310" s="55"/>
      <c r="K1310" s="60"/>
      <c r="L1310" s="60"/>
      <c r="M1310" s="59"/>
    </row>
    <row r="1311" spans="1:13" ht="15" customHeight="1" x14ac:dyDescent="0.25">
      <c r="A1311" s="2"/>
      <c r="B1311" s="2"/>
      <c r="C1311" s="86"/>
      <c r="D1311" s="37"/>
      <c r="E1311" s="32"/>
      <c r="F1311" s="34"/>
      <c r="G1311" s="34"/>
      <c r="I1311" s="6"/>
      <c r="J1311" s="55"/>
      <c r="K1311" s="59"/>
      <c r="L1311" s="60"/>
      <c r="M1311" s="59"/>
    </row>
    <row r="1312" spans="1:13" ht="15" customHeight="1" x14ac:dyDescent="0.25">
      <c r="A1312" s="2"/>
      <c r="B1312" s="2"/>
      <c r="C1312" s="86"/>
      <c r="D1312" s="35"/>
      <c r="E1312" s="32"/>
      <c r="F1312" s="34"/>
      <c r="G1312" s="34"/>
      <c r="I1312" s="6"/>
      <c r="J1312" s="66"/>
      <c r="K1312" s="59"/>
      <c r="L1312" s="59"/>
      <c r="M1312" s="59"/>
    </row>
    <row r="1313" spans="1:13" ht="15" customHeight="1" x14ac:dyDescent="0.25">
      <c r="A1313" s="2"/>
      <c r="B1313" s="2"/>
      <c r="C1313" s="86"/>
      <c r="D1313" s="35"/>
      <c r="E1313" s="32"/>
      <c r="F1313" s="34"/>
      <c r="G1313" s="34"/>
      <c r="I1313" s="6"/>
      <c r="J1313" s="55"/>
      <c r="K1313" s="60"/>
      <c r="L1313" s="60"/>
      <c r="M1313" s="60"/>
    </row>
    <row r="1314" spans="1:13" ht="15" customHeight="1" x14ac:dyDescent="0.25">
      <c r="A1314" s="2"/>
      <c r="B1314" s="2"/>
      <c r="C1314" s="86"/>
      <c r="D1314" s="35"/>
      <c r="E1314" s="32"/>
      <c r="F1314" s="34"/>
      <c r="G1314" s="34"/>
      <c r="I1314" s="6"/>
      <c r="J1314" s="60"/>
      <c r="K1314" s="60"/>
      <c r="L1314" s="60"/>
      <c r="M1314" s="60"/>
    </row>
    <row r="1315" spans="1:13" ht="15" customHeight="1" x14ac:dyDescent="0.25">
      <c r="A1315" s="2"/>
      <c r="B1315" s="2"/>
      <c r="C1315" s="86"/>
      <c r="D1315" s="35"/>
      <c r="E1315" s="32"/>
      <c r="F1315" s="34"/>
      <c r="G1315" s="34"/>
      <c r="I1315" s="6"/>
      <c r="J1315" s="60"/>
      <c r="K1315" s="60"/>
      <c r="L1315" s="60"/>
      <c r="M1315" s="60"/>
    </row>
    <row r="1316" spans="1:13" ht="15" customHeight="1" x14ac:dyDescent="0.25">
      <c r="A1316" s="2"/>
      <c r="B1316" s="2"/>
      <c r="C1316" s="92"/>
      <c r="D1316" s="35"/>
      <c r="E1316" s="32"/>
      <c r="F1316" s="34"/>
      <c r="G1316" s="34"/>
      <c r="I1316" s="6"/>
      <c r="J1316" s="64"/>
      <c r="K1316" s="60"/>
      <c r="L1316" s="60"/>
      <c r="M1316" s="60"/>
    </row>
    <row r="1317" spans="1:13" ht="15" customHeight="1" x14ac:dyDescent="0.25">
      <c r="A1317" s="2"/>
      <c r="B1317" s="2"/>
      <c r="C1317" s="92"/>
      <c r="D1317" s="35"/>
      <c r="E1317" s="32"/>
      <c r="F1317" s="34"/>
      <c r="G1317" s="34"/>
      <c r="I1317" s="6"/>
      <c r="J1317" s="60"/>
      <c r="K1317" s="61"/>
      <c r="L1317" s="61"/>
      <c r="M1317" s="61"/>
    </row>
    <row r="1318" spans="1:13" ht="15" customHeight="1" x14ac:dyDescent="0.25">
      <c r="A1318" s="2"/>
      <c r="B1318" s="2"/>
      <c r="C1318" s="86"/>
      <c r="D1318" s="35"/>
      <c r="E1318" s="32"/>
      <c r="F1318" s="34"/>
      <c r="G1318" s="34"/>
      <c r="I1318" s="6"/>
      <c r="J1318" s="62"/>
      <c r="K1318" s="60"/>
      <c r="L1318" s="60"/>
      <c r="M1318" s="62"/>
    </row>
    <row r="1319" spans="1:13" ht="15" customHeight="1" x14ac:dyDescent="0.25">
      <c r="A1319" s="2"/>
      <c r="B1319" s="2"/>
      <c r="C1319" s="86"/>
      <c r="D1319" s="35"/>
      <c r="E1319" s="32"/>
      <c r="F1319" s="34"/>
      <c r="G1319" s="34"/>
      <c r="I1319" s="6"/>
      <c r="J1319" s="55"/>
      <c r="K1319" s="60"/>
      <c r="L1319" s="60"/>
      <c r="M1319" s="62"/>
    </row>
    <row r="1320" spans="1:13" ht="15" customHeight="1" x14ac:dyDescent="0.25">
      <c r="A1320" s="2"/>
      <c r="B1320" s="2"/>
      <c r="C1320" s="86"/>
      <c r="D1320" s="35"/>
      <c r="E1320" s="32"/>
      <c r="F1320" s="34"/>
      <c r="G1320" s="34"/>
      <c r="I1320" s="6"/>
      <c r="J1320" s="55"/>
      <c r="K1320" s="62"/>
      <c r="L1320" s="60"/>
      <c r="M1320" s="62"/>
    </row>
    <row r="1321" spans="1:13" ht="15" customHeight="1" x14ac:dyDescent="0.25">
      <c r="A1321" s="2"/>
      <c r="B1321" s="2"/>
      <c r="C1321" s="86"/>
      <c r="D1321" s="35"/>
      <c r="E1321" s="32"/>
      <c r="F1321" s="34"/>
      <c r="G1321" s="34"/>
      <c r="I1321" s="6"/>
      <c r="J1321" s="57"/>
      <c r="K1321" s="62"/>
      <c r="L1321" s="62"/>
      <c r="M1321" s="62"/>
    </row>
    <row r="1322" spans="1:13" ht="15" customHeight="1" x14ac:dyDescent="0.25">
      <c r="A1322" s="2"/>
      <c r="B1322" s="2"/>
      <c r="C1322" s="92"/>
      <c r="D1322" s="35"/>
      <c r="E1322" s="32"/>
      <c r="F1322" s="34"/>
      <c r="G1322" s="34"/>
      <c r="I1322" s="6"/>
      <c r="J1322" s="55"/>
      <c r="K1322" s="60"/>
      <c r="L1322" s="60"/>
      <c r="M1322" s="60"/>
    </row>
    <row r="1323" spans="1:13" ht="15" customHeight="1" x14ac:dyDescent="0.25">
      <c r="A1323" s="2"/>
      <c r="B1323" s="2"/>
      <c r="C1323" s="86"/>
      <c r="D1323" s="35"/>
      <c r="E1323" s="32"/>
      <c r="F1323" s="34"/>
      <c r="G1323" s="34"/>
      <c r="I1323" s="6"/>
      <c r="J1323" s="60"/>
      <c r="K1323" s="60"/>
      <c r="L1323" s="60"/>
      <c r="M1323" s="60"/>
    </row>
    <row r="1324" spans="1:13" ht="15" customHeight="1" x14ac:dyDescent="0.25">
      <c r="A1324" s="2"/>
      <c r="B1324" s="2"/>
      <c r="C1324" s="92"/>
      <c r="D1324" s="35"/>
      <c r="E1324" s="32"/>
      <c r="F1324" s="34"/>
      <c r="G1324" s="34"/>
      <c r="I1324" s="6"/>
      <c r="J1324" s="60"/>
      <c r="K1324" s="60"/>
      <c r="L1324" s="60"/>
      <c r="M1324" s="60"/>
    </row>
    <row r="1325" spans="1:13" ht="15" customHeight="1" x14ac:dyDescent="0.25">
      <c r="A1325" s="2"/>
      <c r="B1325" s="2"/>
      <c r="C1325" s="86"/>
      <c r="D1325" s="35"/>
      <c r="E1325" s="32"/>
      <c r="F1325" s="34"/>
      <c r="G1325" s="34"/>
      <c r="I1325" s="6"/>
      <c r="J1325" s="60"/>
      <c r="K1325" s="60"/>
      <c r="L1325" s="60"/>
      <c r="M1325" s="60"/>
    </row>
    <row r="1326" spans="1:13" ht="15" customHeight="1" x14ac:dyDescent="0.25">
      <c r="A1326" s="2"/>
      <c r="B1326" s="2"/>
      <c r="C1326" s="92"/>
      <c r="D1326" s="35"/>
      <c r="E1326" s="32"/>
      <c r="F1326" s="34"/>
      <c r="G1326" s="34"/>
      <c r="I1326" s="6"/>
      <c r="J1326" s="60"/>
      <c r="K1326" s="60"/>
      <c r="L1326" s="60"/>
      <c r="M1326" s="60"/>
    </row>
    <row r="1327" spans="1:13" ht="15" customHeight="1" x14ac:dyDescent="0.25">
      <c r="A1327" s="2"/>
      <c r="B1327" s="2"/>
      <c r="C1327" s="92"/>
      <c r="D1327" s="35"/>
      <c r="E1327" s="32"/>
      <c r="F1327" s="34"/>
      <c r="G1327" s="34"/>
      <c r="I1327" s="6"/>
      <c r="J1327" s="60"/>
      <c r="K1327" s="60"/>
      <c r="L1327" s="60"/>
      <c r="M1327" s="60"/>
    </row>
    <row r="1328" spans="1:13" ht="15" customHeight="1" x14ac:dyDescent="0.25">
      <c r="A1328" s="2"/>
      <c r="B1328" s="2"/>
      <c r="C1328" s="86"/>
      <c r="D1328" s="35"/>
      <c r="E1328" s="32"/>
      <c r="F1328" s="34"/>
      <c r="G1328" s="34"/>
      <c r="I1328" s="6"/>
      <c r="J1328" s="60"/>
      <c r="K1328" s="60"/>
      <c r="L1328" s="60"/>
      <c r="M1328" s="60"/>
    </row>
    <row r="1329" spans="1:13" ht="15" customHeight="1" x14ac:dyDescent="0.25">
      <c r="A1329" s="2"/>
      <c r="B1329" s="2"/>
      <c r="C1329" s="86"/>
      <c r="D1329" s="35"/>
      <c r="E1329" s="32"/>
      <c r="F1329" s="34"/>
      <c r="G1329" s="34"/>
      <c r="I1329" s="6"/>
      <c r="J1329" s="60"/>
      <c r="K1329" s="60"/>
      <c r="L1329" s="60"/>
      <c r="M1329" s="60"/>
    </row>
    <row r="1330" spans="1:13" ht="15" customHeight="1" x14ac:dyDescent="0.25">
      <c r="A1330" s="2"/>
      <c r="B1330" s="2"/>
      <c r="C1330" s="86"/>
      <c r="D1330" s="35"/>
      <c r="E1330" s="32"/>
      <c r="F1330" s="34"/>
      <c r="G1330" s="34"/>
      <c r="I1330" s="6"/>
      <c r="J1330" s="60"/>
      <c r="K1330" s="60"/>
      <c r="L1330" s="60"/>
      <c r="M1330" s="60"/>
    </row>
    <row r="1331" spans="1:13" ht="15" customHeight="1" x14ac:dyDescent="0.25">
      <c r="A1331" s="2"/>
      <c r="B1331" s="2"/>
      <c r="C1331" s="86"/>
      <c r="D1331" s="35"/>
      <c r="E1331" s="32"/>
      <c r="F1331" s="34"/>
      <c r="G1331" s="34"/>
      <c r="I1331" s="6"/>
      <c r="J1331" s="60"/>
      <c r="K1331" s="60"/>
      <c r="L1331" s="60"/>
      <c r="M1331" s="60"/>
    </row>
    <row r="1332" spans="1:13" ht="15" customHeight="1" x14ac:dyDescent="0.25">
      <c r="A1332" s="2"/>
      <c r="B1332" s="2"/>
      <c r="C1332" s="86"/>
      <c r="D1332" s="35"/>
      <c r="E1332" s="32"/>
      <c r="F1332" s="34"/>
      <c r="G1332" s="34"/>
      <c r="I1332" s="6"/>
      <c r="J1332" s="60"/>
      <c r="K1332" s="60"/>
      <c r="L1332" s="60"/>
      <c r="M1332" s="60"/>
    </row>
    <row r="1333" spans="1:13" ht="15" customHeight="1" x14ac:dyDescent="0.25">
      <c r="A1333" s="2"/>
      <c r="B1333" s="2"/>
      <c r="C1333" s="86"/>
      <c r="D1333" s="35"/>
      <c r="E1333" s="32"/>
      <c r="F1333" s="34"/>
      <c r="G1333" s="34"/>
      <c r="I1333" s="6"/>
      <c r="J1333" s="60"/>
      <c r="K1333" s="60"/>
      <c r="L1333" s="60"/>
      <c r="M1333" s="60"/>
    </row>
    <row r="1334" spans="1:13" ht="15" customHeight="1" x14ac:dyDescent="0.25">
      <c r="A1334" s="2"/>
      <c r="B1334" s="2"/>
      <c r="C1334" s="86"/>
      <c r="D1334" s="35"/>
      <c r="E1334" s="32"/>
      <c r="F1334" s="34"/>
      <c r="G1334" s="34"/>
      <c r="I1334" s="6"/>
      <c r="J1334" s="60"/>
      <c r="K1334" s="60"/>
      <c r="L1334" s="60"/>
      <c r="M1334" s="60"/>
    </row>
    <row r="1335" spans="1:13" ht="15" customHeight="1" x14ac:dyDescent="0.25">
      <c r="A1335" s="2"/>
      <c r="B1335" s="2"/>
      <c r="C1335" s="86"/>
      <c r="D1335" s="35"/>
      <c r="E1335" s="32"/>
      <c r="F1335" s="34"/>
      <c r="G1335" s="34"/>
      <c r="I1335" s="6"/>
      <c r="J1335" s="60"/>
      <c r="K1335" s="60"/>
      <c r="L1335" s="60"/>
      <c r="M1335" s="60"/>
    </row>
    <row r="1336" spans="1:13" ht="15" customHeight="1" x14ac:dyDescent="0.25">
      <c r="A1336" s="2"/>
      <c r="B1336" s="2"/>
      <c r="C1336" s="86"/>
      <c r="D1336" s="35"/>
      <c r="E1336" s="32"/>
      <c r="F1336" s="34"/>
      <c r="G1336" s="34"/>
      <c r="I1336" s="6"/>
      <c r="J1336" s="60"/>
      <c r="K1336" s="60"/>
      <c r="L1336" s="60"/>
      <c r="M1336" s="60"/>
    </row>
    <row r="1337" spans="1:13" ht="15" customHeight="1" x14ac:dyDescent="0.25">
      <c r="A1337" s="2"/>
      <c r="B1337" s="2"/>
      <c r="C1337" s="92"/>
      <c r="D1337" s="35"/>
      <c r="E1337" s="32"/>
      <c r="F1337" s="34"/>
      <c r="G1337" s="34"/>
      <c r="I1337" s="6"/>
      <c r="J1337" s="60"/>
      <c r="K1337" s="60"/>
      <c r="L1337" s="60"/>
      <c r="M1337" s="60"/>
    </row>
    <row r="1338" spans="1:13" ht="15" customHeight="1" x14ac:dyDescent="0.25">
      <c r="A1338" s="2"/>
      <c r="B1338" s="2"/>
      <c r="C1338" s="92"/>
      <c r="D1338" s="35"/>
      <c r="E1338" s="32"/>
      <c r="F1338" s="34"/>
      <c r="G1338" s="34"/>
      <c r="I1338" s="6"/>
      <c r="J1338" s="60"/>
      <c r="K1338" s="60"/>
      <c r="L1338" s="60"/>
      <c r="M1338" s="60"/>
    </row>
    <row r="1339" spans="1:13" ht="15" customHeight="1" x14ac:dyDescent="0.25">
      <c r="A1339" s="2"/>
      <c r="B1339" s="2"/>
      <c r="C1339" s="86"/>
      <c r="D1339" s="35"/>
      <c r="E1339" s="32"/>
      <c r="F1339" s="34"/>
      <c r="G1339" s="34"/>
      <c r="I1339" s="6"/>
      <c r="J1339" s="64"/>
      <c r="K1339" s="61"/>
      <c r="L1339" s="61"/>
      <c r="M1339" s="61"/>
    </row>
    <row r="1340" spans="1:13" ht="15" customHeight="1" x14ac:dyDescent="0.25">
      <c r="A1340" s="2"/>
      <c r="B1340" s="2"/>
      <c r="C1340" s="86"/>
      <c r="D1340" s="35"/>
      <c r="E1340" s="32"/>
      <c r="F1340" s="34"/>
      <c r="G1340" s="34"/>
      <c r="I1340" s="6"/>
      <c r="J1340" s="59"/>
      <c r="K1340" s="60"/>
      <c r="L1340" s="60"/>
      <c r="M1340" s="59"/>
    </row>
    <row r="1341" spans="1:13" ht="15" customHeight="1" x14ac:dyDescent="0.25">
      <c r="A1341" s="2"/>
      <c r="B1341" s="2"/>
      <c r="C1341" s="86"/>
      <c r="D1341" s="35"/>
      <c r="E1341" s="32"/>
      <c r="F1341" s="34"/>
      <c r="G1341" s="34"/>
      <c r="I1341" s="6"/>
      <c r="J1341" s="55"/>
      <c r="K1341" s="60"/>
      <c r="L1341" s="60"/>
      <c r="M1341" s="59"/>
    </row>
    <row r="1342" spans="1:13" ht="15" customHeight="1" x14ac:dyDescent="0.25">
      <c r="A1342" s="2"/>
      <c r="B1342" s="2"/>
      <c r="C1342" s="92"/>
      <c r="D1342" s="35"/>
      <c r="E1342" s="32"/>
      <c r="F1342" s="34"/>
      <c r="G1342" s="34"/>
      <c r="I1342" s="6"/>
      <c r="J1342" s="55"/>
      <c r="K1342" s="59"/>
      <c r="L1342" s="60"/>
      <c r="M1342" s="59"/>
    </row>
    <row r="1343" spans="1:13" ht="15" customHeight="1" x14ac:dyDescent="0.25">
      <c r="A1343" s="2"/>
      <c r="B1343" s="2"/>
      <c r="C1343" s="86"/>
      <c r="D1343" s="35"/>
      <c r="E1343" s="32"/>
      <c r="F1343" s="34"/>
      <c r="G1343" s="34"/>
      <c r="I1343" s="6"/>
      <c r="J1343" s="66"/>
      <c r="K1343" s="59"/>
      <c r="L1343" s="59"/>
      <c r="M1343" s="59"/>
    </row>
    <row r="1344" spans="1:13" ht="15" customHeight="1" x14ac:dyDescent="0.25">
      <c r="A1344" s="2"/>
      <c r="B1344" s="2"/>
      <c r="C1344" s="92"/>
      <c r="D1344" s="35"/>
      <c r="E1344" s="32"/>
      <c r="F1344" s="34"/>
      <c r="G1344" s="34"/>
      <c r="I1344" s="6"/>
      <c r="J1344" s="55"/>
      <c r="K1344" s="60"/>
      <c r="L1344" s="60"/>
      <c r="M1344" s="59"/>
    </row>
    <row r="1345" spans="1:13" ht="15" customHeight="1" x14ac:dyDescent="0.25">
      <c r="A1345" s="2"/>
      <c r="B1345" s="2"/>
      <c r="C1345" s="86"/>
      <c r="D1345" s="35"/>
      <c r="E1345" s="32"/>
      <c r="F1345" s="34"/>
      <c r="G1345" s="34"/>
      <c r="I1345" s="6"/>
      <c r="J1345" s="55"/>
      <c r="K1345" s="60"/>
      <c r="L1345" s="60"/>
      <c r="M1345" s="59"/>
    </row>
    <row r="1346" spans="1:13" ht="15" customHeight="1" x14ac:dyDescent="0.25">
      <c r="A1346" s="2"/>
      <c r="B1346" s="2"/>
      <c r="C1346" s="92"/>
      <c r="D1346" s="35"/>
      <c r="E1346" s="32"/>
      <c r="F1346" s="34"/>
      <c r="G1346" s="34"/>
      <c r="I1346" s="6"/>
      <c r="J1346" s="55"/>
      <c r="K1346" s="59"/>
      <c r="L1346" s="60"/>
      <c r="M1346" s="59"/>
    </row>
    <row r="1347" spans="1:13" ht="15" customHeight="1" x14ac:dyDescent="0.25">
      <c r="A1347" s="2"/>
      <c r="B1347" s="2"/>
      <c r="C1347" s="86"/>
      <c r="D1347" s="35"/>
      <c r="E1347" s="32"/>
      <c r="F1347" s="34"/>
      <c r="G1347" s="34"/>
      <c r="I1347" s="6"/>
      <c r="J1347" s="66"/>
      <c r="K1347" s="59"/>
      <c r="L1347" s="59"/>
      <c r="M1347" s="59"/>
    </row>
    <row r="1348" spans="1:13" ht="15" customHeight="1" x14ac:dyDescent="0.25">
      <c r="A1348" s="2"/>
      <c r="B1348" s="2"/>
      <c r="C1348" s="86"/>
      <c r="D1348" s="35"/>
      <c r="E1348" s="32"/>
      <c r="F1348" s="34"/>
      <c r="G1348" s="34"/>
      <c r="I1348" s="6"/>
      <c r="J1348" s="55"/>
      <c r="K1348" s="60"/>
      <c r="L1348" s="60"/>
      <c r="M1348" s="60"/>
    </row>
    <row r="1349" spans="1:13" ht="15" customHeight="1" x14ac:dyDescent="0.25">
      <c r="A1349" s="2"/>
      <c r="B1349" s="2"/>
      <c r="C1349" s="86"/>
      <c r="D1349" s="35"/>
      <c r="E1349" s="32"/>
      <c r="F1349" s="34"/>
      <c r="G1349" s="34"/>
      <c r="I1349" s="6"/>
      <c r="J1349" s="60"/>
      <c r="K1349" s="60"/>
      <c r="L1349" s="60"/>
      <c r="M1349" s="60"/>
    </row>
    <row r="1350" spans="1:13" ht="15" customHeight="1" x14ac:dyDescent="0.25">
      <c r="A1350" s="2"/>
      <c r="B1350" s="2"/>
      <c r="C1350" s="86"/>
      <c r="D1350" s="35"/>
      <c r="E1350" s="32"/>
      <c r="F1350" s="34"/>
      <c r="G1350" s="34"/>
      <c r="I1350" s="6"/>
      <c r="J1350" s="60"/>
      <c r="K1350" s="61"/>
      <c r="L1350" s="61"/>
      <c r="M1350" s="61"/>
    </row>
    <row r="1351" spans="1:13" ht="15" customHeight="1" x14ac:dyDescent="0.25">
      <c r="A1351" s="2"/>
      <c r="B1351" s="2"/>
      <c r="C1351" s="86"/>
      <c r="D1351" s="35"/>
      <c r="E1351" s="32"/>
      <c r="F1351" s="34"/>
      <c r="G1351" s="34"/>
      <c r="I1351" s="6"/>
      <c r="J1351" s="62"/>
      <c r="K1351" s="60"/>
      <c r="L1351" s="60"/>
      <c r="M1351" s="62"/>
    </row>
    <row r="1352" spans="1:13" ht="15" customHeight="1" x14ac:dyDescent="0.25">
      <c r="A1352" s="2"/>
      <c r="B1352" s="2"/>
      <c r="C1352" s="86"/>
      <c r="D1352" s="35"/>
      <c r="E1352" s="32"/>
      <c r="F1352" s="34"/>
      <c r="G1352" s="34"/>
      <c r="I1352" s="6"/>
      <c r="J1352" s="55"/>
      <c r="K1352" s="60"/>
      <c r="L1352" s="60"/>
      <c r="M1352" s="62"/>
    </row>
    <row r="1353" spans="1:13" ht="15" customHeight="1" x14ac:dyDescent="0.25">
      <c r="A1353" s="2"/>
      <c r="B1353" s="2"/>
      <c r="C1353" s="86"/>
      <c r="D1353" s="35"/>
      <c r="E1353" s="32"/>
      <c r="F1353" s="34"/>
      <c r="G1353" s="34"/>
      <c r="I1353" s="6"/>
      <c r="J1353" s="55"/>
      <c r="K1353" s="62"/>
      <c r="L1353" s="60"/>
      <c r="M1353" s="62"/>
    </row>
    <row r="1354" spans="1:13" ht="15" customHeight="1" x14ac:dyDescent="0.25">
      <c r="A1354" s="2"/>
      <c r="B1354" s="2"/>
      <c r="C1354" s="92"/>
      <c r="D1354" s="35"/>
      <c r="E1354" s="32"/>
      <c r="F1354" s="34"/>
      <c r="G1354" s="34"/>
      <c r="I1354" s="6"/>
      <c r="J1354" s="57"/>
      <c r="K1354" s="62"/>
      <c r="L1354" s="62"/>
      <c r="M1354" s="62"/>
    </row>
    <row r="1355" spans="1:13" ht="15" customHeight="1" x14ac:dyDescent="0.25">
      <c r="A1355" s="2"/>
      <c r="B1355" s="2"/>
      <c r="C1355" s="86"/>
      <c r="D1355" s="35"/>
      <c r="E1355" s="32"/>
      <c r="F1355" s="34"/>
      <c r="G1355" s="34"/>
      <c r="I1355" s="6"/>
      <c r="J1355" s="55"/>
      <c r="K1355" s="60"/>
      <c r="L1355" s="60"/>
      <c r="M1355" s="60"/>
    </row>
    <row r="1356" spans="1:13" ht="15" customHeight="1" x14ac:dyDescent="0.25">
      <c r="A1356" s="2"/>
      <c r="B1356" s="2"/>
      <c r="C1356" s="86"/>
      <c r="D1356" s="35"/>
      <c r="E1356" s="32"/>
      <c r="F1356" s="34"/>
      <c r="G1356" s="34"/>
      <c r="I1356" s="6"/>
      <c r="J1356" s="60"/>
      <c r="K1356" s="60"/>
      <c r="L1356" s="60"/>
      <c r="M1356" s="60"/>
    </row>
    <row r="1357" spans="1:13" ht="15" customHeight="1" x14ac:dyDescent="0.25">
      <c r="A1357" s="2"/>
      <c r="B1357" s="2"/>
      <c r="C1357" s="86"/>
      <c r="D1357" s="35"/>
      <c r="E1357" s="32"/>
      <c r="F1357" s="34"/>
      <c r="G1357" s="34"/>
      <c r="I1357" s="6"/>
      <c r="J1357" s="60"/>
      <c r="K1357" s="60"/>
      <c r="L1357" s="60"/>
      <c r="M1357" s="60"/>
    </row>
    <row r="1358" spans="1:13" ht="15" customHeight="1" x14ac:dyDescent="0.25">
      <c r="A1358" s="2"/>
      <c r="B1358" s="2"/>
      <c r="C1358" s="86"/>
      <c r="D1358" s="35"/>
      <c r="E1358" s="32"/>
      <c r="F1358" s="34"/>
      <c r="G1358" s="34"/>
      <c r="I1358" s="6"/>
      <c r="J1358" s="60"/>
      <c r="K1358" s="60"/>
      <c r="L1358" s="60"/>
      <c r="M1358" s="60"/>
    </row>
    <row r="1359" spans="1:13" ht="15" customHeight="1" x14ac:dyDescent="0.25">
      <c r="A1359" s="2"/>
      <c r="B1359" s="2"/>
      <c r="C1359" s="92"/>
      <c r="D1359" s="35"/>
      <c r="E1359" s="32"/>
      <c r="F1359" s="34"/>
      <c r="G1359" s="34"/>
      <c r="I1359" s="6"/>
      <c r="J1359" s="60"/>
      <c r="K1359" s="60"/>
      <c r="L1359" s="60"/>
      <c r="M1359" s="60"/>
    </row>
    <row r="1360" spans="1:13" ht="15" customHeight="1" x14ac:dyDescent="0.25">
      <c r="A1360" s="2"/>
      <c r="B1360" s="2"/>
      <c r="C1360" s="92"/>
      <c r="D1360" s="35"/>
      <c r="E1360" s="32"/>
      <c r="F1360" s="34"/>
      <c r="G1360" s="34"/>
      <c r="I1360" s="6"/>
      <c r="J1360" s="60"/>
      <c r="K1360" s="60"/>
      <c r="L1360" s="60"/>
      <c r="M1360" s="60"/>
    </row>
    <row r="1361" spans="1:13" ht="15" customHeight="1" x14ac:dyDescent="0.25">
      <c r="A1361" s="2"/>
      <c r="B1361" s="2"/>
      <c r="C1361" s="86"/>
      <c r="D1361" s="35"/>
      <c r="E1361" s="32"/>
      <c r="F1361" s="34"/>
      <c r="G1361" s="34"/>
      <c r="I1361" s="6"/>
      <c r="J1361" s="60"/>
      <c r="K1361" s="60"/>
      <c r="L1361" s="60"/>
      <c r="M1361" s="60"/>
    </row>
    <row r="1362" spans="1:13" ht="15" customHeight="1" x14ac:dyDescent="0.25">
      <c r="A1362" s="2"/>
      <c r="B1362" s="2"/>
      <c r="C1362" s="86"/>
      <c r="D1362" s="35"/>
      <c r="E1362" s="32"/>
      <c r="F1362" s="34"/>
      <c r="G1362" s="34"/>
      <c r="I1362" s="6"/>
      <c r="J1362" s="60"/>
      <c r="K1362" s="60"/>
      <c r="L1362" s="60"/>
      <c r="M1362" s="60"/>
    </row>
    <row r="1363" spans="1:13" ht="15" customHeight="1" x14ac:dyDescent="0.25">
      <c r="A1363" s="2"/>
      <c r="B1363" s="2"/>
      <c r="C1363" s="86"/>
      <c r="D1363" s="35"/>
      <c r="E1363" s="32"/>
      <c r="F1363" s="34"/>
      <c r="G1363" s="34"/>
      <c r="I1363" s="6"/>
      <c r="J1363" s="60"/>
      <c r="K1363" s="60"/>
      <c r="L1363" s="60"/>
      <c r="M1363" s="60"/>
    </row>
    <row r="1364" spans="1:13" ht="15" customHeight="1" x14ac:dyDescent="0.25">
      <c r="A1364" s="2"/>
      <c r="B1364" s="2"/>
      <c r="C1364" s="86"/>
      <c r="D1364" s="35"/>
      <c r="E1364" s="32"/>
      <c r="F1364" s="34"/>
      <c r="G1364" s="34"/>
      <c r="I1364" s="6"/>
      <c r="J1364" s="60"/>
      <c r="K1364" s="60"/>
      <c r="L1364" s="60"/>
      <c r="M1364" s="60"/>
    </row>
    <row r="1365" spans="1:13" ht="15" customHeight="1" x14ac:dyDescent="0.25">
      <c r="A1365" s="2"/>
      <c r="B1365" s="2"/>
      <c r="C1365" s="86"/>
      <c r="D1365" s="35"/>
      <c r="E1365" s="32"/>
      <c r="F1365" s="34"/>
      <c r="G1365" s="34"/>
      <c r="I1365" s="6"/>
      <c r="J1365" s="64"/>
      <c r="K1365" s="60"/>
      <c r="L1365" s="60"/>
      <c r="M1365" s="60"/>
    </row>
    <row r="1366" spans="1:13" ht="15" customHeight="1" x14ac:dyDescent="0.25">
      <c r="A1366" s="2"/>
      <c r="B1366" s="2"/>
      <c r="C1366" s="86"/>
      <c r="D1366" s="35"/>
      <c r="E1366" s="32"/>
      <c r="F1366" s="34"/>
      <c r="G1366" s="34"/>
      <c r="I1366" s="6"/>
      <c r="J1366" s="64"/>
      <c r="K1366" s="61"/>
      <c r="L1366" s="61"/>
      <c r="M1366" s="61"/>
    </row>
    <row r="1367" spans="1:13" ht="15" customHeight="1" x14ac:dyDescent="0.25">
      <c r="A1367" s="2"/>
      <c r="B1367" s="2"/>
      <c r="C1367" s="86"/>
      <c r="D1367" s="35"/>
      <c r="E1367" s="32"/>
      <c r="F1367" s="34"/>
      <c r="G1367" s="34"/>
      <c r="I1367" s="6"/>
      <c r="J1367" s="64"/>
      <c r="K1367" s="60"/>
      <c r="L1367" s="60"/>
      <c r="M1367" s="62"/>
    </row>
    <row r="1368" spans="1:13" ht="15" customHeight="1" x14ac:dyDescent="0.25">
      <c r="A1368" s="2"/>
      <c r="B1368" s="2"/>
      <c r="C1368" s="86"/>
      <c r="D1368" s="35"/>
      <c r="E1368" s="32"/>
      <c r="F1368" s="34"/>
      <c r="G1368" s="34"/>
      <c r="I1368" s="6"/>
      <c r="J1368" s="64"/>
      <c r="K1368" s="60"/>
      <c r="L1368" s="60"/>
      <c r="M1368" s="62"/>
    </row>
    <row r="1369" spans="1:13" ht="15" customHeight="1" x14ac:dyDescent="0.25">
      <c r="A1369" s="2"/>
      <c r="B1369" s="2"/>
      <c r="C1369" s="86"/>
      <c r="D1369" s="35"/>
      <c r="E1369" s="32"/>
      <c r="F1369" s="34"/>
      <c r="G1369" s="34"/>
      <c r="I1369" s="6"/>
      <c r="J1369" s="64"/>
      <c r="K1369" s="62"/>
      <c r="L1369" s="60"/>
      <c r="M1369" s="62"/>
    </row>
    <row r="1370" spans="1:13" ht="15" customHeight="1" x14ac:dyDescent="0.25">
      <c r="A1370" s="2"/>
      <c r="B1370" s="2"/>
      <c r="C1370" s="86"/>
      <c r="D1370" s="35"/>
      <c r="E1370" s="32"/>
      <c r="F1370" s="34"/>
      <c r="G1370" s="34"/>
      <c r="I1370" s="6"/>
      <c r="J1370" s="64"/>
      <c r="K1370" s="62"/>
      <c r="L1370" s="62"/>
      <c r="M1370" s="62"/>
    </row>
    <row r="1371" spans="1:13" ht="15" customHeight="1" x14ac:dyDescent="0.25">
      <c r="A1371" s="2"/>
      <c r="B1371" s="2"/>
      <c r="C1371" s="86"/>
      <c r="D1371" s="35"/>
      <c r="E1371" s="32"/>
      <c r="F1371" s="34"/>
      <c r="G1371" s="34"/>
      <c r="I1371" s="6"/>
      <c r="J1371" s="55"/>
      <c r="K1371" s="60"/>
      <c r="L1371" s="60"/>
      <c r="M1371" s="60"/>
    </row>
    <row r="1372" spans="1:13" ht="15" customHeight="1" x14ac:dyDescent="0.25">
      <c r="A1372" s="2"/>
      <c r="B1372" s="2"/>
      <c r="C1372" s="86"/>
      <c r="D1372" s="35"/>
      <c r="E1372" s="32"/>
      <c r="F1372" s="34"/>
      <c r="G1372" s="34"/>
      <c r="I1372" s="6"/>
      <c r="J1372" s="60"/>
      <c r="K1372" s="60"/>
      <c r="L1372" s="60"/>
      <c r="M1372" s="60"/>
    </row>
    <row r="1373" spans="1:13" ht="15" customHeight="1" x14ac:dyDescent="0.25">
      <c r="A1373" s="2"/>
      <c r="B1373" s="2"/>
      <c r="C1373" s="86"/>
      <c r="D1373" s="35"/>
      <c r="E1373" s="32"/>
      <c r="F1373" s="34"/>
      <c r="G1373" s="34"/>
      <c r="I1373" s="6"/>
      <c r="J1373" s="64"/>
      <c r="K1373" s="60"/>
      <c r="L1373" s="60"/>
      <c r="M1373" s="60"/>
    </row>
    <row r="1374" spans="1:13" ht="15" customHeight="1" x14ac:dyDescent="0.25">
      <c r="A1374" s="2"/>
      <c r="B1374" s="2"/>
      <c r="C1374" s="86"/>
      <c r="D1374" s="35"/>
      <c r="E1374" s="32"/>
      <c r="F1374" s="34"/>
      <c r="G1374" s="34"/>
      <c r="I1374" s="6"/>
      <c r="J1374" s="64"/>
      <c r="K1374" s="60"/>
      <c r="L1374" s="60"/>
      <c r="M1374" s="60"/>
    </row>
    <row r="1375" spans="1:13" ht="15" customHeight="1" x14ac:dyDescent="0.25">
      <c r="A1375" s="2"/>
      <c r="B1375" s="2"/>
      <c r="C1375" s="86"/>
      <c r="D1375" s="35"/>
      <c r="E1375" s="32"/>
      <c r="F1375" s="34"/>
      <c r="G1375" s="34"/>
      <c r="I1375" s="6"/>
      <c r="J1375" s="64"/>
      <c r="K1375" s="60"/>
      <c r="L1375" s="60"/>
      <c r="M1375" s="60"/>
    </row>
    <row r="1376" spans="1:13" ht="15" customHeight="1" x14ac:dyDescent="0.25">
      <c r="A1376" s="2"/>
      <c r="B1376" s="2"/>
      <c r="C1376" s="91"/>
      <c r="D1376" s="35"/>
      <c r="E1376" s="32"/>
      <c r="F1376" s="34"/>
      <c r="G1376" s="34"/>
      <c r="I1376" s="6"/>
      <c r="J1376" s="64"/>
      <c r="K1376" s="60"/>
      <c r="L1376" s="60"/>
      <c r="M1376" s="60"/>
    </row>
    <row r="1377" spans="1:13" ht="15" customHeight="1" x14ac:dyDescent="0.25">
      <c r="A1377" s="2"/>
      <c r="B1377" s="2"/>
      <c r="C1377" s="93"/>
      <c r="D1377" s="35"/>
      <c r="E1377" s="32"/>
      <c r="F1377" s="34"/>
      <c r="G1377" s="34"/>
      <c r="I1377" s="6"/>
      <c r="J1377" s="64"/>
      <c r="K1377" s="60"/>
      <c r="L1377" s="60"/>
      <c r="M1377" s="60"/>
    </row>
    <row r="1378" spans="1:13" ht="15" customHeight="1" x14ac:dyDescent="0.25">
      <c r="A1378" s="2"/>
      <c r="B1378" s="2"/>
      <c r="C1378" s="90"/>
      <c r="D1378" s="35"/>
      <c r="E1378" s="32"/>
      <c r="F1378" s="34"/>
      <c r="G1378" s="34"/>
      <c r="I1378" s="6"/>
      <c r="J1378" s="64"/>
      <c r="K1378" s="60"/>
      <c r="L1378" s="60"/>
      <c r="M1378" s="60"/>
    </row>
    <row r="1379" spans="1:13" ht="15" customHeight="1" x14ac:dyDescent="0.25">
      <c r="A1379" s="2"/>
      <c r="B1379" s="2"/>
      <c r="C1379" s="92"/>
      <c r="D1379" s="35"/>
      <c r="E1379" s="32"/>
      <c r="F1379" s="26"/>
      <c r="G1379" s="34"/>
      <c r="I1379" s="6"/>
      <c r="J1379" s="64"/>
      <c r="K1379" s="61"/>
      <c r="L1379" s="61"/>
      <c r="M1379" s="61"/>
    </row>
    <row r="1380" spans="1:13" ht="15" customHeight="1" x14ac:dyDescent="0.25">
      <c r="A1380" s="2"/>
      <c r="B1380" s="2"/>
      <c r="C1380" s="86"/>
      <c r="D1380" s="35"/>
      <c r="E1380" s="32"/>
      <c r="F1380" s="26"/>
      <c r="G1380" s="26"/>
      <c r="H1380" s="26"/>
      <c r="I1380" s="6"/>
      <c r="J1380" s="59"/>
      <c r="K1380" s="60"/>
      <c r="L1380" s="60"/>
      <c r="M1380" s="59"/>
    </row>
    <row r="1381" spans="1:13" ht="15" customHeight="1" x14ac:dyDescent="0.25">
      <c r="A1381" s="2"/>
      <c r="B1381" s="2"/>
      <c r="C1381" s="86"/>
      <c r="D1381" s="35"/>
      <c r="E1381" s="32"/>
      <c r="F1381" s="34"/>
      <c r="G1381" s="26"/>
      <c r="I1381" s="6"/>
      <c r="J1381" s="55"/>
      <c r="K1381" s="60"/>
      <c r="L1381" s="60"/>
      <c r="M1381" s="59"/>
    </row>
    <row r="1382" spans="1:13" ht="15" customHeight="1" x14ac:dyDescent="0.25">
      <c r="A1382" s="2"/>
      <c r="B1382" s="2"/>
      <c r="C1382" s="92"/>
      <c r="D1382" s="35"/>
      <c r="E1382" s="32"/>
      <c r="F1382" s="34"/>
      <c r="G1382" s="34"/>
      <c r="I1382" s="6"/>
      <c r="J1382" s="55"/>
      <c r="K1382" s="59"/>
      <c r="L1382" s="60"/>
      <c r="M1382" s="59"/>
    </row>
    <row r="1383" spans="1:13" ht="15" customHeight="1" x14ac:dyDescent="0.25">
      <c r="A1383" s="2"/>
      <c r="B1383" s="2"/>
      <c r="C1383" s="86"/>
      <c r="D1383" s="35"/>
      <c r="E1383" s="32"/>
      <c r="F1383" s="34"/>
      <c r="G1383" s="34"/>
      <c r="I1383" s="6"/>
      <c r="J1383" s="66"/>
      <c r="K1383" s="59"/>
      <c r="L1383" s="59"/>
      <c r="M1383" s="59"/>
    </row>
    <row r="1384" spans="1:13" ht="15" customHeight="1" x14ac:dyDescent="0.25">
      <c r="A1384" s="2"/>
      <c r="B1384" s="2"/>
      <c r="C1384" s="86"/>
      <c r="D1384" s="37"/>
      <c r="E1384" s="32"/>
      <c r="F1384" s="34"/>
      <c r="G1384" s="34"/>
      <c r="I1384" s="6"/>
      <c r="J1384" s="55"/>
      <c r="K1384" s="60"/>
      <c r="L1384" s="60"/>
      <c r="M1384" s="60"/>
    </row>
    <row r="1385" spans="1:13" ht="15" customHeight="1" x14ac:dyDescent="0.25">
      <c r="A1385" s="2"/>
      <c r="B1385" s="2"/>
      <c r="C1385" s="86"/>
      <c r="D1385" s="37"/>
      <c r="E1385" s="32"/>
      <c r="F1385" s="34"/>
      <c r="G1385" s="34"/>
      <c r="I1385" s="6"/>
      <c r="J1385" s="60"/>
      <c r="K1385" s="60"/>
      <c r="L1385" s="60"/>
      <c r="M1385" s="60"/>
    </row>
    <row r="1386" spans="1:13" ht="15" customHeight="1" x14ac:dyDescent="0.25">
      <c r="A1386" s="2"/>
      <c r="B1386" s="2"/>
      <c r="C1386" s="86"/>
      <c r="D1386" s="35"/>
      <c r="E1386" s="32"/>
      <c r="F1386" s="34"/>
      <c r="G1386" s="34"/>
      <c r="I1386" s="6"/>
      <c r="J1386" s="60"/>
      <c r="K1386" s="60"/>
      <c r="L1386" s="60"/>
      <c r="M1386" s="60"/>
    </row>
    <row r="1387" spans="1:13" ht="15" customHeight="1" x14ac:dyDescent="0.25">
      <c r="A1387" s="2"/>
      <c r="B1387" s="2"/>
      <c r="C1387" s="86"/>
      <c r="D1387" s="35"/>
      <c r="E1387" s="32"/>
      <c r="F1387" s="34"/>
      <c r="G1387" s="34"/>
      <c r="I1387" s="6"/>
      <c r="J1387" s="60"/>
      <c r="K1387" s="60"/>
      <c r="L1387" s="60"/>
      <c r="M1387" s="60"/>
    </row>
    <row r="1388" spans="1:13" ht="15" customHeight="1" x14ac:dyDescent="0.25">
      <c r="A1388" s="2"/>
      <c r="B1388" s="2"/>
      <c r="C1388" s="86"/>
      <c r="D1388" s="35"/>
      <c r="E1388" s="32"/>
      <c r="F1388" s="34"/>
      <c r="G1388" s="34"/>
      <c r="I1388" s="6"/>
      <c r="J1388" s="64"/>
      <c r="K1388" s="61"/>
      <c r="L1388" s="61"/>
      <c r="M1388" s="61"/>
    </row>
    <row r="1389" spans="1:13" ht="15" customHeight="1" x14ac:dyDescent="0.25">
      <c r="A1389" s="2"/>
      <c r="B1389" s="2"/>
      <c r="C1389" s="86"/>
      <c r="D1389" s="35"/>
      <c r="E1389" s="32"/>
      <c r="F1389" s="34"/>
      <c r="G1389" s="34"/>
      <c r="I1389" s="6"/>
      <c r="J1389" s="62"/>
      <c r="K1389" s="60"/>
      <c r="L1389" s="60"/>
      <c r="M1389" s="62"/>
    </row>
    <row r="1390" spans="1:13" ht="15" customHeight="1" x14ac:dyDescent="0.25">
      <c r="A1390" s="2"/>
      <c r="B1390" s="2"/>
      <c r="C1390" s="86"/>
      <c r="D1390" s="35"/>
      <c r="E1390" s="32"/>
      <c r="F1390" s="34"/>
      <c r="G1390" s="34"/>
      <c r="I1390" s="6"/>
      <c r="J1390" s="55"/>
      <c r="K1390" s="60"/>
      <c r="L1390" s="60"/>
      <c r="M1390" s="62"/>
    </row>
    <row r="1391" spans="1:13" ht="15" customHeight="1" x14ac:dyDescent="0.25">
      <c r="A1391" s="2"/>
      <c r="B1391" s="2"/>
      <c r="C1391" s="86"/>
      <c r="D1391" s="35"/>
      <c r="E1391" s="32"/>
      <c r="F1391" s="34"/>
      <c r="G1391" s="34"/>
      <c r="I1391" s="6"/>
      <c r="J1391" s="55"/>
      <c r="K1391" s="62"/>
      <c r="L1391" s="60"/>
      <c r="M1391" s="62"/>
    </row>
    <row r="1392" spans="1:13" ht="15" customHeight="1" x14ac:dyDescent="0.25">
      <c r="A1392" s="2"/>
      <c r="B1392" s="2"/>
      <c r="C1392" s="92"/>
      <c r="D1392" s="35"/>
      <c r="E1392" s="32"/>
      <c r="F1392" s="34"/>
      <c r="G1392" s="34"/>
      <c r="I1392" s="6"/>
      <c r="J1392" s="57"/>
      <c r="K1392" s="62"/>
      <c r="L1392" s="62"/>
      <c r="M1392" s="62"/>
    </row>
    <row r="1393" spans="1:13" ht="15" customHeight="1" x14ac:dyDescent="0.25">
      <c r="A1393" s="2"/>
      <c r="B1393" s="2"/>
      <c r="C1393" s="86"/>
      <c r="D1393" s="35"/>
      <c r="E1393" s="32"/>
      <c r="F1393" s="34"/>
      <c r="G1393" s="34"/>
      <c r="I1393" s="6"/>
      <c r="J1393" s="55"/>
      <c r="K1393" s="60"/>
      <c r="L1393" s="60"/>
      <c r="M1393" s="60"/>
    </row>
    <row r="1394" spans="1:13" ht="15" customHeight="1" x14ac:dyDescent="0.25">
      <c r="A1394" s="2"/>
      <c r="B1394" s="2"/>
      <c r="C1394" s="86"/>
      <c r="D1394" s="35"/>
      <c r="E1394" s="32"/>
      <c r="F1394" s="34"/>
      <c r="G1394" s="34"/>
      <c r="I1394" s="6"/>
      <c r="J1394" s="64"/>
      <c r="K1394" s="60"/>
      <c r="L1394" s="60"/>
      <c r="M1394" s="60"/>
    </row>
    <row r="1395" spans="1:13" ht="15" customHeight="1" x14ac:dyDescent="0.25">
      <c r="A1395" s="2"/>
      <c r="B1395" s="2"/>
      <c r="C1395" s="86"/>
      <c r="D1395" s="35"/>
      <c r="E1395" s="32"/>
      <c r="F1395" s="34"/>
      <c r="G1395" s="34"/>
      <c r="I1395" s="6"/>
      <c r="J1395" s="64"/>
      <c r="K1395" s="60"/>
      <c r="L1395" s="60"/>
      <c r="M1395" s="60"/>
    </row>
    <row r="1396" spans="1:13" ht="15" customHeight="1" x14ac:dyDescent="0.25">
      <c r="A1396" s="2"/>
      <c r="B1396" s="2"/>
      <c r="C1396" s="86"/>
      <c r="D1396" s="35"/>
      <c r="E1396" s="32"/>
      <c r="F1396" s="34"/>
      <c r="G1396" s="34"/>
      <c r="I1396" s="6"/>
      <c r="J1396" s="64"/>
      <c r="K1396" s="60"/>
      <c r="L1396" s="60"/>
      <c r="M1396" s="60"/>
    </row>
    <row r="1397" spans="1:13" ht="15" customHeight="1" x14ac:dyDescent="0.25">
      <c r="A1397" s="2"/>
      <c r="B1397" s="2"/>
      <c r="C1397" s="86"/>
      <c r="D1397" s="35"/>
      <c r="E1397" s="32"/>
      <c r="F1397" s="34"/>
      <c r="G1397" s="34"/>
      <c r="I1397" s="6"/>
      <c r="J1397" s="64"/>
      <c r="K1397" s="60"/>
      <c r="L1397" s="60"/>
      <c r="M1397" s="60"/>
    </row>
    <row r="1398" spans="1:13" ht="15" customHeight="1" x14ac:dyDescent="0.25">
      <c r="A1398" s="2"/>
      <c r="B1398" s="2"/>
      <c r="C1398" s="92"/>
      <c r="D1398" s="35"/>
      <c r="E1398" s="32"/>
      <c r="F1398" s="34"/>
      <c r="G1398" s="34"/>
      <c r="I1398" s="6"/>
      <c r="J1398" s="60"/>
      <c r="K1398" s="60"/>
      <c r="L1398" s="60"/>
      <c r="M1398" s="60"/>
    </row>
    <row r="1399" spans="1:13" ht="15" customHeight="1" x14ac:dyDescent="0.25">
      <c r="A1399" s="2"/>
      <c r="B1399" s="2"/>
      <c r="C1399" s="86"/>
      <c r="D1399" s="35"/>
      <c r="E1399" s="32"/>
      <c r="F1399" s="34"/>
      <c r="G1399" s="34"/>
      <c r="I1399" s="6"/>
      <c r="J1399" s="60"/>
      <c r="K1399" s="60"/>
      <c r="L1399" s="60"/>
      <c r="M1399" s="60"/>
    </row>
    <row r="1400" spans="1:13" ht="15" customHeight="1" x14ac:dyDescent="0.25">
      <c r="A1400" s="2"/>
      <c r="B1400" s="2"/>
      <c r="C1400" s="86"/>
      <c r="D1400" s="35"/>
      <c r="E1400" s="32"/>
      <c r="F1400" s="34"/>
      <c r="G1400" s="34"/>
      <c r="I1400" s="3"/>
      <c r="J1400" s="60"/>
      <c r="K1400" s="60"/>
      <c r="L1400" s="60"/>
      <c r="M1400" s="60"/>
    </row>
    <row r="1401" spans="1:13" ht="15" customHeight="1" x14ac:dyDescent="0.25">
      <c r="A1401" s="2"/>
      <c r="B1401" s="2"/>
      <c r="C1401" s="86"/>
      <c r="D1401" s="35"/>
      <c r="E1401" s="32"/>
      <c r="F1401" s="34"/>
      <c r="G1401" s="34"/>
      <c r="I1401" s="3"/>
      <c r="J1401" s="60"/>
      <c r="K1401" s="60"/>
      <c r="L1401" s="60"/>
      <c r="M1401" s="60"/>
    </row>
    <row r="1402" spans="1:13" ht="15" customHeight="1" x14ac:dyDescent="0.25">
      <c r="A1402" s="2"/>
      <c r="B1402" s="2"/>
      <c r="C1402" s="86"/>
      <c r="D1402" s="35"/>
      <c r="E1402" s="32"/>
      <c r="F1402" s="34"/>
      <c r="G1402" s="34"/>
      <c r="I1402" s="3"/>
      <c r="J1402" s="60"/>
      <c r="K1402" s="60"/>
      <c r="L1402" s="60"/>
      <c r="M1402" s="60"/>
    </row>
    <row r="1403" spans="1:13" ht="15" customHeight="1" x14ac:dyDescent="0.25">
      <c r="A1403" s="2"/>
      <c r="B1403" s="2"/>
      <c r="C1403" s="92"/>
      <c r="D1403" s="35"/>
      <c r="E1403" s="32"/>
      <c r="F1403" s="34"/>
      <c r="G1403" s="34"/>
      <c r="I1403" s="3"/>
      <c r="J1403" s="60"/>
      <c r="K1403" s="60"/>
      <c r="L1403" s="60"/>
      <c r="M1403" s="60"/>
    </row>
    <row r="1404" spans="1:13" ht="15" customHeight="1" x14ac:dyDescent="0.25">
      <c r="A1404" s="2"/>
      <c r="B1404" s="2"/>
      <c r="C1404" s="92"/>
      <c r="D1404" s="35"/>
      <c r="E1404" s="32"/>
      <c r="F1404" s="34"/>
      <c r="G1404" s="34"/>
      <c r="I1404" s="3"/>
      <c r="J1404" s="60"/>
      <c r="K1404" s="60"/>
      <c r="L1404" s="60"/>
      <c r="M1404" s="60"/>
    </row>
    <row r="1405" spans="1:13" ht="15" customHeight="1" x14ac:dyDescent="0.25">
      <c r="A1405" s="2"/>
      <c r="B1405" s="2"/>
      <c r="C1405" s="86"/>
      <c r="D1405" s="35"/>
      <c r="E1405" s="32"/>
      <c r="F1405" s="34"/>
      <c r="G1405" s="34"/>
      <c r="I1405" s="3"/>
      <c r="J1405" s="64"/>
      <c r="K1405" s="60"/>
      <c r="L1405" s="60"/>
      <c r="M1405" s="60"/>
    </row>
    <row r="1406" spans="1:13" ht="15" customHeight="1" x14ac:dyDescent="0.25">
      <c r="A1406" s="2"/>
      <c r="B1406" s="2"/>
      <c r="C1406" s="86"/>
      <c r="D1406" s="35"/>
      <c r="E1406" s="32"/>
      <c r="F1406" s="34"/>
      <c r="G1406" s="34"/>
      <c r="I1406" s="3"/>
      <c r="J1406" s="60"/>
      <c r="K1406" s="60"/>
      <c r="L1406" s="60"/>
      <c r="M1406" s="60"/>
    </row>
    <row r="1407" spans="1:13" ht="15" customHeight="1" x14ac:dyDescent="0.25">
      <c r="A1407" s="2"/>
      <c r="B1407" s="2"/>
      <c r="C1407" s="92"/>
      <c r="D1407" s="35"/>
      <c r="E1407" s="32"/>
      <c r="F1407" s="34"/>
      <c r="G1407" s="34"/>
      <c r="I1407" s="3"/>
      <c r="J1407" s="60"/>
      <c r="K1407" s="60"/>
      <c r="L1407" s="60"/>
      <c r="M1407" s="60"/>
    </row>
    <row r="1408" spans="1:13" ht="15" customHeight="1" x14ac:dyDescent="0.25">
      <c r="A1408" s="2"/>
      <c r="B1408" s="2"/>
      <c r="C1408" s="86"/>
      <c r="D1408" s="35"/>
      <c r="E1408" s="32"/>
      <c r="F1408" s="34"/>
      <c r="G1408" s="34"/>
      <c r="I1408" s="3"/>
      <c r="J1408" s="60"/>
      <c r="K1408" s="61"/>
      <c r="L1408" s="61"/>
      <c r="M1408" s="61"/>
    </row>
    <row r="1409" spans="1:13" ht="15" customHeight="1" x14ac:dyDescent="0.25">
      <c r="A1409" s="2"/>
      <c r="B1409" s="2"/>
      <c r="C1409" s="86"/>
      <c r="D1409" s="35"/>
      <c r="E1409" s="32"/>
      <c r="F1409" s="34"/>
      <c r="G1409" s="34"/>
      <c r="I1409" s="3"/>
      <c r="J1409" s="59"/>
      <c r="K1409" s="60"/>
      <c r="L1409" s="60"/>
      <c r="M1409" s="59"/>
    </row>
    <row r="1410" spans="1:13" ht="15" customHeight="1" x14ac:dyDescent="0.25">
      <c r="A1410" s="2"/>
      <c r="B1410" s="2"/>
      <c r="C1410" s="86"/>
      <c r="D1410" s="35"/>
      <c r="E1410" s="32"/>
      <c r="F1410" s="34"/>
      <c r="G1410" s="34"/>
      <c r="I1410" s="3"/>
      <c r="J1410" s="60"/>
      <c r="K1410" s="60"/>
      <c r="L1410" s="60"/>
      <c r="M1410" s="59"/>
    </row>
    <row r="1411" spans="1:13" ht="15" customHeight="1" x14ac:dyDescent="0.25">
      <c r="A1411" s="2"/>
      <c r="B1411" s="2"/>
      <c r="C1411" s="86"/>
      <c r="D1411" s="35"/>
      <c r="E1411" s="32"/>
      <c r="F1411" s="34"/>
      <c r="G1411" s="34"/>
      <c r="I1411" s="3"/>
      <c r="J1411" s="60"/>
      <c r="K1411" s="60"/>
      <c r="L1411" s="60"/>
      <c r="M1411" s="59"/>
    </row>
    <row r="1412" spans="1:13" ht="15" customHeight="1" x14ac:dyDescent="0.25">
      <c r="A1412" s="2"/>
      <c r="B1412" s="2"/>
      <c r="C1412" s="86"/>
      <c r="D1412" s="35"/>
      <c r="E1412" s="32"/>
      <c r="F1412" s="34"/>
      <c r="G1412" s="34"/>
      <c r="I1412" s="3"/>
      <c r="J1412" s="60"/>
      <c r="K1412" s="60"/>
      <c r="L1412" s="59"/>
      <c r="M1412" s="59"/>
    </row>
    <row r="1413" spans="1:13" ht="15" customHeight="1" x14ac:dyDescent="0.25">
      <c r="A1413" s="2"/>
      <c r="B1413" s="2"/>
      <c r="C1413" s="86"/>
      <c r="D1413" s="35"/>
      <c r="E1413" s="32"/>
      <c r="F1413" s="34"/>
      <c r="G1413" s="34"/>
      <c r="I1413" s="6"/>
      <c r="J1413" s="60"/>
      <c r="K1413" s="60"/>
      <c r="L1413" s="60"/>
      <c r="M1413" s="60"/>
    </row>
    <row r="1414" spans="1:13" ht="15" customHeight="1" x14ac:dyDescent="0.25">
      <c r="A1414" s="2"/>
      <c r="B1414" s="2"/>
      <c r="C1414" s="86"/>
      <c r="D1414" s="35"/>
      <c r="E1414" s="32"/>
      <c r="F1414" s="34"/>
      <c r="G1414" s="34"/>
      <c r="I1414" s="6"/>
      <c r="J1414" s="60"/>
      <c r="K1414" s="60"/>
      <c r="L1414" s="60"/>
      <c r="M1414" s="60"/>
    </row>
    <row r="1415" spans="1:13" ht="15" customHeight="1" x14ac:dyDescent="0.25">
      <c r="A1415" s="2"/>
      <c r="B1415" s="2"/>
      <c r="C1415" s="92"/>
      <c r="D1415" s="35"/>
      <c r="E1415" s="32"/>
      <c r="F1415" s="34"/>
      <c r="G1415" s="34"/>
      <c r="I1415" s="6"/>
      <c r="J1415" s="60"/>
      <c r="K1415" s="60"/>
      <c r="L1415" s="60"/>
      <c r="M1415" s="60"/>
    </row>
    <row r="1416" spans="1:13" ht="15" customHeight="1" x14ac:dyDescent="0.25">
      <c r="A1416" s="2"/>
      <c r="B1416" s="2"/>
      <c r="C1416" s="86"/>
      <c r="D1416" s="35"/>
      <c r="E1416" s="32"/>
      <c r="F1416" s="34"/>
      <c r="G1416" s="34"/>
      <c r="I1416" s="6"/>
      <c r="J1416" s="60"/>
      <c r="K1416" s="60"/>
      <c r="L1416" s="60"/>
      <c r="M1416" s="60"/>
    </row>
    <row r="1417" spans="1:13" ht="15" customHeight="1" x14ac:dyDescent="0.25">
      <c r="A1417" s="2"/>
      <c r="B1417" s="2"/>
      <c r="C1417" s="86"/>
      <c r="D1417" s="35"/>
      <c r="E1417" s="32"/>
      <c r="F1417" s="34"/>
      <c r="G1417" s="34"/>
      <c r="I1417" s="6"/>
      <c r="J1417" s="60"/>
      <c r="K1417" s="60"/>
      <c r="L1417" s="60"/>
      <c r="M1417" s="60"/>
    </row>
    <row r="1418" spans="1:13" ht="15" customHeight="1" x14ac:dyDescent="0.25">
      <c r="A1418" s="2"/>
      <c r="B1418" s="2"/>
      <c r="C1418" s="86"/>
      <c r="D1418" s="35"/>
      <c r="E1418" s="32"/>
      <c r="F1418" s="34"/>
      <c r="G1418" s="34"/>
      <c r="I1418" s="6"/>
      <c r="J1418" s="60"/>
      <c r="K1418" s="60"/>
      <c r="L1418" s="60"/>
      <c r="M1418" s="60"/>
    </row>
    <row r="1419" spans="1:13" ht="15" customHeight="1" x14ac:dyDescent="0.25">
      <c r="A1419" s="2"/>
      <c r="B1419" s="2"/>
      <c r="C1419" s="86"/>
      <c r="D1419" s="35"/>
      <c r="E1419" s="32"/>
      <c r="F1419" s="34"/>
      <c r="G1419" s="34"/>
      <c r="I1419" s="6"/>
      <c r="J1419" s="60"/>
      <c r="K1419" s="74"/>
      <c r="L1419" s="60"/>
      <c r="M1419" s="60"/>
    </row>
    <row r="1420" spans="1:13" ht="15" customHeight="1" x14ac:dyDescent="0.25">
      <c r="A1420" s="2"/>
      <c r="B1420" s="2"/>
      <c r="C1420" s="86"/>
      <c r="D1420" s="35"/>
      <c r="E1420" s="32"/>
      <c r="F1420" s="34"/>
      <c r="G1420" s="34"/>
      <c r="I1420" s="6"/>
      <c r="J1420" s="60"/>
      <c r="K1420" s="74"/>
      <c r="L1420" s="60"/>
      <c r="M1420" s="60"/>
    </row>
    <row r="1421" spans="1:13" ht="15" customHeight="1" x14ac:dyDescent="0.25">
      <c r="A1421" s="2"/>
      <c r="B1421" s="2"/>
      <c r="C1421" s="86"/>
      <c r="D1421" s="35"/>
      <c r="E1421" s="32"/>
      <c r="F1421" s="34"/>
      <c r="G1421" s="34"/>
      <c r="I1421" s="6"/>
      <c r="J1421" s="60"/>
      <c r="K1421" s="74"/>
      <c r="L1421" s="60"/>
      <c r="M1421" s="60"/>
    </row>
    <row r="1422" spans="1:13" ht="15" customHeight="1" x14ac:dyDescent="0.25">
      <c r="A1422" s="2"/>
      <c r="B1422" s="2"/>
      <c r="C1422" s="86"/>
      <c r="D1422" s="35"/>
      <c r="E1422" s="32"/>
      <c r="F1422" s="34"/>
      <c r="G1422" s="34"/>
      <c r="I1422" s="6"/>
      <c r="J1422" s="60"/>
      <c r="K1422" s="74"/>
      <c r="L1422" s="60"/>
      <c r="M1422" s="60"/>
    </row>
    <row r="1423" spans="1:13" ht="15" customHeight="1" x14ac:dyDescent="0.25">
      <c r="A1423" s="2"/>
      <c r="B1423" s="2"/>
      <c r="C1423" s="86"/>
      <c r="D1423" s="35"/>
      <c r="E1423" s="32"/>
      <c r="F1423" s="34"/>
      <c r="G1423" s="34"/>
      <c r="I1423" s="6"/>
      <c r="J1423" s="60"/>
      <c r="K1423" s="74"/>
      <c r="L1423" s="60"/>
      <c r="M1423" s="60"/>
    </row>
    <row r="1424" spans="1:13" ht="15" customHeight="1" x14ac:dyDescent="0.25">
      <c r="A1424" s="2"/>
      <c r="B1424" s="2"/>
      <c r="C1424" s="86"/>
      <c r="D1424" s="35"/>
      <c r="E1424" s="32"/>
      <c r="F1424" s="34"/>
      <c r="G1424" s="34"/>
      <c r="I1424" s="6"/>
      <c r="J1424" s="60"/>
      <c r="K1424" s="74"/>
      <c r="L1424" s="60"/>
      <c r="M1424" s="60"/>
    </row>
    <row r="1425" spans="1:13" ht="15" customHeight="1" x14ac:dyDescent="0.25">
      <c r="A1425" s="2"/>
      <c r="B1425" s="2"/>
      <c r="C1425" s="86"/>
      <c r="D1425" s="35"/>
      <c r="E1425" s="32"/>
      <c r="F1425" s="34"/>
      <c r="G1425" s="34"/>
      <c r="I1425" s="6"/>
      <c r="J1425" s="60"/>
      <c r="K1425" s="60"/>
      <c r="L1425" s="60"/>
      <c r="M1425" s="60"/>
    </row>
    <row r="1426" spans="1:13" ht="15" customHeight="1" x14ac:dyDescent="0.25">
      <c r="A1426" s="2"/>
      <c r="B1426" s="2"/>
      <c r="C1426" s="86"/>
      <c r="D1426" s="35"/>
      <c r="E1426" s="32"/>
      <c r="F1426" s="34"/>
      <c r="G1426" s="34"/>
      <c r="I1426" s="6"/>
      <c r="J1426" s="60"/>
      <c r="K1426" s="74"/>
      <c r="L1426" s="61"/>
      <c r="M1426" s="61"/>
    </row>
    <row r="1427" spans="1:13" ht="15" customHeight="1" x14ac:dyDescent="0.25">
      <c r="A1427" s="2"/>
      <c r="B1427" s="2"/>
      <c r="C1427" s="86"/>
      <c r="D1427" s="35"/>
      <c r="E1427" s="32"/>
      <c r="F1427" s="34"/>
      <c r="G1427" s="34"/>
      <c r="I1427" s="6"/>
      <c r="J1427" s="60"/>
      <c r="K1427" s="74"/>
      <c r="L1427" s="60"/>
      <c r="M1427" s="62"/>
    </row>
    <row r="1428" spans="1:13" ht="15" customHeight="1" x14ac:dyDescent="0.25">
      <c r="A1428" s="2"/>
      <c r="B1428" s="2"/>
      <c r="C1428" s="86"/>
      <c r="D1428" s="35"/>
      <c r="E1428" s="32"/>
      <c r="F1428" s="34"/>
      <c r="G1428" s="34"/>
      <c r="I1428" s="6"/>
      <c r="J1428" s="60"/>
      <c r="K1428" s="74"/>
      <c r="L1428" s="61"/>
      <c r="M1428" s="61"/>
    </row>
    <row r="1429" spans="1:13" ht="15" customHeight="1" x14ac:dyDescent="0.25">
      <c r="A1429" s="2"/>
      <c r="B1429" s="2"/>
      <c r="C1429" s="86"/>
      <c r="D1429" s="35"/>
      <c r="E1429" s="32"/>
      <c r="F1429" s="34"/>
      <c r="G1429" s="34"/>
      <c r="I1429" s="6"/>
      <c r="J1429" s="60"/>
      <c r="K1429" s="74"/>
      <c r="L1429" s="60"/>
      <c r="M1429" s="62"/>
    </row>
    <row r="1430" spans="1:13" ht="15" customHeight="1" x14ac:dyDescent="0.25">
      <c r="A1430" s="2"/>
      <c r="B1430" s="2"/>
      <c r="C1430" s="86"/>
      <c r="D1430" s="35"/>
      <c r="E1430" s="32"/>
      <c r="F1430" s="34"/>
      <c r="G1430" s="34"/>
      <c r="I1430" s="6"/>
      <c r="J1430" s="60"/>
      <c r="K1430" s="74"/>
      <c r="L1430" s="60"/>
      <c r="M1430" s="62"/>
    </row>
    <row r="1431" spans="1:13" ht="15" customHeight="1" x14ac:dyDescent="0.25">
      <c r="A1431" s="2"/>
      <c r="B1431" s="2"/>
      <c r="C1431" s="86"/>
      <c r="D1431" s="35"/>
      <c r="E1431" s="32"/>
      <c r="F1431" s="34"/>
      <c r="G1431" s="34"/>
      <c r="I1431" s="6"/>
      <c r="J1431" s="60"/>
      <c r="K1431" s="60"/>
      <c r="L1431" s="60"/>
      <c r="M1431" s="62"/>
    </row>
    <row r="1432" spans="1:13" ht="15" customHeight="1" x14ac:dyDescent="0.25">
      <c r="A1432" s="2"/>
      <c r="B1432" s="2"/>
      <c r="C1432" s="86"/>
      <c r="D1432" s="35"/>
      <c r="E1432" s="32"/>
      <c r="F1432" s="34"/>
      <c r="G1432" s="34"/>
      <c r="I1432" s="6"/>
      <c r="J1432" s="64"/>
      <c r="K1432" s="62"/>
      <c r="L1432" s="62"/>
      <c r="M1432" s="62"/>
    </row>
    <row r="1433" spans="1:13" ht="15" customHeight="1" x14ac:dyDescent="0.25">
      <c r="A1433" s="2"/>
      <c r="B1433" s="2"/>
      <c r="C1433" s="92"/>
      <c r="D1433" s="35"/>
      <c r="E1433" s="32"/>
      <c r="F1433" s="34"/>
      <c r="G1433" s="34"/>
      <c r="I1433" s="6"/>
      <c r="J1433" s="55"/>
      <c r="K1433" s="60"/>
      <c r="L1433" s="60"/>
      <c r="M1433" s="60"/>
    </row>
    <row r="1434" spans="1:13" ht="15" customHeight="1" x14ac:dyDescent="0.25">
      <c r="A1434" s="2"/>
      <c r="B1434" s="2"/>
      <c r="C1434" s="86"/>
      <c r="D1434" s="35"/>
      <c r="E1434" s="32"/>
      <c r="F1434" s="34"/>
      <c r="G1434" s="34"/>
      <c r="I1434" s="6"/>
      <c r="J1434" s="60"/>
      <c r="K1434" s="60"/>
      <c r="L1434" s="60"/>
      <c r="M1434" s="60"/>
    </row>
    <row r="1435" spans="1:13" ht="15" customHeight="1" x14ac:dyDescent="0.25">
      <c r="A1435" s="2"/>
      <c r="B1435" s="2"/>
      <c r="C1435" s="86"/>
      <c r="D1435" s="35"/>
      <c r="E1435" s="32"/>
      <c r="F1435" s="34"/>
      <c r="G1435" s="34"/>
      <c r="I1435" s="6"/>
      <c r="J1435" s="60"/>
      <c r="K1435" s="60"/>
      <c r="L1435" s="60"/>
      <c r="M1435" s="60"/>
    </row>
    <row r="1436" spans="1:13" ht="15" customHeight="1" x14ac:dyDescent="0.25">
      <c r="A1436" s="2"/>
      <c r="B1436" s="2"/>
      <c r="C1436" s="86"/>
      <c r="D1436" s="35"/>
      <c r="E1436" s="32"/>
      <c r="F1436" s="34"/>
      <c r="G1436" s="34"/>
      <c r="I1436" s="6"/>
      <c r="J1436" s="64"/>
      <c r="K1436" s="60"/>
      <c r="L1436" s="60"/>
      <c r="M1436" s="60"/>
    </row>
    <row r="1437" spans="1:13" ht="15" customHeight="1" x14ac:dyDescent="0.25">
      <c r="A1437" s="2"/>
      <c r="B1437" s="2"/>
      <c r="C1437" s="86"/>
      <c r="D1437" s="35"/>
      <c r="E1437" s="32"/>
      <c r="F1437" s="34"/>
      <c r="G1437" s="34"/>
      <c r="I1437" s="6"/>
      <c r="J1437" s="60"/>
      <c r="K1437" s="60"/>
      <c r="L1437" s="60"/>
      <c r="M1437" s="60"/>
    </row>
    <row r="1438" spans="1:13" ht="15" customHeight="1" x14ac:dyDescent="0.25">
      <c r="A1438" s="2"/>
      <c r="B1438" s="2"/>
      <c r="C1438" s="86"/>
      <c r="D1438" s="35"/>
      <c r="E1438" s="32"/>
      <c r="F1438" s="34"/>
      <c r="G1438" s="34"/>
      <c r="I1438" s="6"/>
      <c r="J1438" s="60"/>
      <c r="K1438" s="60"/>
      <c r="L1438" s="60"/>
      <c r="M1438" s="60"/>
    </row>
    <row r="1439" spans="1:13" ht="15" customHeight="1" x14ac:dyDescent="0.25">
      <c r="A1439" s="2"/>
      <c r="B1439" s="2"/>
      <c r="C1439" s="92"/>
      <c r="D1439" s="35"/>
      <c r="E1439" s="32"/>
      <c r="F1439" s="34"/>
      <c r="G1439" s="34"/>
      <c r="I1439" s="6"/>
      <c r="J1439" s="60"/>
      <c r="K1439" s="60"/>
      <c r="L1439" s="60"/>
      <c r="M1439" s="60"/>
    </row>
    <row r="1440" spans="1:13" ht="15" customHeight="1" x14ac:dyDescent="0.25">
      <c r="A1440" s="2"/>
      <c r="B1440" s="2"/>
      <c r="C1440" s="86"/>
      <c r="D1440" s="35"/>
      <c r="E1440" s="32"/>
      <c r="F1440" s="34"/>
      <c r="G1440" s="34"/>
      <c r="I1440" s="6"/>
      <c r="J1440" s="60"/>
      <c r="K1440" s="61"/>
      <c r="L1440" s="61"/>
      <c r="M1440" s="61"/>
    </row>
    <row r="1441" spans="1:13" ht="15" customHeight="1" x14ac:dyDescent="0.25">
      <c r="A1441" s="2"/>
      <c r="B1441" s="2"/>
      <c r="C1441" s="86"/>
      <c r="D1441" s="35"/>
      <c r="E1441" s="32"/>
      <c r="F1441" s="34"/>
      <c r="G1441" s="34"/>
      <c r="I1441" s="6"/>
      <c r="J1441" s="62"/>
      <c r="K1441" s="60"/>
      <c r="L1441" s="60"/>
      <c r="M1441" s="62"/>
    </row>
    <row r="1442" spans="1:13" ht="15" customHeight="1" x14ac:dyDescent="0.25">
      <c r="A1442" s="2"/>
      <c r="B1442" s="2"/>
      <c r="C1442" s="86"/>
      <c r="D1442" s="35"/>
      <c r="E1442" s="32"/>
      <c r="F1442" s="34"/>
      <c r="G1442" s="34"/>
      <c r="I1442" s="6"/>
      <c r="J1442" s="55"/>
      <c r="K1442" s="60"/>
      <c r="L1442" s="60"/>
      <c r="M1442" s="62"/>
    </row>
    <row r="1443" spans="1:13" ht="15" customHeight="1" x14ac:dyDescent="0.25">
      <c r="A1443" s="2"/>
      <c r="B1443" s="2"/>
      <c r="C1443" s="86"/>
      <c r="D1443" s="35"/>
      <c r="E1443" s="32"/>
      <c r="F1443" s="34"/>
      <c r="G1443" s="34"/>
      <c r="I1443" s="6"/>
      <c r="J1443" s="55"/>
      <c r="K1443" s="62"/>
      <c r="L1443" s="60"/>
      <c r="M1443" s="62"/>
    </row>
    <row r="1444" spans="1:13" ht="15" customHeight="1" x14ac:dyDescent="0.25">
      <c r="A1444" s="2"/>
      <c r="B1444" s="2"/>
      <c r="C1444" s="86"/>
      <c r="D1444" s="35"/>
      <c r="E1444" s="32"/>
      <c r="F1444" s="34"/>
      <c r="G1444" s="34"/>
      <c r="I1444" s="6"/>
      <c r="J1444" s="57"/>
      <c r="K1444" s="62"/>
      <c r="L1444" s="62"/>
      <c r="M1444" s="62"/>
    </row>
    <row r="1445" spans="1:13" ht="15" customHeight="1" x14ac:dyDescent="0.25">
      <c r="A1445" s="2"/>
      <c r="B1445" s="2"/>
      <c r="C1445" s="86"/>
      <c r="D1445" s="35"/>
      <c r="E1445" s="32"/>
      <c r="F1445" s="34"/>
      <c r="G1445" s="34"/>
      <c r="I1445" s="6"/>
      <c r="J1445" s="55"/>
      <c r="K1445" s="60"/>
      <c r="L1445" s="60"/>
      <c r="M1445" s="60"/>
    </row>
    <row r="1446" spans="1:13" ht="15" customHeight="1" x14ac:dyDescent="0.25">
      <c r="A1446" s="2"/>
      <c r="B1446" s="2"/>
      <c r="C1446" s="86"/>
      <c r="D1446" s="35"/>
      <c r="E1446" s="32"/>
      <c r="F1446" s="34"/>
      <c r="G1446" s="34"/>
      <c r="I1446" s="6"/>
      <c r="J1446" s="60"/>
      <c r="K1446" s="60"/>
      <c r="L1446" s="60"/>
      <c r="M1446" s="60"/>
    </row>
    <row r="1447" spans="1:13" ht="15" customHeight="1" x14ac:dyDescent="0.25">
      <c r="A1447" s="2"/>
      <c r="B1447" s="2"/>
      <c r="C1447" s="86"/>
      <c r="D1447" s="35"/>
      <c r="E1447" s="32"/>
      <c r="F1447" s="34"/>
      <c r="G1447" s="34"/>
      <c r="I1447" s="6"/>
      <c r="J1447" s="60"/>
      <c r="K1447" s="60"/>
      <c r="L1447" s="60"/>
      <c r="M1447" s="60"/>
    </row>
    <row r="1448" spans="1:13" ht="15" customHeight="1" x14ac:dyDescent="0.25">
      <c r="A1448" s="2"/>
      <c r="B1448" s="2"/>
      <c r="C1448" s="86"/>
      <c r="D1448" s="35"/>
      <c r="E1448" s="32"/>
      <c r="F1448" s="34"/>
      <c r="G1448" s="34"/>
      <c r="I1448" s="6"/>
      <c r="J1448" s="60"/>
      <c r="K1448" s="60"/>
      <c r="L1448" s="60"/>
      <c r="M1448" s="60"/>
    </row>
    <row r="1449" spans="1:13" ht="15" customHeight="1" x14ac:dyDescent="0.25">
      <c r="A1449" s="2"/>
      <c r="B1449" s="2"/>
      <c r="C1449" s="92"/>
      <c r="D1449" s="35"/>
      <c r="E1449" s="32"/>
      <c r="F1449" s="34"/>
      <c r="G1449" s="34"/>
      <c r="I1449" s="6"/>
      <c r="J1449" s="60"/>
      <c r="K1449" s="60"/>
      <c r="L1449" s="60"/>
      <c r="M1449" s="60"/>
    </row>
    <row r="1450" spans="1:13" ht="15" customHeight="1" x14ac:dyDescent="0.25">
      <c r="A1450" s="2"/>
      <c r="B1450" s="2"/>
      <c r="C1450" s="86"/>
      <c r="D1450" s="35"/>
      <c r="E1450" s="32"/>
      <c r="F1450" s="34"/>
      <c r="G1450" s="34"/>
      <c r="I1450" s="6"/>
      <c r="J1450" s="60"/>
      <c r="K1450" s="60"/>
      <c r="L1450" s="60"/>
      <c r="M1450" s="60"/>
    </row>
    <row r="1451" spans="1:13" ht="15" customHeight="1" x14ac:dyDescent="0.25">
      <c r="A1451" s="2"/>
      <c r="B1451" s="2"/>
      <c r="C1451" s="92"/>
      <c r="D1451" s="35"/>
      <c r="E1451" s="32"/>
      <c r="F1451" s="34"/>
      <c r="G1451" s="34"/>
      <c r="I1451" s="6"/>
      <c r="J1451" s="60"/>
      <c r="K1451" s="60"/>
      <c r="L1451" s="60"/>
      <c r="M1451" s="60"/>
    </row>
    <row r="1452" spans="1:13" ht="15" customHeight="1" x14ac:dyDescent="0.25">
      <c r="A1452" s="2"/>
      <c r="B1452" s="2"/>
      <c r="C1452" s="92"/>
      <c r="D1452" s="35"/>
      <c r="E1452" s="32"/>
      <c r="F1452" s="34"/>
      <c r="G1452" s="34"/>
      <c r="I1452" s="6"/>
      <c r="J1452" s="60"/>
      <c r="K1452" s="60"/>
      <c r="L1452" s="60"/>
      <c r="M1452" s="60"/>
    </row>
    <row r="1453" spans="1:13" ht="15" customHeight="1" x14ac:dyDescent="0.25">
      <c r="A1453" s="2"/>
      <c r="B1453" s="2"/>
      <c r="C1453" s="86"/>
      <c r="D1453" s="35"/>
      <c r="E1453" s="32"/>
      <c r="F1453" s="34"/>
      <c r="G1453" s="34"/>
      <c r="I1453" s="6"/>
      <c r="J1453" s="60"/>
      <c r="K1453" s="60"/>
      <c r="L1453" s="60"/>
      <c r="M1453" s="60"/>
    </row>
    <row r="1454" spans="1:13" ht="15" customHeight="1" x14ac:dyDescent="0.25">
      <c r="A1454" s="2"/>
      <c r="B1454" s="2"/>
      <c r="C1454" s="86"/>
      <c r="D1454" s="35"/>
      <c r="E1454" s="32"/>
      <c r="F1454" s="34"/>
      <c r="G1454" s="34"/>
      <c r="I1454" s="6"/>
      <c r="J1454" s="60"/>
      <c r="K1454" s="60"/>
      <c r="L1454" s="60"/>
      <c r="M1454" s="60"/>
    </row>
    <row r="1455" spans="1:13" ht="15" customHeight="1" x14ac:dyDescent="0.25">
      <c r="A1455" s="2"/>
      <c r="B1455" s="2"/>
      <c r="C1455" s="86"/>
      <c r="D1455" s="35"/>
      <c r="E1455" s="32"/>
      <c r="F1455" s="34"/>
      <c r="G1455" s="34"/>
      <c r="I1455" s="6"/>
      <c r="J1455" s="64"/>
      <c r="K1455" s="60"/>
      <c r="L1455" s="60"/>
      <c r="M1455" s="60"/>
    </row>
    <row r="1456" spans="1:13" ht="15" customHeight="1" x14ac:dyDescent="0.25">
      <c r="A1456" s="2"/>
      <c r="B1456" s="2"/>
      <c r="C1456" s="86"/>
      <c r="D1456" s="35"/>
      <c r="E1456" s="32"/>
      <c r="F1456" s="34"/>
      <c r="G1456" s="34"/>
      <c r="I1456" s="6"/>
      <c r="J1456" s="64"/>
      <c r="K1456" s="60"/>
      <c r="L1456" s="60"/>
      <c r="M1456" s="60"/>
    </row>
    <row r="1457" spans="1:13" ht="15" customHeight="1" x14ac:dyDescent="0.25">
      <c r="A1457" s="2"/>
      <c r="B1457" s="2"/>
      <c r="C1457" s="86"/>
      <c r="D1457" s="35"/>
      <c r="E1457" s="32"/>
      <c r="F1457" s="34"/>
      <c r="G1457" s="34"/>
      <c r="I1457" s="6"/>
      <c r="J1457" s="64"/>
      <c r="K1457" s="60"/>
      <c r="L1457" s="60"/>
      <c r="M1457" s="60"/>
    </row>
    <row r="1458" spans="1:13" ht="15" customHeight="1" x14ac:dyDescent="0.25">
      <c r="A1458" s="2"/>
      <c r="B1458" s="2"/>
      <c r="C1458" s="86"/>
      <c r="D1458" s="35"/>
      <c r="E1458" s="32"/>
      <c r="F1458" s="34"/>
      <c r="G1458" s="34"/>
      <c r="I1458" s="6"/>
      <c r="J1458" s="60"/>
      <c r="K1458" s="60"/>
      <c r="L1458" s="60"/>
      <c r="M1458" s="60"/>
    </row>
    <row r="1459" spans="1:13" ht="15" customHeight="1" x14ac:dyDescent="0.25">
      <c r="A1459" s="2"/>
      <c r="B1459" s="2"/>
      <c r="C1459" s="86"/>
      <c r="D1459" s="35"/>
      <c r="E1459" s="32"/>
      <c r="F1459" s="34"/>
      <c r="G1459" s="34"/>
      <c r="I1459" s="6"/>
      <c r="J1459" s="60"/>
      <c r="K1459" s="60"/>
      <c r="L1459" s="60"/>
      <c r="M1459" s="60"/>
    </row>
    <row r="1460" spans="1:13" ht="15" customHeight="1" x14ac:dyDescent="0.25">
      <c r="A1460" s="2"/>
      <c r="B1460" s="2"/>
      <c r="C1460" s="86"/>
      <c r="D1460" s="35"/>
      <c r="E1460" s="32"/>
      <c r="F1460" s="34"/>
      <c r="G1460" s="34"/>
      <c r="I1460" s="6"/>
      <c r="J1460" s="64"/>
      <c r="K1460" s="61"/>
      <c r="L1460" s="61"/>
      <c r="M1460" s="61"/>
    </row>
    <row r="1461" spans="1:13" ht="15" customHeight="1" x14ac:dyDescent="0.25">
      <c r="A1461" s="2"/>
      <c r="B1461" s="2"/>
      <c r="C1461" s="86"/>
      <c r="D1461" s="35"/>
      <c r="E1461" s="32"/>
      <c r="F1461" s="34"/>
      <c r="G1461" s="34"/>
      <c r="I1461" s="6"/>
      <c r="J1461" s="59"/>
      <c r="K1461" s="60"/>
      <c r="L1461" s="60"/>
      <c r="M1461" s="59"/>
    </row>
    <row r="1462" spans="1:13" ht="15" customHeight="1" x14ac:dyDescent="0.25">
      <c r="A1462" s="2"/>
      <c r="B1462" s="2"/>
      <c r="C1462" s="86"/>
      <c r="D1462" s="35"/>
      <c r="E1462" s="32"/>
      <c r="F1462" s="34"/>
      <c r="G1462" s="34"/>
      <c r="I1462" s="6"/>
      <c r="J1462" s="55"/>
      <c r="K1462" s="60"/>
      <c r="L1462" s="60"/>
      <c r="M1462" s="59"/>
    </row>
    <row r="1463" spans="1:13" ht="15" customHeight="1" x14ac:dyDescent="0.25">
      <c r="A1463" s="2"/>
      <c r="B1463" s="2"/>
      <c r="C1463" s="92"/>
      <c r="D1463" s="35"/>
      <c r="E1463" s="32"/>
      <c r="F1463" s="34"/>
      <c r="G1463" s="34"/>
      <c r="I1463" s="6"/>
      <c r="J1463" s="55"/>
      <c r="K1463" s="59"/>
      <c r="L1463" s="60"/>
      <c r="M1463" s="59"/>
    </row>
    <row r="1464" spans="1:13" ht="15" customHeight="1" x14ac:dyDescent="0.25">
      <c r="A1464" s="2"/>
      <c r="B1464" s="2"/>
      <c r="C1464" s="86"/>
      <c r="D1464" s="35"/>
      <c r="E1464" s="32"/>
      <c r="F1464" s="34"/>
      <c r="G1464" s="34"/>
      <c r="I1464" s="6"/>
      <c r="J1464" s="66"/>
      <c r="K1464" s="59"/>
      <c r="L1464" s="59"/>
      <c r="M1464" s="59"/>
    </row>
    <row r="1465" spans="1:13" ht="15" customHeight="1" x14ac:dyDescent="0.25">
      <c r="A1465" s="2"/>
      <c r="B1465" s="2"/>
      <c r="C1465" s="86"/>
      <c r="D1465" s="35"/>
      <c r="E1465" s="32"/>
      <c r="F1465" s="34"/>
      <c r="G1465" s="34"/>
      <c r="I1465" s="6"/>
      <c r="J1465" s="55"/>
      <c r="K1465" s="60"/>
      <c r="L1465" s="60"/>
      <c r="M1465" s="60"/>
    </row>
    <row r="1466" spans="1:13" ht="15" customHeight="1" x14ac:dyDescent="0.25">
      <c r="A1466" s="2"/>
      <c r="B1466" s="2"/>
      <c r="C1466" s="86"/>
      <c r="D1466" s="35"/>
      <c r="E1466" s="32"/>
      <c r="F1466" s="34"/>
      <c r="G1466" s="34"/>
      <c r="I1466" s="6"/>
      <c r="J1466" s="64"/>
      <c r="K1466" s="60"/>
      <c r="L1466" s="60"/>
      <c r="M1466" s="60"/>
    </row>
    <row r="1467" spans="1:13" ht="15" customHeight="1" x14ac:dyDescent="0.25">
      <c r="A1467" s="2"/>
      <c r="B1467" s="2"/>
      <c r="C1467" s="86"/>
      <c r="D1467" s="35"/>
      <c r="E1467" s="32"/>
      <c r="F1467" s="34"/>
      <c r="G1467" s="34"/>
      <c r="I1467" s="6"/>
      <c r="J1467" s="64"/>
      <c r="K1467" s="60"/>
      <c r="L1467" s="60"/>
      <c r="M1467" s="60"/>
    </row>
    <row r="1468" spans="1:13" ht="15" customHeight="1" x14ac:dyDescent="0.25">
      <c r="A1468" s="2"/>
      <c r="B1468" s="2"/>
      <c r="C1468" s="86"/>
      <c r="D1468" s="35"/>
      <c r="E1468" s="32"/>
      <c r="F1468" s="34"/>
      <c r="G1468" s="34"/>
      <c r="I1468" s="6"/>
      <c r="J1468" s="64"/>
      <c r="K1468" s="60"/>
      <c r="L1468" s="60"/>
      <c r="M1468" s="60"/>
    </row>
    <row r="1469" spans="1:13" ht="15" customHeight="1" x14ac:dyDescent="0.25">
      <c r="A1469" s="2"/>
      <c r="B1469" s="2"/>
      <c r="C1469" s="92"/>
      <c r="D1469" s="35"/>
      <c r="E1469" s="32"/>
      <c r="F1469" s="34"/>
      <c r="G1469" s="34"/>
      <c r="I1469" s="6"/>
      <c r="J1469" s="64"/>
      <c r="K1469" s="60"/>
      <c r="L1469" s="60"/>
      <c r="M1469" s="60"/>
    </row>
    <row r="1470" spans="1:13" ht="15" customHeight="1" x14ac:dyDescent="0.25">
      <c r="A1470" s="2"/>
      <c r="B1470" s="2"/>
      <c r="C1470" s="92"/>
      <c r="D1470" s="35"/>
      <c r="E1470" s="32"/>
      <c r="F1470" s="34"/>
      <c r="G1470" s="34"/>
      <c r="I1470" s="6"/>
      <c r="J1470" s="64"/>
      <c r="K1470" s="60"/>
      <c r="L1470" s="60"/>
      <c r="M1470" s="60"/>
    </row>
    <row r="1471" spans="1:13" ht="15" customHeight="1" x14ac:dyDescent="0.25">
      <c r="A1471" s="2"/>
      <c r="B1471" s="2"/>
      <c r="C1471" s="92"/>
      <c r="D1471" s="35"/>
      <c r="E1471" s="32"/>
      <c r="F1471" s="26"/>
      <c r="G1471" s="34"/>
      <c r="I1471" s="6"/>
      <c r="J1471" s="64"/>
      <c r="K1471" s="61"/>
      <c r="L1471" s="61"/>
      <c r="M1471" s="61"/>
    </row>
    <row r="1472" spans="1:13" ht="15" customHeight="1" x14ac:dyDescent="0.25">
      <c r="A1472" s="2"/>
      <c r="B1472" s="2"/>
      <c r="C1472" s="92"/>
      <c r="D1472" s="35"/>
      <c r="E1472" s="32"/>
      <c r="F1472" s="26"/>
      <c r="G1472" s="26"/>
      <c r="H1472" s="26"/>
      <c r="I1472" s="6"/>
      <c r="J1472" s="59"/>
      <c r="K1472" s="60"/>
      <c r="L1472" s="60"/>
      <c r="M1472" s="59"/>
    </row>
    <row r="1473" spans="1:13" ht="15" customHeight="1" x14ac:dyDescent="0.25">
      <c r="A1473" s="2"/>
      <c r="B1473" s="2"/>
      <c r="C1473" s="92"/>
      <c r="D1473" s="35"/>
      <c r="E1473" s="32"/>
      <c r="F1473" s="26"/>
      <c r="G1473" s="26"/>
      <c r="I1473" s="6"/>
      <c r="J1473" s="55"/>
      <c r="K1473" s="60"/>
      <c r="L1473" s="60"/>
      <c r="M1473" s="59"/>
    </row>
    <row r="1474" spans="1:13" ht="15" customHeight="1" x14ac:dyDescent="0.25">
      <c r="A1474" s="2"/>
      <c r="B1474" s="2"/>
      <c r="C1474" s="92"/>
      <c r="D1474" s="35"/>
      <c r="E1474" s="32"/>
      <c r="F1474" s="26"/>
      <c r="G1474" s="26"/>
      <c r="I1474" s="3"/>
      <c r="J1474" s="55"/>
      <c r="K1474" s="59"/>
      <c r="L1474" s="60"/>
      <c r="M1474" s="59"/>
    </row>
    <row r="1475" spans="1:13" ht="15" customHeight="1" x14ac:dyDescent="0.25">
      <c r="A1475" s="2"/>
      <c r="B1475" s="2"/>
      <c r="C1475" s="92"/>
      <c r="D1475" s="35"/>
      <c r="E1475" s="32"/>
      <c r="F1475" s="26"/>
      <c r="G1475" s="26"/>
      <c r="I1475" s="6"/>
      <c r="J1475" s="66"/>
      <c r="K1475" s="59"/>
      <c r="L1475" s="59"/>
      <c r="M1475" s="59"/>
    </row>
    <row r="1476" spans="1:13" ht="15" customHeight="1" x14ac:dyDescent="0.25">
      <c r="A1476" s="2"/>
      <c r="B1476" s="2"/>
      <c r="C1476" s="92"/>
      <c r="D1476" s="37"/>
      <c r="E1476" s="32"/>
      <c r="F1476" s="26"/>
      <c r="G1476" s="26"/>
      <c r="I1476" s="6"/>
      <c r="J1476" s="55"/>
      <c r="K1476" s="60"/>
      <c r="L1476" s="60"/>
      <c r="M1476" s="60"/>
    </row>
    <row r="1477" spans="1:13" ht="15" customHeight="1" x14ac:dyDescent="0.25">
      <c r="A1477" s="2"/>
      <c r="B1477" s="2"/>
      <c r="C1477" s="92"/>
      <c r="D1477" s="37"/>
      <c r="E1477" s="32"/>
      <c r="F1477" s="26"/>
      <c r="G1477" s="26"/>
      <c r="I1477" s="6"/>
      <c r="J1477" s="60"/>
      <c r="K1477" s="60"/>
      <c r="L1477" s="60"/>
      <c r="M1477" s="60"/>
    </row>
    <row r="1478" spans="1:13" ht="15" customHeight="1" x14ac:dyDescent="0.25">
      <c r="A1478" s="2"/>
      <c r="B1478" s="2"/>
      <c r="C1478" s="92"/>
      <c r="D1478" s="37"/>
      <c r="E1478" s="32"/>
      <c r="F1478" s="26"/>
      <c r="G1478" s="26"/>
      <c r="I1478" s="6"/>
      <c r="J1478" s="60"/>
      <c r="K1478" s="60"/>
      <c r="L1478" s="60"/>
      <c r="M1478" s="60"/>
    </row>
    <row r="1479" spans="1:13" ht="15" customHeight="1" x14ac:dyDescent="0.25">
      <c r="A1479" s="2"/>
      <c r="B1479" s="2"/>
      <c r="C1479" s="92"/>
      <c r="D1479" s="37"/>
      <c r="E1479" s="32"/>
      <c r="F1479" s="26"/>
      <c r="G1479" s="26"/>
      <c r="I1479" s="6"/>
      <c r="J1479" s="60"/>
      <c r="K1479" s="61"/>
      <c r="L1479" s="61"/>
      <c r="M1479" s="61"/>
    </row>
    <row r="1480" spans="1:13" ht="15" customHeight="1" x14ac:dyDescent="0.25">
      <c r="A1480" s="2"/>
      <c r="B1480" s="2"/>
      <c r="C1480" s="92"/>
      <c r="D1480" s="37"/>
      <c r="E1480" s="32"/>
      <c r="F1480" s="26"/>
      <c r="G1480" s="26"/>
      <c r="I1480" s="6"/>
      <c r="J1480" s="62"/>
      <c r="K1480" s="60"/>
      <c r="L1480" s="60"/>
      <c r="M1480" s="62"/>
    </row>
    <row r="1481" spans="1:13" ht="15" customHeight="1" x14ac:dyDescent="0.25">
      <c r="A1481" s="2"/>
      <c r="B1481" s="2"/>
      <c r="C1481" s="92"/>
      <c r="D1481" s="37"/>
      <c r="E1481" s="32"/>
      <c r="F1481" s="26"/>
      <c r="G1481" s="26"/>
      <c r="I1481" s="6"/>
      <c r="J1481" s="55"/>
      <c r="K1481" s="60"/>
      <c r="L1481" s="60"/>
      <c r="M1481" s="62"/>
    </row>
    <row r="1482" spans="1:13" ht="15" customHeight="1" x14ac:dyDescent="0.25">
      <c r="A1482" s="2"/>
      <c r="B1482" s="2"/>
      <c r="C1482" s="92"/>
      <c r="D1482" s="37"/>
      <c r="E1482" s="32"/>
      <c r="F1482" s="26"/>
      <c r="G1482" s="26"/>
      <c r="I1482" s="6"/>
      <c r="J1482" s="55"/>
      <c r="K1482" s="62"/>
      <c r="L1482" s="60"/>
      <c r="M1482" s="62"/>
    </row>
    <row r="1483" spans="1:13" ht="15" customHeight="1" x14ac:dyDescent="0.25">
      <c r="A1483" s="2"/>
      <c r="B1483" s="2"/>
      <c r="C1483" s="92"/>
      <c r="D1483" s="37"/>
      <c r="E1483" s="32"/>
      <c r="F1483" s="26"/>
      <c r="G1483" s="26"/>
      <c r="I1483" s="6"/>
      <c r="J1483" s="57"/>
      <c r="K1483" s="62"/>
      <c r="L1483" s="62"/>
      <c r="M1483" s="62"/>
    </row>
    <row r="1484" spans="1:13" ht="15" customHeight="1" x14ac:dyDescent="0.25">
      <c r="A1484" s="2"/>
      <c r="B1484" s="2"/>
      <c r="C1484" s="92"/>
      <c r="D1484" s="37"/>
      <c r="E1484" s="32"/>
      <c r="F1484" s="26"/>
      <c r="G1484" s="26"/>
      <c r="I1484" s="6"/>
      <c r="J1484" s="55"/>
      <c r="K1484" s="61"/>
      <c r="L1484" s="61"/>
      <c r="M1484" s="61"/>
    </row>
    <row r="1485" spans="1:13" ht="15" customHeight="1" x14ac:dyDescent="0.25">
      <c r="A1485" s="2"/>
      <c r="B1485" s="2"/>
      <c r="C1485" s="92"/>
      <c r="D1485" s="37"/>
      <c r="E1485" s="32"/>
      <c r="F1485" s="26"/>
      <c r="G1485" s="26"/>
      <c r="I1485" s="6"/>
      <c r="J1485" s="62"/>
      <c r="K1485" s="60"/>
      <c r="L1485" s="60"/>
      <c r="M1485" s="62"/>
    </row>
    <row r="1486" spans="1:13" ht="15" customHeight="1" x14ac:dyDescent="0.25">
      <c r="A1486" s="2"/>
      <c r="B1486" s="2"/>
      <c r="C1486" s="92"/>
      <c r="D1486" s="37"/>
      <c r="E1486" s="32"/>
      <c r="F1486" s="26"/>
      <c r="G1486" s="26"/>
      <c r="I1486" s="6"/>
      <c r="J1486" s="64"/>
      <c r="K1486" s="60"/>
      <c r="L1486" s="60"/>
      <c r="M1486" s="62"/>
    </row>
    <row r="1487" spans="1:13" ht="15" customHeight="1" x14ac:dyDescent="0.25">
      <c r="A1487" s="2"/>
      <c r="B1487" s="2"/>
      <c r="C1487" s="61"/>
      <c r="D1487" s="37"/>
      <c r="E1487" s="32"/>
      <c r="F1487" s="26"/>
      <c r="G1487" s="26"/>
      <c r="I1487" s="6"/>
      <c r="J1487" s="64"/>
      <c r="K1487" s="62"/>
      <c r="L1487" s="60"/>
      <c r="M1487" s="62"/>
    </row>
    <row r="1488" spans="1:13" ht="15" customHeight="1" x14ac:dyDescent="0.25">
      <c r="A1488" s="2"/>
      <c r="B1488" s="2"/>
      <c r="C1488" s="94"/>
      <c r="D1488" s="37"/>
      <c r="E1488" s="32"/>
      <c r="F1488" s="26"/>
      <c r="G1488" s="26"/>
      <c r="I1488" s="6"/>
      <c r="J1488" s="64"/>
      <c r="K1488" s="62"/>
      <c r="L1488" s="62"/>
      <c r="M1488" s="62"/>
    </row>
    <row r="1489" spans="1:13" ht="15" customHeight="1" x14ac:dyDescent="0.25">
      <c r="A1489" s="2"/>
      <c r="B1489" s="2"/>
      <c r="C1489" s="98"/>
      <c r="D1489" s="37"/>
      <c r="E1489" s="32"/>
      <c r="F1489" s="26"/>
      <c r="G1489" s="26"/>
      <c r="I1489" s="6"/>
      <c r="J1489" s="64"/>
      <c r="K1489" s="60"/>
      <c r="L1489" s="60"/>
      <c r="M1489" s="60"/>
    </row>
    <row r="1490" spans="1:13" ht="15" customHeight="1" x14ac:dyDescent="0.25">
      <c r="A1490" s="2"/>
      <c r="B1490" s="2"/>
      <c r="C1490" s="92"/>
      <c r="D1490" s="37"/>
      <c r="E1490" s="32"/>
      <c r="F1490" s="26"/>
      <c r="G1490" s="26"/>
      <c r="I1490" s="6"/>
      <c r="J1490" s="64"/>
      <c r="K1490" s="60"/>
      <c r="L1490" s="60"/>
      <c r="M1490" s="60"/>
    </row>
    <row r="1491" spans="1:13" ht="15" customHeight="1" x14ac:dyDescent="0.25">
      <c r="A1491" s="2"/>
      <c r="B1491" s="2"/>
      <c r="C1491" s="92"/>
      <c r="D1491" s="37"/>
      <c r="E1491" s="32"/>
      <c r="F1491" s="38"/>
      <c r="G1491" s="26"/>
      <c r="I1491" s="6"/>
      <c r="J1491" s="60"/>
      <c r="K1491" s="61"/>
      <c r="L1491" s="61"/>
      <c r="M1491" s="61"/>
    </row>
    <row r="1492" spans="1:13" ht="15" customHeight="1" x14ac:dyDescent="0.25">
      <c r="A1492" s="2"/>
      <c r="B1492" s="2"/>
      <c r="C1492" s="92"/>
      <c r="D1492" s="37"/>
      <c r="E1492" s="32"/>
      <c r="F1492" s="38"/>
      <c r="I1492" s="6"/>
      <c r="J1492" s="59"/>
      <c r="K1492" s="61"/>
      <c r="L1492" s="61"/>
      <c r="M1492" s="61"/>
    </row>
    <row r="1493" spans="1:13" ht="15" customHeight="1" x14ac:dyDescent="0.25">
      <c r="A1493" s="2"/>
      <c r="B1493" s="2"/>
      <c r="C1493" s="92"/>
      <c r="D1493" s="37"/>
      <c r="E1493" s="32"/>
      <c r="F1493" s="26"/>
      <c r="I1493" s="6"/>
      <c r="J1493" s="59"/>
      <c r="K1493" s="60"/>
      <c r="L1493" s="60"/>
      <c r="M1493" s="59"/>
    </row>
    <row r="1494" spans="1:13" ht="15" customHeight="1" x14ac:dyDescent="0.25">
      <c r="A1494" s="2"/>
      <c r="B1494" s="2"/>
      <c r="C1494" s="92"/>
      <c r="D1494" s="37"/>
      <c r="E1494" s="32"/>
      <c r="F1494" s="26"/>
      <c r="G1494" s="26"/>
      <c r="I1494" s="6"/>
      <c r="J1494" s="55"/>
      <c r="K1494" s="60"/>
      <c r="L1494" s="60"/>
      <c r="M1494" s="59"/>
    </row>
    <row r="1495" spans="1:13" ht="15" customHeight="1" x14ac:dyDescent="0.25">
      <c r="B1495" s="2"/>
      <c r="C1495" s="92"/>
      <c r="D1495" s="37"/>
      <c r="E1495" s="32"/>
      <c r="F1495" s="26"/>
      <c r="G1495" s="26"/>
      <c r="I1495" s="6"/>
      <c r="J1495" s="55"/>
      <c r="K1495" s="59"/>
      <c r="L1495" s="60"/>
      <c r="M1495" s="59"/>
    </row>
    <row r="1496" spans="1:13" ht="15" customHeight="1" x14ac:dyDescent="0.25">
      <c r="C1496" s="92"/>
      <c r="D1496" s="40"/>
      <c r="E1496" s="32"/>
      <c r="F1496" s="26"/>
      <c r="G1496" s="26"/>
      <c r="I1496" s="6"/>
      <c r="J1496" s="66"/>
      <c r="K1496" s="59"/>
      <c r="L1496" s="59"/>
      <c r="M1496" s="59"/>
    </row>
    <row r="1497" spans="1:13" ht="15" customHeight="1" x14ac:dyDescent="0.25">
      <c r="A1497" s="2"/>
      <c r="C1497" s="92"/>
      <c r="D1497" s="40"/>
      <c r="E1497" s="32"/>
      <c r="F1497" s="26"/>
      <c r="G1497" s="26"/>
      <c r="I1497" s="6"/>
      <c r="J1497" s="55"/>
      <c r="K1497" s="60"/>
      <c r="L1497" s="60"/>
      <c r="M1497" s="60"/>
    </row>
    <row r="1498" spans="1:13" ht="15" customHeight="1" x14ac:dyDescent="0.25">
      <c r="A1498" s="2"/>
      <c r="B1498" s="2"/>
      <c r="C1498" s="92"/>
      <c r="D1498" s="37"/>
      <c r="E1498" s="32"/>
      <c r="F1498" s="26"/>
      <c r="G1498" s="26"/>
      <c r="I1498" s="6"/>
      <c r="J1498" s="60"/>
      <c r="K1498" s="60"/>
      <c r="L1498" s="60"/>
      <c r="M1498" s="60"/>
    </row>
    <row r="1499" spans="1:13" ht="15" customHeight="1" x14ac:dyDescent="0.25">
      <c r="A1499" s="2"/>
      <c r="B1499" s="2"/>
      <c r="C1499" s="92"/>
      <c r="D1499" s="37"/>
      <c r="E1499" s="32"/>
      <c r="F1499" s="26"/>
      <c r="G1499" s="26"/>
      <c r="I1499" s="6"/>
      <c r="J1499" s="60"/>
      <c r="K1499" s="60"/>
      <c r="L1499" s="60"/>
      <c r="M1499" s="60"/>
    </row>
    <row r="1500" spans="1:13" ht="15" customHeight="1" x14ac:dyDescent="0.25">
      <c r="A1500" s="2"/>
      <c r="B1500" s="2"/>
      <c r="C1500" s="92"/>
      <c r="D1500" s="37"/>
      <c r="E1500" s="32"/>
      <c r="F1500" s="26"/>
      <c r="G1500" s="26"/>
      <c r="I1500" s="6"/>
      <c r="J1500" s="60"/>
      <c r="K1500" s="60"/>
      <c r="L1500" s="60"/>
      <c r="M1500" s="60"/>
    </row>
    <row r="1501" spans="1:13" ht="15" customHeight="1" x14ac:dyDescent="0.25">
      <c r="A1501" s="2"/>
      <c r="B1501" s="2"/>
      <c r="C1501" s="92"/>
      <c r="D1501" s="37"/>
      <c r="E1501" s="32"/>
      <c r="F1501" s="26"/>
      <c r="G1501" s="26"/>
      <c r="I1501" s="6"/>
      <c r="J1501" s="60"/>
      <c r="K1501" s="61"/>
      <c r="L1501" s="61"/>
      <c r="M1501" s="61"/>
    </row>
    <row r="1502" spans="1:13" ht="15" customHeight="1" x14ac:dyDescent="0.25">
      <c r="A1502" s="2"/>
      <c r="B1502" s="2"/>
      <c r="C1502" s="92"/>
      <c r="D1502" s="37"/>
      <c r="E1502" s="32"/>
      <c r="F1502" s="26"/>
      <c r="G1502" s="26"/>
      <c r="I1502" s="6"/>
      <c r="J1502" s="62"/>
      <c r="K1502" s="60"/>
      <c r="L1502" s="60"/>
      <c r="M1502" s="62"/>
    </row>
    <row r="1503" spans="1:13" ht="15" customHeight="1" x14ac:dyDescent="0.25">
      <c r="A1503" s="2"/>
      <c r="B1503" s="2"/>
      <c r="C1503" s="92"/>
      <c r="D1503" s="37"/>
      <c r="E1503" s="32"/>
      <c r="F1503" s="26"/>
      <c r="G1503" s="26"/>
      <c r="I1503" s="6"/>
      <c r="J1503" s="55"/>
      <c r="K1503" s="60"/>
      <c r="L1503" s="60"/>
      <c r="M1503" s="62"/>
    </row>
    <row r="1504" spans="1:13" ht="15" customHeight="1" x14ac:dyDescent="0.25">
      <c r="A1504" s="2"/>
      <c r="B1504" s="2"/>
      <c r="C1504" s="92"/>
      <c r="D1504" s="37"/>
      <c r="E1504" s="32"/>
      <c r="F1504" s="26"/>
      <c r="G1504" s="26"/>
      <c r="I1504" s="6"/>
      <c r="J1504" s="55"/>
      <c r="K1504" s="62"/>
      <c r="L1504" s="60"/>
      <c r="M1504" s="62"/>
    </row>
    <row r="1505" spans="1:13" ht="15" customHeight="1" x14ac:dyDescent="0.25">
      <c r="A1505" s="2"/>
      <c r="B1505" s="2"/>
      <c r="C1505" s="92"/>
      <c r="D1505" s="37"/>
      <c r="E1505" s="32"/>
      <c r="F1505" s="26"/>
      <c r="G1505" s="26"/>
      <c r="I1505" s="6"/>
      <c r="J1505" s="57"/>
      <c r="K1505" s="62"/>
      <c r="L1505" s="62"/>
      <c r="M1505" s="62"/>
    </row>
    <row r="1506" spans="1:13" ht="15" customHeight="1" x14ac:dyDescent="0.25">
      <c r="A1506" s="2"/>
      <c r="B1506" s="2"/>
      <c r="C1506" s="92"/>
      <c r="D1506" s="37"/>
      <c r="E1506" s="32"/>
      <c r="F1506" s="26"/>
      <c r="G1506" s="26"/>
      <c r="I1506" s="6"/>
      <c r="J1506" s="55"/>
      <c r="K1506" s="60"/>
      <c r="L1506" s="60"/>
      <c r="M1506" s="60"/>
    </row>
    <row r="1507" spans="1:13" ht="15" customHeight="1" x14ac:dyDescent="0.25">
      <c r="A1507" s="2"/>
      <c r="B1507" s="2"/>
      <c r="C1507" s="92"/>
      <c r="D1507" s="37"/>
      <c r="E1507" s="32"/>
      <c r="F1507" s="26"/>
      <c r="G1507" s="26"/>
      <c r="I1507" s="6"/>
      <c r="J1507" s="64"/>
      <c r="K1507" s="60"/>
      <c r="L1507" s="60"/>
      <c r="M1507" s="60"/>
    </row>
    <row r="1508" spans="1:13" ht="15" customHeight="1" x14ac:dyDescent="0.25">
      <c r="A1508" s="2"/>
      <c r="B1508" s="2"/>
      <c r="C1508" s="92"/>
      <c r="D1508" s="37"/>
      <c r="E1508" s="32"/>
      <c r="F1508" s="26"/>
      <c r="G1508" s="26"/>
      <c r="I1508" s="6"/>
      <c r="J1508" s="60"/>
      <c r="K1508" s="60"/>
      <c r="L1508" s="60"/>
      <c r="M1508" s="60"/>
    </row>
    <row r="1509" spans="1:13" ht="15" customHeight="1" x14ac:dyDescent="0.25">
      <c r="A1509" s="2"/>
      <c r="B1509" s="2"/>
      <c r="C1509" s="92"/>
      <c r="D1509" s="37"/>
      <c r="E1509" s="32"/>
      <c r="F1509" s="26"/>
      <c r="G1509" s="26"/>
      <c r="I1509" s="6"/>
      <c r="J1509" s="60"/>
      <c r="K1509" s="60"/>
      <c r="L1509" s="60"/>
      <c r="M1509" s="60"/>
    </row>
    <row r="1510" spans="1:13" ht="15" customHeight="1" x14ac:dyDescent="0.25">
      <c r="A1510" s="2"/>
      <c r="B1510" s="2"/>
      <c r="C1510" s="92"/>
      <c r="D1510" s="37"/>
      <c r="E1510" s="32"/>
      <c r="F1510" s="26"/>
      <c r="G1510" s="26"/>
      <c r="I1510" s="6"/>
      <c r="J1510" s="60"/>
      <c r="K1510" s="60"/>
      <c r="L1510" s="60"/>
      <c r="M1510" s="60"/>
    </row>
    <row r="1511" spans="1:13" ht="15" customHeight="1" x14ac:dyDescent="0.25">
      <c r="A1511" s="2"/>
      <c r="B1511" s="2"/>
      <c r="C1511" s="92"/>
      <c r="D1511" s="37"/>
      <c r="E1511" s="32"/>
      <c r="F1511" s="26"/>
      <c r="G1511" s="26"/>
      <c r="I1511" s="6"/>
      <c r="J1511" s="64"/>
      <c r="K1511" s="60"/>
      <c r="L1511" s="60"/>
      <c r="M1511" s="60"/>
    </row>
    <row r="1512" spans="1:13" ht="15" customHeight="1" x14ac:dyDescent="0.25">
      <c r="A1512" s="2"/>
      <c r="B1512" s="2"/>
      <c r="C1512" s="92"/>
      <c r="D1512" s="37"/>
      <c r="E1512" s="32"/>
      <c r="F1512" s="26"/>
      <c r="G1512" s="26"/>
      <c r="I1512" s="6"/>
      <c r="J1512" s="64"/>
      <c r="K1512" s="60"/>
      <c r="L1512" s="64"/>
      <c r="M1512" s="60"/>
    </row>
    <row r="1513" spans="1:13" ht="15" customHeight="1" x14ac:dyDescent="0.25">
      <c r="A1513" s="2"/>
      <c r="B1513" s="2"/>
      <c r="C1513" s="92"/>
      <c r="D1513" s="37"/>
      <c r="E1513" s="32"/>
      <c r="F1513" s="26"/>
      <c r="G1513" s="26"/>
      <c r="I1513" s="6"/>
      <c r="J1513" s="60"/>
      <c r="K1513" s="60"/>
      <c r="L1513" s="64"/>
      <c r="M1513" s="60"/>
    </row>
    <row r="1514" spans="1:13" ht="15" customHeight="1" x14ac:dyDescent="0.25">
      <c r="A1514" s="2"/>
      <c r="B1514" s="2"/>
      <c r="C1514" s="92"/>
      <c r="D1514" s="37"/>
      <c r="E1514" s="32"/>
      <c r="F1514" s="26"/>
      <c r="G1514" s="26"/>
      <c r="I1514" s="6"/>
      <c r="J1514" s="60"/>
      <c r="K1514" s="60"/>
      <c r="L1514" s="64"/>
      <c r="M1514" s="60"/>
    </row>
    <row r="1515" spans="1:13" ht="15" customHeight="1" x14ac:dyDescent="0.25">
      <c r="A1515" s="2"/>
      <c r="B1515" s="2"/>
      <c r="C1515" s="92"/>
      <c r="D1515" s="37"/>
      <c r="E1515" s="32"/>
      <c r="F1515" s="26"/>
      <c r="G1515" s="26"/>
      <c r="I1515" s="6"/>
      <c r="J1515" s="60"/>
      <c r="K1515" s="60"/>
      <c r="L1515" s="64"/>
      <c r="M1515" s="60"/>
    </row>
    <row r="1516" spans="1:13" ht="15" customHeight="1" x14ac:dyDescent="0.25">
      <c r="A1516" s="2"/>
      <c r="B1516" s="2"/>
      <c r="C1516" s="92"/>
      <c r="D1516" s="37"/>
      <c r="E1516" s="32"/>
      <c r="F1516" s="26"/>
      <c r="G1516" s="26"/>
      <c r="I1516" s="6"/>
      <c r="J1516" s="60"/>
      <c r="K1516" s="60"/>
      <c r="L1516" s="60"/>
      <c r="M1516" s="60"/>
    </row>
    <row r="1517" spans="1:13" ht="15" customHeight="1" x14ac:dyDescent="0.25">
      <c r="A1517" s="2"/>
      <c r="B1517" s="2"/>
      <c r="C1517" s="92"/>
      <c r="D1517" s="37"/>
      <c r="E1517" s="32"/>
      <c r="F1517" s="26"/>
      <c r="G1517" s="26"/>
      <c r="I1517" s="6"/>
      <c r="J1517" s="64"/>
      <c r="K1517" s="60"/>
      <c r="L1517" s="60"/>
      <c r="M1517" s="60"/>
    </row>
    <row r="1518" spans="1:13" ht="15" customHeight="1" x14ac:dyDescent="0.25">
      <c r="A1518" s="2"/>
      <c r="B1518" s="2"/>
      <c r="C1518" s="92"/>
      <c r="D1518" s="37"/>
      <c r="E1518" s="32"/>
      <c r="F1518" s="26"/>
      <c r="G1518" s="26"/>
      <c r="I1518" s="6"/>
      <c r="J1518" s="64"/>
      <c r="K1518" s="60"/>
      <c r="L1518" s="60"/>
      <c r="M1518" s="60"/>
    </row>
    <row r="1519" spans="1:13" ht="15" customHeight="1" x14ac:dyDescent="0.25">
      <c r="A1519" s="2"/>
      <c r="B1519" s="2"/>
      <c r="C1519" s="92"/>
      <c r="D1519" s="37"/>
      <c r="E1519" s="32"/>
      <c r="F1519" s="26"/>
      <c r="G1519" s="26"/>
      <c r="I1519" s="6"/>
      <c r="J1519" s="64"/>
      <c r="K1519" s="60"/>
      <c r="L1519" s="60"/>
      <c r="M1519" s="60"/>
    </row>
    <row r="1520" spans="1:13" ht="15" customHeight="1" x14ac:dyDescent="0.25">
      <c r="A1520" s="2"/>
      <c r="B1520" s="2"/>
      <c r="C1520" s="92"/>
      <c r="D1520" s="37"/>
      <c r="E1520" s="32"/>
      <c r="F1520" s="26"/>
      <c r="G1520" s="26"/>
      <c r="I1520" s="6"/>
      <c r="J1520" s="60"/>
      <c r="K1520" s="60"/>
      <c r="L1520" s="60"/>
      <c r="M1520" s="60"/>
    </row>
    <row r="1521" spans="1:13" ht="15" customHeight="1" x14ac:dyDescent="0.25">
      <c r="A1521" s="2"/>
      <c r="B1521" s="2"/>
      <c r="C1521" s="92"/>
      <c r="D1521" s="37"/>
      <c r="E1521" s="32"/>
      <c r="F1521" s="26"/>
      <c r="G1521" s="26"/>
      <c r="I1521" s="6"/>
      <c r="J1521" s="60"/>
      <c r="K1521" s="60"/>
      <c r="L1521" s="60"/>
      <c r="M1521" s="60"/>
    </row>
    <row r="1522" spans="1:13" ht="15" customHeight="1" x14ac:dyDescent="0.25">
      <c r="A1522" s="2"/>
      <c r="B1522" s="2"/>
      <c r="C1522" s="92"/>
      <c r="D1522" s="37"/>
      <c r="E1522" s="32"/>
      <c r="F1522" s="26"/>
      <c r="G1522" s="26"/>
      <c r="I1522" s="6"/>
      <c r="J1522" s="60"/>
      <c r="K1522" s="60"/>
      <c r="L1522" s="60"/>
      <c r="M1522" s="60"/>
    </row>
    <row r="1523" spans="1:13" ht="15" customHeight="1" x14ac:dyDescent="0.25">
      <c r="A1523" s="2"/>
      <c r="B1523" s="2"/>
      <c r="C1523" s="92"/>
      <c r="D1523" s="37"/>
      <c r="E1523" s="32"/>
      <c r="F1523" s="26"/>
      <c r="G1523" s="26"/>
      <c r="I1523" s="6"/>
      <c r="J1523" s="60"/>
      <c r="K1523" s="60"/>
      <c r="L1523" s="60"/>
      <c r="M1523" s="60"/>
    </row>
    <row r="1524" spans="1:13" ht="15" customHeight="1" x14ac:dyDescent="0.25">
      <c r="A1524" s="2"/>
      <c r="B1524" s="2"/>
      <c r="C1524" s="92"/>
      <c r="D1524" s="37"/>
      <c r="E1524" s="32"/>
      <c r="F1524" s="26"/>
      <c r="G1524" s="26"/>
      <c r="I1524" s="6"/>
      <c r="J1524" s="60"/>
      <c r="K1524" s="60"/>
      <c r="L1524" s="60"/>
      <c r="M1524" s="60"/>
    </row>
    <row r="1525" spans="1:13" ht="15" customHeight="1" x14ac:dyDescent="0.25">
      <c r="A1525" s="2"/>
      <c r="B1525" s="2"/>
      <c r="C1525" s="92"/>
      <c r="D1525" s="37"/>
      <c r="E1525" s="32"/>
      <c r="F1525" s="26"/>
      <c r="G1525" s="26"/>
      <c r="I1525" s="6"/>
      <c r="J1525" s="60"/>
      <c r="K1525" s="60"/>
      <c r="L1525" s="60"/>
      <c r="M1525" s="60"/>
    </row>
    <row r="1526" spans="1:13" ht="15" customHeight="1" x14ac:dyDescent="0.25">
      <c r="A1526" s="2"/>
      <c r="B1526" s="2"/>
      <c r="C1526" s="92"/>
      <c r="D1526" s="37"/>
      <c r="E1526" s="32"/>
      <c r="F1526" s="26"/>
      <c r="G1526" s="26"/>
      <c r="I1526" s="6"/>
      <c r="J1526" s="60"/>
      <c r="K1526" s="60"/>
      <c r="L1526" s="60"/>
      <c r="M1526" s="60"/>
    </row>
    <row r="1527" spans="1:13" ht="15" customHeight="1" x14ac:dyDescent="0.25">
      <c r="A1527" s="2"/>
      <c r="B1527" s="2"/>
      <c r="C1527" s="92"/>
      <c r="D1527" s="37"/>
      <c r="E1527" s="32"/>
      <c r="F1527" s="26"/>
      <c r="G1527" s="26"/>
      <c r="I1527" s="6"/>
      <c r="J1527" s="60"/>
      <c r="K1527" s="60"/>
      <c r="L1527" s="60"/>
      <c r="M1527" s="60"/>
    </row>
    <row r="1528" spans="1:13" ht="15" customHeight="1" x14ac:dyDescent="0.25">
      <c r="A1528" s="2"/>
      <c r="B1528" s="2"/>
      <c r="C1528" s="92"/>
      <c r="D1528" s="37"/>
      <c r="E1528" s="32"/>
      <c r="F1528" s="26"/>
      <c r="G1528" s="26"/>
      <c r="I1528" s="6"/>
      <c r="J1528" s="64"/>
      <c r="K1528" s="60"/>
      <c r="L1528" s="60"/>
      <c r="M1528" s="60"/>
    </row>
    <row r="1529" spans="1:13" ht="15" customHeight="1" x14ac:dyDescent="0.25">
      <c r="A1529" s="2"/>
      <c r="B1529" s="2"/>
      <c r="C1529" s="92"/>
      <c r="D1529" s="37"/>
      <c r="E1529" s="32"/>
      <c r="F1529" s="26"/>
      <c r="G1529" s="26"/>
      <c r="I1529" s="6"/>
      <c r="J1529" s="64"/>
      <c r="K1529" s="60"/>
      <c r="L1529" s="60"/>
      <c r="M1529" s="60"/>
    </row>
    <row r="1530" spans="1:13" ht="15" customHeight="1" x14ac:dyDescent="0.25">
      <c r="A1530" s="2"/>
      <c r="B1530" s="2"/>
      <c r="C1530" s="92"/>
      <c r="D1530" s="37"/>
      <c r="E1530" s="32"/>
      <c r="F1530" s="26"/>
      <c r="G1530" s="26"/>
      <c r="I1530" s="6"/>
      <c r="J1530" s="64"/>
      <c r="K1530" s="60"/>
      <c r="L1530" s="60"/>
      <c r="M1530" s="60"/>
    </row>
    <row r="1531" spans="1:13" ht="15" customHeight="1" x14ac:dyDescent="0.25">
      <c r="A1531" s="2"/>
      <c r="B1531" s="2"/>
      <c r="C1531" s="92"/>
      <c r="D1531" s="37"/>
      <c r="E1531" s="32"/>
      <c r="F1531" s="26"/>
      <c r="G1531" s="26"/>
      <c r="I1531" s="6"/>
      <c r="J1531" s="64"/>
      <c r="K1531" s="60"/>
      <c r="L1531" s="60"/>
      <c r="M1531" s="60"/>
    </row>
    <row r="1532" spans="1:13" ht="15" customHeight="1" x14ac:dyDescent="0.25">
      <c r="A1532" s="2"/>
      <c r="B1532" s="2"/>
      <c r="C1532" s="92"/>
      <c r="D1532" s="37"/>
      <c r="E1532" s="32"/>
      <c r="F1532" s="26"/>
      <c r="G1532" s="26"/>
      <c r="I1532" s="6"/>
      <c r="J1532" s="60"/>
      <c r="K1532" s="60"/>
      <c r="L1532" s="60"/>
      <c r="M1532" s="60"/>
    </row>
    <row r="1533" spans="1:13" ht="15" customHeight="1" x14ac:dyDescent="0.25">
      <c r="A1533" s="2"/>
      <c r="B1533" s="2"/>
      <c r="C1533" s="92"/>
      <c r="D1533" s="37"/>
      <c r="E1533" s="32"/>
      <c r="F1533" s="26"/>
      <c r="G1533" s="26"/>
      <c r="I1533" s="6"/>
      <c r="J1533" s="60"/>
      <c r="K1533" s="60"/>
      <c r="L1533" s="60"/>
      <c r="M1533" s="60"/>
    </row>
    <row r="1534" spans="1:13" ht="15" customHeight="1" x14ac:dyDescent="0.25">
      <c r="A1534" s="2"/>
      <c r="B1534" s="2"/>
      <c r="C1534" s="92"/>
      <c r="D1534" s="37"/>
      <c r="E1534" s="32"/>
      <c r="F1534" s="26"/>
      <c r="G1534" s="26"/>
      <c r="I1534" s="6"/>
      <c r="J1534" s="60"/>
      <c r="K1534" s="60"/>
      <c r="L1534" s="60"/>
      <c r="M1534" s="60"/>
    </row>
    <row r="1535" spans="1:13" ht="15" customHeight="1" x14ac:dyDescent="0.25">
      <c r="A1535" s="2"/>
      <c r="B1535" s="2"/>
      <c r="C1535" s="92"/>
      <c r="D1535" s="37"/>
      <c r="E1535" s="32"/>
      <c r="F1535" s="26"/>
      <c r="G1535" s="26"/>
      <c r="I1535" s="6"/>
      <c r="J1535" s="60"/>
      <c r="K1535" s="60"/>
      <c r="L1535" s="60"/>
      <c r="M1535" s="60"/>
    </row>
    <row r="1536" spans="1:13" ht="15" customHeight="1" x14ac:dyDescent="0.25">
      <c r="A1536" s="2"/>
      <c r="B1536" s="2"/>
      <c r="C1536" s="92"/>
      <c r="D1536" s="37"/>
      <c r="E1536" s="32"/>
      <c r="F1536" s="26"/>
      <c r="G1536" s="26"/>
      <c r="I1536" s="6"/>
      <c r="J1536" s="60"/>
      <c r="K1536" s="60"/>
      <c r="L1536" s="60"/>
      <c r="M1536" s="60"/>
    </row>
    <row r="1537" spans="1:13" ht="15" customHeight="1" x14ac:dyDescent="0.25">
      <c r="A1537" s="2"/>
      <c r="B1537" s="2"/>
      <c r="C1537" s="92"/>
      <c r="D1537" s="37"/>
      <c r="E1537" s="32"/>
      <c r="F1537" s="26"/>
      <c r="G1537" s="26"/>
      <c r="I1537" s="6"/>
      <c r="J1537" s="60"/>
      <c r="K1537" s="60"/>
      <c r="L1537" s="60"/>
      <c r="M1537" s="60"/>
    </row>
    <row r="1538" spans="1:13" ht="15" customHeight="1" x14ac:dyDescent="0.25">
      <c r="A1538" s="2"/>
      <c r="B1538" s="2"/>
      <c r="C1538" s="92"/>
      <c r="D1538" s="37"/>
      <c r="E1538" s="32"/>
      <c r="F1538" s="26"/>
      <c r="G1538" s="26"/>
      <c r="I1538" s="6"/>
      <c r="J1538" s="60"/>
      <c r="K1538" s="60"/>
      <c r="L1538" s="60"/>
      <c r="M1538" s="60"/>
    </row>
    <row r="1539" spans="1:13" ht="15" customHeight="1" x14ac:dyDescent="0.25">
      <c r="A1539" s="2"/>
      <c r="B1539" s="2"/>
      <c r="C1539" s="92"/>
      <c r="D1539" s="37"/>
      <c r="E1539" s="32"/>
      <c r="F1539" s="26"/>
      <c r="G1539" s="26"/>
      <c r="I1539" s="6"/>
      <c r="J1539" s="60"/>
      <c r="K1539" s="60"/>
      <c r="L1539" s="60"/>
      <c r="M1539" s="60"/>
    </row>
    <row r="1540" spans="1:13" ht="15" customHeight="1" x14ac:dyDescent="0.25">
      <c r="A1540" s="2"/>
      <c r="B1540" s="2"/>
      <c r="C1540" s="92"/>
      <c r="D1540" s="37"/>
      <c r="E1540" s="32"/>
      <c r="F1540" s="26"/>
      <c r="G1540" s="26"/>
      <c r="I1540" s="6"/>
      <c r="J1540" s="60"/>
      <c r="K1540" s="60"/>
      <c r="L1540" s="60"/>
      <c r="M1540" s="60"/>
    </row>
    <row r="1541" spans="1:13" ht="15" customHeight="1" x14ac:dyDescent="0.25">
      <c r="A1541" s="2"/>
      <c r="B1541" s="2"/>
      <c r="C1541" s="92"/>
      <c r="D1541" s="37"/>
      <c r="E1541" s="32"/>
      <c r="F1541" s="26"/>
      <c r="G1541" s="26"/>
      <c r="I1541" s="6"/>
      <c r="J1541" s="60"/>
      <c r="K1541" s="61"/>
      <c r="L1541" s="61"/>
      <c r="M1541" s="61"/>
    </row>
    <row r="1542" spans="1:13" ht="15" customHeight="1" x14ac:dyDescent="0.25">
      <c r="A1542" s="2"/>
      <c r="B1542" s="2"/>
      <c r="C1542" s="92"/>
      <c r="D1542" s="37"/>
      <c r="E1542" s="32"/>
      <c r="F1542" s="26"/>
      <c r="G1542" s="26"/>
      <c r="I1542" s="6"/>
      <c r="J1542" s="59"/>
      <c r="K1542" s="60"/>
      <c r="L1542" s="60"/>
      <c r="M1542" s="59"/>
    </row>
    <row r="1543" spans="1:13" ht="15" customHeight="1" x14ac:dyDescent="0.25">
      <c r="A1543" s="2"/>
      <c r="B1543" s="2"/>
      <c r="C1543" s="92"/>
      <c r="D1543" s="37"/>
      <c r="E1543" s="32"/>
      <c r="F1543" s="26"/>
      <c r="G1543" s="26"/>
      <c r="I1543" s="6"/>
      <c r="J1543" s="55"/>
      <c r="K1543" s="60"/>
      <c r="L1543" s="60"/>
      <c r="M1543" s="59"/>
    </row>
    <row r="1544" spans="1:13" ht="15" customHeight="1" x14ac:dyDescent="0.25">
      <c r="A1544" s="2"/>
      <c r="B1544" s="2"/>
      <c r="C1544" s="92"/>
      <c r="D1544" s="37"/>
      <c r="E1544" s="32"/>
      <c r="F1544" s="26"/>
      <c r="G1544" s="26"/>
      <c r="I1544" s="6"/>
      <c r="J1544" s="55"/>
      <c r="K1544" s="59"/>
      <c r="L1544" s="60"/>
      <c r="M1544" s="59"/>
    </row>
    <row r="1545" spans="1:13" ht="15" customHeight="1" x14ac:dyDescent="0.25">
      <c r="A1545" s="2"/>
      <c r="B1545" s="2"/>
      <c r="C1545" s="92"/>
      <c r="D1545" s="37"/>
      <c r="E1545" s="32"/>
      <c r="F1545" s="26"/>
      <c r="G1545" s="26"/>
      <c r="I1545" s="6"/>
      <c r="J1545" s="66"/>
      <c r="K1545" s="59"/>
      <c r="L1545" s="59"/>
      <c r="M1545" s="59"/>
    </row>
    <row r="1546" spans="1:13" ht="15" customHeight="1" x14ac:dyDescent="0.25">
      <c r="A1546" s="2"/>
      <c r="B1546" s="2"/>
      <c r="C1546" s="92"/>
      <c r="D1546" s="37"/>
      <c r="E1546" s="32"/>
      <c r="F1546" s="26"/>
      <c r="G1546" s="26"/>
      <c r="I1546" s="6"/>
      <c r="J1546" s="55"/>
      <c r="K1546" s="61"/>
      <c r="L1546" s="61"/>
      <c r="M1546" s="61"/>
    </row>
    <row r="1547" spans="1:13" ht="15" customHeight="1" x14ac:dyDescent="0.25">
      <c r="A1547" s="2"/>
      <c r="B1547" s="2"/>
      <c r="C1547" s="92"/>
      <c r="D1547" s="37"/>
      <c r="E1547" s="32"/>
      <c r="F1547" s="26"/>
      <c r="G1547" s="26"/>
      <c r="I1547" s="6"/>
      <c r="J1547" s="59"/>
      <c r="K1547" s="60"/>
      <c r="L1547" s="60"/>
      <c r="M1547" s="59"/>
    </row>
    <row r="1548" spans="1:13" ht="15" customHeight="1" x14ac:dyDescent="0.25">
      <c r="A1548" s="2"/>
      <c r="B1548" s="2"/>
      <c r="C1548" s="92"/>
      <c r="D1548" s="37"/>
      <c r="E1548" s="32"/>
      <c r="F1548" s="26"/>
      <c r="G1548" s="26"/>
      <c r="I1548" s="6"/>
      <c r="J1548" s="55"/>
      <c r="K1548" s="60"/>
      <c r="L1548" s="60"/>
      <c r="M1548" s="59"/>
    </row>
    <row r="1549" spans="1:13" ht="15" customHeight="1" x14ac:dyDescent="0.25">
      <c r="A1549" s="2"/>
      <c r="B1549" s="2"/>
      <c r="C1549" s="92"/>
      <c r="D1549" s="37"/>
      <c r="E1549" s="32"/>
      <c r="F1549" s="26"/>
      <c r="G1549" s="26"/>
      <c r="I1549" s="6"/>
      <c r="J1549" s="55"/>
      <c r="K1549" s="59"/>
      <c r="L1549" s="60"/>
      <c r="M1549" s="59"/>
    </row>
    <row r="1550" spans="1:13" ht="15" customHeight="1" x14ac:dyDescent="0.25">
      <c r="A1550" s="2"/>
      <c r="B1550" s="2"/>
      <c r="C1550" s="92"/>
      <c r="D1550" s="37"/>
      <c r="E1550" s="32"/>
      <c r="F1550" s="26"/>
      <c r="G1550" s="26"/>
      <c r="I1550" s="6"/>
      <c r="J1550" s="66"/>
      <c r="K1550" s="59"/>
      <c r="L1550" s="59"/>
      <c r="M1550" s="59"/>
    </row>
    <row r="1551" spans="1:13" ht="15" customHeight="1" x14ac:dyDescent="0.25">
      <c r="A1551" s="2"/>
      <c r="B1551" s="2"/>
      <c r="C1551" s="92"/>
      <c r="D1551" s="37"/>
      <c r="E1551" s="32"/>
      <c r="F1551" s="26"/>
      <c r="G1551" s="26"/>
      <c r="I1551" s="6"/>
      <c r="J1551" s="55"/>
      <c r="K1551" s="60"/>
      <c r="L1551" s="60"/>
      <c r="M1551" s="60"/>
    </row>
    <row r="1552" spans="1:13" ht="15" customHeight="1" x14ac:dyDescent="0.25">
      <c r="A1552" s="2"/>
      <c r="B1552" s="2"/>
      <c r="C1552" s="92"/>
      <c r="D1552" s="37"/>
      <c r="E1552" s="32"/>
      <c r="F1552" s="26"/>
      <c r="G1552" s="26"/>
      <c r="I1552" s="6"/>
      <c r="J1552" s="64"/>
      <c r="K1552" s="60"/>
      <c r="L1552" s="60"/>
      <c r="M1552" s="60"/>
    </row>
    <row r="1553" spans="1:13" ht="15" customHeight="1" x14ac:dyDescent="0.25">
      <c r="A1553" s="2"/>
      <c r="B1553" s="2"/>
      <c r="C1553" s="92"/>
      <c r="D1553" s="37"/>
      <c r="E1553" s="32"/>
      <c r="F1553" s="26"/>
      <c r="G1553" s="26"/>
      <c r="I1553" s="6"/>
      <c r="J1553" s="60"/>
      <c r="K1553" s="61"/>
      <c r="L1553" s="61"/>
      <c r="M1553" s="61"/>
    </row>
    <row r="1554" spans="1:13" ht="15" customHeight="1" x14ac:dyDescent="0.25">
      <c r="A1554" s="2"/>
      <c r="B1554" s="2"/>
      <c r="C1554" s="92"/>
      <c r="D1554" s="37"/>
      <c r="E1554" s="32"/>
      <c r="F1554" s="26"/>
      <c r="G1554" s="26"/>
      <c r="I1554" s="6"/>
      <c r="J1554" s="62"/>
      <c r="K1554" s="60"/>
      <c r="L1554" s="60"/>
      <c r="M1554" s="62"/>
    </row>
    <row r="1555" spans="1:13" ht="15" customHeight="1" x14ac:dyDescent="0.25">
      <c r="A1555" s="2"/>
      <c r="B1555" s="2"/>
      <c r="C1555" s="92"/>
      <c r="D1555" s="37"/>
      <c r="E1555" s="32"/>
      <c r="F1555" s="26"/>
      <c r="G1555" s="26"/>
      <c r="I1555" s="6"/>
      <c r="J1555" s="55"/>
      <c r="K1555" s="60"/>
      <c r="L1555" s="60"/>
      <c r="M1555" s="62"/>
    </row>
    <row r="1556" spans="1:13" ht="15" customHeight="1" x14ac:dyDescent="0.25">
      <c r="A1556" s="2"/>
      <c r="B1556" s="2"/>
      <c r="C1556" s="92"/>
      <c r="D1556" s="37"/>
      <c r="E1556" s="32"/>
      <c r="F1556" s="26"/>
      <c r="G1556" s="26"/>
      <c r="I1556" s="6"/>
      <c r="J1556" s="55"/>
      <c r="K1556" s="62"/>
      <c r="L1556" s="60"/>
      <c r="M1556" s="62"/>
    </row>
    <row r="1557" spans="1:13" ht="15" customHeight="1" x14ac:dyDescent="0.25">
      <c r="A1557" s="2"/>
      <c r="B1557" s="2"/>
      <c r="C1557" s="92"/>
      <c r="D1557" s="37"/>
      <c r="E1557" s="32"/>
      <c r="F1557" s="26"/>
      <c r="G1557" s="26"/>
      <c r="I1557" s="6"/>
      <c r="J1557" s="57"/>
      <c r="K1557" s="62"/>
      <c r="L1557" s="62"/>
      <c r="M1557" s="62"/>
    </row>
    <row r="1558" spans="1:13" ht="15" customHeight="1" x14ac:dyDescent="0.25">
      <c r="A1558" s="2"/>
      <c r="B1558" s="2"/>
      <c r="C1558" s="92"/>
      <c r="D1558" s="37"/>
      <c r="E1558" s="32"/>
      <c r="F1558" s="26"/>
      <c r="G1558" s="26"/>
      <c r="I1558" s="6"/>
      <c r="J1558" s="55"/>
      <c r="K1558" s="60"/>
      <c r="L1558" s="60"/>
      <c r="M1558" s="60"/>
    </row>
    <row r="1559" spans="1:13" ht="15" customHeight="1" x14ac:dyDescent="0.25">
      <c r="A1559" s="2"/>
      <c r="B1559" s="2"/>
      <c r="C1559" s="92"/>
      <c r="D1559" s="37"/>
      <c r="E1559" s="32"/>
      <c r="F1559" s="26"/>
      <c r="G1559" s="26"/>
      <c r="I1559" s="6"/>
      <c r="J1559" s="60"/>
      <c r="K1559" s="61"/>
      <c r="L1559" s="61"/>
      <c r="M1559" s="61"/>
    </row>
    <row r="1560" spans="1:13" ht="15" customHeight="1" x14ac:dyDescent="0.25">
      <c r="A1560" s="2"/>
      <c r="B1560" s="2"/>
      <c r="C1560" s="92"/>
      <c r="D1560" s="37"/>
      <c r="E1560" s="32"/>
      <c r="F1560" s="26"/>
      <c r="G1560" s="26"/>
      <c r="I1560" s="6"/>
      <c r="J1560" s="62"/>
      <c r="K1560" s="60"/>
      <c r="L1560" s="60"/>
      <c r="M1560" s="62"/>
    </row>
    <row r="1561" spans="1:13" ht="15" customHeight="1" x14ac:dyDescent="0.25">
      <c r="A1561" s="2"/>
      <c r="B1561" s="2"/>
      <c r="C1561" s="92"/>
      <c r="D1561" s="37"/>
      <c r="E1561" s="32"/>
      <c r="F1561" s="26"/>
      <c r="G1561" s="26"/>
      <c r="I1561" s="6"/>
      <c r="J1561" s="55"/>
      <c r="K1561" s="60"/>
      <c r="L1561" s="60"/>
      <c r="M1561" s="62"/>
    </row>
    <row r="1562" spans="1:13" ht="15" customHeight="1" x14ac:dyDescent="0.25">
      <c r="A1562" s="2"/>
      <c r="B1562" s="2"/>
      <c r="C1562" s="92"/>
      <c r="D1562" s="37"/>
      <c r="E1562" s="32"/>
      <c r="F1562" s="26"/>
      <c r="G1562" s="26"/>
      <c r="I1562" s="6"/>
      <c r="J1562" s="55"/>
      <c r="K1562" s="62"/>
      <c r="L1562" s="60"/>
      <c r="M1562" s="62"/>
    </row>
    <row r="1563" spans="1:13" ht="15" customHeight="1" x14ac:dyDescent="0.25">
      <c r="A1563" s="2"/>
      <c r="B1563" s="2"/>
      <c r="C1563" s="92"/>
      <c r="D1563" s="37"/>
      <c r="E1563" s="32"/>
      <c r="F1563" s="26"/>
      <c r="G1563" s="26"/>
      <c r="I1563" s="6"/>
      <c r="J1563" s="57"/>
      <c r="K1563" s="62"/>
      <c r="L1563" s="62"/>
      <c r="M1563" s="62"/>
    </row>
    <row r="1564" spans="1:13" ht="15" customHeight="1" x14ac:dyDescent="0.25">
      <c r="A1564" s="2"/>
      <c r="B1564" s="2"/>
      <c r="C1564" s="92"/>
      <c r="D1564" s="37"/>
      <c r="E1564" s="32"/>
      <c r="F1564" s="26"/>
      <c r="G1564" s="26"/>
      <c r="I1564" s="6"/>
      <c r="J1564" s="55"/>
      <c r="K1564" s="60"/>
      <c r="L1564" s="60"/>
      <c r="M1564" s="60"/>
    </row>
    <row r="1565" spans="1:13" ht="15" customHeight="1" x14ac:dyDescent="0.25">
      <c r="A1565" s="2"/>
      <c r="B1565" s="2"/>
      <c r="C1565" s="92"/>
      <c r="D1565" s="37"/>
      <c r="E1565" s="32"/>
      <c r="F1565" s="26"/>
      <c r="G1565" s="26"/>
      <c r="I1565" s="6"/>
      <c r="J1565" s="60"/>
      <c r="K1565" s="60"/>
      <c r="L1565" s="60"/>
      <c r="M1565" s="60"/>
    </row>
    <row r="1566" spans="1:13" ht="15" customHeight="1" x14ac:dyDescent="0.25">
      <c r="A1566" s="2"/>
      <c r="B1566" s="2"/>
      <c r="C1566" s="92"/>
      <c r="D1566" s="37"/>
      <c r="E1566" s="32"/>
      <c r="F1566" s="26"/>
      <c r="G1566" s="26"/>
      <c r="I1566" s="6"/>
      <c r="J1566" s="64"/>
      <c r="K1566" s="61"/>
      <c r="L1566" s="61"/>
      <c r="M1566" s="61"/>
    </row>
    <row r="1567" spans="1:13" ht="15" customHeight="1" x14ac:dyDescent="0.25">
      <c r="A1567" s="2"/>
      <c r="B1567" s="2"/>
      <c r="C1567" s="92"/>
      <c r="D1567" s="37"/>
      <c r="E1567" s="32"/>
      <c r="F1567" s="26"/>
      <c r="G1567" s="26"/>
      <c r="I1567" s="6"/>
      <c r="J1567" s="64"/>
      <c r="K1567" s="60"/>
      <c r="L1567" s="60"/>
      <c r="M1567" s="62"/>
    </row>
    <row r="1568" spans="1:13" ht="15" customHeight="1" x14ac:dyDescent="0.25">
      <c r="A1568" s="2"/>
      <c r="B1568" s="2"/>
      <c r="C1568" s="92"/>
      <c r="D1568" s="37"/>
      <c r="E1568" s="32"/>
      <c r="F1568" s="26"/>
      <c r="G1568" s="26"/>
      <c r="I1568" s="6"/>
      <c r="J1568" s="64"/>
      <c r="K1568" s="60"/>
      <c r="L1568" s="60"/>
      <c r="M1568" s="62"/>
    </row>
    <row r="1569" spans="1:13" ht="15" customHeight="1" x14ac:dyDescent="0.25">
      <c r="A1569" s="2"/>
      <c r="B1569" s="2"/>
      <c r="C1569" s="92"/>
      <c r="D1569" s="37"/>
      <c r="E1569" s="32"/>
      <c r="F1569" s="26"/>
      <c r="G1569" s="26"/>
      <c r="I1569" s="6"/>
      <c r="J1569" s="64"/>
      <c r="K1569" s="62"/>
      <c r="L1569" s="60"/>
      <c r="M1569" s="62"/>
    </row>
    <row r="1570" spans="1:13" ht="15" customHeight="1" x14ac:dyDescent="0.25">
      <c r="A1570" s="2"/>
      <c r="B1570" s="2"/>
      <c r="C1570" s="92"/>
      <c r="D1570" s="37"/>
      <c r="E1570" s="32"/>
      <c r="F1570" s="26"/>
      <c r="G1570" s="26"/>
      <c r="I1570" s="6"/>
      <c r="J1570" s="64"/>
      <c r="K1570" s="62"/>
      <c r="L1570" s="62"/>
      <c r="M1570" s="62"/>
    </row>
    <row r="1571" spans="1:13" ht="15" customHeight="1" x14ac:dyDescent="0.25">
      <c r="A1571" s="2"/>
      <c r="B1571" s="2"/>
      <c r="C1571" s="92"/>
      <c r="D1571" s="37"/>
      <c r="E1571" s="32"/>
      <c r="F1571" s="26"/>
      <c r="G1571" s="26"/>
      <c r="I1571" s="6"/>
      <c r="J1571" s="55"/>
      <c r="K1571" s="60"/>
      <c r="L1571" s="60"/>
      <c r="M1571" s="60"/>
    </row>
    <row r="1572" spans="1:13" ht="15" customHeight="1" x14ac:dyDescent="0.25">
      <c r="A1572" s="2"/>
      <c r="B1572" s="2"/>
      <c r="C1572" s="92"/>
      <c r="D1572" s="37"/>
      <c r="E1572" s="32"/>
      <c r="F1572" s="26"/>
      <c r="G1572" s="26"/>
      <c r="I1572" s="6"/>
      <c r="J1572" s="60"/>
      <c r="K1572" s="60"/>
      <c r="L1572" s="60"/>
      <c r="M1572" s="60"/>
    </row>
    <row r="1573" spans="1:13" ht="15" customHeight="1" x14ac:dyDescent="0.25">
      <c r="A1573" s="2"/>
      <c r="B1573" s="2"/>
      <c r="C1573" s="92"/>
      <c r="D1573" s="37"/>
      <c r="E1573" s="32"/>
      <c r="F1573" s="26"/>
      <c r="G1573" s="26"/>
      <c r="I1573" s="6"/>
      <c r="J1573" s="60"/>
      <c r="K1573" s="60"/>
      <c r="L1573" s="60"/>
      <c r="M1573" s="60"/>
    </row>
    <row r="1574" spans="1:13" ht="15" customHeight="1" x14ac:dyDescent="0.25">
      <c r="A1574" s="2"/>
      <c r="B1574" s="2"/>
      <c r="C1574" s="92"/>
      <c r="D1574" s="37"/>
      <c r="E1574" s="32"/>
      <c r="F1574" s="26"/>
      <c r="G1574" s="26"/>
      <c r="I1574" s="6"/>
      <c r="J1574" s="60"/>
      <c r="K1574" s="60"/>
      <c r="L1574" s="60"/>
      <c r="M1574" s="60"/>
    </row>
    <row r="1575" spans="1:13" ht="15" customHeight="1" x14ac:dyDescent="0.25">
      <c r="A1575" s="2"/>
      <c r="B1575" s="2"/>
      <c r="C1575" s="92"/>
      <c r="D1575" s="37"/>
      <c r="E1575" s="32"/>
      <c r="F1575" s="26"/>
      <c r="G1575" s="26"/>
      <c r="I1575" s="6"/>
      <c r="J1575" s="60"/>
      <c r="K1575" s="60"/>
      <c r="L1575" s="60"/>
      <c r="M1575" s="60"/>
    </row>
    <row r="1576" spans="1:13" ht="15" customHeight="1" x14ac:dyDescent="0.25">
      <c r="A1576" s="2"/>
      <c r="B1576" s="2"/>
      <c r="C1576" s="92"/>
      <c r="D1576" s="37"/>
      <c r="E1576" s="32"/>
      <c r="F1576" s="26"/>
      <c r="G1576" s="26"/>
      <c r="I1576" s="6"/>
      <c r="J1576" s="60"/>
      <c r="K1576" s="60"/>
      <c r="L1576" s="60"/>
      <c r="M1576" s="60"/>
    </row>
    <row r="1577" spans="1:13" ht="15" customHeight="1" x14ac:dyDescent="0.25">
      <c r="A1577" s="2"/>
      <c r="B1577" s="2"/>
      <c r="C1577" s="92"/>
      <c r="D1577" s="37"/>
      <c r="E1577" s="32"/>
      <c r="F1577" s="26"/>
      <c r="G1577" s="26"/>
      <c r="I1577" s="6"/>
      <c r="J1577" s="60"/>
      <c r="K1577" s="60"/>
      <c r="L1577" s="60"/>
      <c r="M1577" s="60"/>
    </row>
    <row r="1578" spans="1:13" ht="15" customHeight="1" x14ac:dyDescent="0.25">
      <c r="A1578" s="2"/>
      <c r="B1578" s="2"/>
      <c r="C1578" s="92"/>
      <c r="D1578" s="37"/>
      <c r="E1578" s="32"/>
      <c r="F1578" s="26"/>
      <c r="G1578" s="26"/>
      <c r="I1578" s="6"/>
      <c r="J1578" s="60"/>
      <c r="K1578" s="60"/>
      <c r="L1578" s="60"/>
      <c r="M1578" s="60"/>
    </row>
    <row r="1579" spans="1:13" ht="15" customHeight="1" x14ac:dyDescent="0.25">
      <c r="A1579" s="2"/>
      <c r="B1579" s="2"/>
      <c r="C1579" s="92"/>
      <c r="D1579" s="37"/>
      <c r="E1579" s="32"/>
      <c r="F1579" s="26"/>
      <c r="G1579" s="26"/>
      <c r="I1579" s="6"/>
      <c r="J1579" s="64"/>
      <c r="K1579" s="60"/>
      <c r="L1579" s="60"/>
      <c r="M1579" s="60"/>
    </row>
    <row r="1580" spans="1:13" ht="15" customHeight="1" x14ac:dyDescent="0.25">
      <c r="A1580" s="2"/>
      <c r="B1580" s="2"/>
      <c r="C1580" s="92"/>
      <c r="D1580" s="37"/>
      <c r="E1580" s="32"/>
      <c r="F1580" s="26"/>
      <c r="G1580" s="26"/>
      <c r="I1580" s="6"/>
      <c r="J1580" s="60"/>
      <c r="K1580" s="60"/>
      <c r="L1580" s="60"/>
      <c r="M1580" s="60"/>
    </row>
    <row r="1581" spans="1:13" ht="15" customHeight="1" x14ac:dyDescent="0.25">
      <c r="A1581" s="2"/>
      <c r="B1581" s="2"/>
      <c r="C1581" s="92"/>
      <c r="D1581" s="37"/>
      <c r="E1581" s="32"/>
      <c r="F1581" s="26"/>
      <c r="G1581" s="26"/>
      <c r="I1581" s="6"/>
      <c r="J1581" s="64"/>
      <c r="K1581" s="60"/>
      <c r="L1581" s="60"/>
      <c r="M1581" s="60"/>
    </row>
    <row r="1582" spans="1:13" ht="15" customHeight="1" x14ac:dyDescent="0.25">
      <c r="A1582" s="2"/>
      <c r="B1582" s="2"/>
      <c r="C1582" s="92"/>
      <c r="D1582" s="37"/>
      <c r="E1582" s="32"/>
      <c r="F1582" s="26"/>
      <c r="G1582" s="26"/>
      <c r="I1582" s="6"/>
      <c r="J1582" s="60"/>
      <c r="K1582" s="60"/>
      <c r="L1582" s="60"/>
      <c r="M1582" s="60"/>
    </row>
    <row r="1583" spans="1:13" ht="15" customHeight="1" x14ac:dyDescent="0.25">
      <c r="A1583" s="2"/>
      <c r="B1583" s="2"/>
      <c r="C1583" s="92"/>
      <c r="D1583" s="37"/>
      <c r="E1583" s="32"/>
      <c r="F1583" s="26"/>
      <c r="G1583" s="26"/>
      <c r="I1583" s="6"/>
      <c r="J1583" s="60"/>
      <c r="K1583" s="60"/>
      <c r="L1583" s="60"/>
      <c r="M1583" s="60"/>
    </row>
    <row r="1584" spans="1:13" ht="15" customHeight="1" x14ac:dyDescent="0.25">
      <c r="A1584" s="2"/>
      <c r="B1584" s="2"/>
      <c r="C1584" s="92"/>
      <c r="D1584" s="37"/>
      <c r="E1584" s="32"/>
      <c r="F1584" s="26"/>
      <c r="G1584" s="26"/>
      <c r="I1584" s="6"/>
      <c r="J1584" s="60"/>
      <c r="K1584" s="60"/>
      <c r="L1584" s="60"/>
      <c r="M1584" s="60"/>
    </row>
    <row r="1585" spans="1:13" ht="15" customHeight="1" x14ac:dyDescent="0.25">
      <c r="A1585" s="2"/>
      <c r="B1585" s="2"/>
      <c r="C1585" s="92"/>
      <c r="D1585" s="37"/>
      <c r="E1585" s="32"/>
      <c r="F1585" s="26"/>
      <c r="G1585" s="26"/>
      <c r="I1585" s="6"/>
      <c r="J1585" s="60"/>
      <c r="K1585" s="60"/>
      <c r="L1585" s="60"/>
      <c r="M1585" s="60"/>
    </row>
    <row r="1586" spans="1:13" ht="15" customHeight="1" x14ac:dyDescent="0.25">
      <c r="A1586" s="2"/>
      <c r="B1586" s="2"/>
      <c r="C1586" s="92"/>
      <c r="D1586" s="37"/>
      <c r="E1586" s="32"/>
      <c r="F1586" s="26"/>
      <c r="G1586" s="26"/>
      <c r="I1586" s="6"/>
      <c r="J1586" s="60"/>
      <c r="K1586" s="60"/>
      <c r="L1586" s="60"/>
      <c r="M1586" s="60"/>
    </row>
    <row r="1587" spans="1:13" ht="15" customHeight="1" x14ac:dyDescent="0.25">
      <c r="A1587" s="2"/>
      <c r="B1587" s="2"/>
      <c r="C1587" s="61"/>
      <c r="D1587" s="37"/>
      <c r="E1587" s="32"/>
      <c r="F1587" s="26"/>
      <c r="G1587" s="26"/>
      <c r="I1587" s="6"/>
      <c r="J1587" s="60"/>
      <c r="K1587" s="60"/>
      <c r="L1587" s="60"/>
      <c r="M1587" s="60"/>
    </row>
    <row r="1588" spans="1:13" ht="15" customHeight="1" x14ac:dyDescent="0.25">
      <c r="A1588" s="2"/>
      <c r="B1588" s="2"/>
      <c r="C1588" s="99"/>
      <c r="D1588" s="37"/>
      <c r="E1588" s="32"/>
      <c r="F1588" s="26"/>
      <c r="G1588" s="26"/>
      <c r="I1588" s="6"/>
      <c r="J1588" s="60"/>
      <c r="K1588" s="60"/>
      <c r="L1588" s="60"/>
      <c r="M1588" s="60"/>
    </row>
    <row r="1589" spans="1:13" ht="15" customHeight="1" x14ac:dyDescent="0.25">
      <c r="A1589" s="2"/>
      <c r="B1589" s="2"/>
      <c r="C1589" s="100"/>
      <c r="D1589" s="37"/>
      <c r="E1589" s="32"/>
      <c r="F1589" s="26"/>
      <c r="G1589" s="26"/>
      <c r="I1589" s="6"/>
      <c r="J1589" s="60"/>
      <c r="K1589" s="60"/>
      <c r="L1589" s="60"/>
      <c r="M1589" s="60"/>
    </row>
    <row r="1590" spans="1:13" ht="15" customHeight="1" x14ac:dyDescent="0.25">
      <c r="A1590" s="2"/>
      <c r="B1590" s="2"/>
      <c r="C1590" s="101"/>
      <c r="D1590" s="37"/>
      <c r="E1590" s="32"/>
      <c r="F1590" s="26"/>
      <c r="G1590" s="26"/>
      <c r="I1590" s="6"/>
      <c r="J1590" s="60"/>
      <c r="K1590" s="60"/>
      <c r="L1590" s="60"/>
      <c r="M1590" s="60"/>
    </row>
    <row r="1591" spans="1:13" ht="15" customHeight="1" x14ac:dyDescent="0.25">
      <c r="A1591" s="2"/>
      <c r="B1591" s="2"/>
      <c r="C1591" s="92"/>
      <c r="D1591" s="37"/>
      <c r="E1591" s="32"/>
      <c r="F1591" s="38"/>
      <c r="G1591" s="26"/>
      <c r="I1591" s="6"/>
      <c r="J1591" s="60"/>
      <c r="K1591" s="60"/>
      <c r="L1591" s="60"/>
      <c r="M1591" s="60"/>
    </row>
    <row r="1592" spans="1:13" ht="15" customHeight="1" x14ac:dyDescent="0.25">
      <c r="A1592" s="2"/>
      <c r="B1592" s="2"/>
      <c r="C1592" s="92"/>
      <c r="D1592" s="37"/>
      <c r="E1592" s="32"/>
      <c r="F1592" s="38"/>
      <c r="I1592" s="6"/>
      <c r="J1592" s="60"/>
      <c r="K1592" s="60"/>
      <c r="L1592" s="60"/>
      <c r="M1592" s="60"/>
    </row>
    <row r="1593" spans="1:13" ht="15" customHeight="1" x14ac:dyDescent="0.25">
      <c r="A1593" s="2"/>
      <c r="B1593" s="2"/>
      <c r="C1593" s="92"/>
      <c r="D1593" s="37"/>
      <c r="E1593" s="32"/>
      <c r="F1593" s="26"/>
      <c r="I1593" s="6"/>
      <c r="J1593" s="64"/>
      <c r="K1593" s="60"/>
      <c r="L1593" s="60"/>
      <c r="M1593" s="60"/>
    </row>
    <row r="1594" spans="1:13" ht="15" customHeight="1" x14ac:dyDescent="0.25">
      <c r="A1594" s="2"/>
      <c r="B1594" s="2"/>
      <c r="C1594" s="92"/>
      <c r="D1594" s="37"/>
      <c r="E1594" s="32"/>
      <c r="F1594" s="26"/>
      <c r="G1594" s="26"/>
      <c r="I1594" s="6"/>
      <c r="J1594" s="64"/>
      <c r="K1594" s="60"/>
      <c r="L1594" s="60"/>
      <c r="M1594" s="60"/>
    </row>
    <row r="1595" spans="1:13" ht="15" customHeight="1" x14ac:dyDescent="0.25">
      <c r="B1595" s="2"/>
      <c r="C1595" s="92"/>
      <c r="D1595" s="37"/>
      <c r="E1595" s="32"/>
      <c r="F1595" s="26"/>
      <c r="G1595" s="26"/>
      <c r="I1595" s="6"/>
      <c r="J1595" s="64"/>
      <c r="K1595" s="60"/>
      <c r="L1595" s="60"/>
      <c r="M1595" s="60"/>
    </row>
    <row r="1596" spans="1:13" ht="15" customHeight="1" x14ac:dyDescent="0.25">
      <c r="C1596" s="92"/>
      <c r="D1596" s="40"/>
      <c r="E1596" s="32"/>
      <c r="F1596" s="26"/>
      <c r="G1596" s="26"/>
      <c r="I1596" s="6"/>
      <c r="J1596" s="64"/>
      <c r="K1596" s="60"/>
      <c r="L1596" s="60"/>
      <c r="M1596" s="60"/>
    </row>
    <row r="1597" spans="1:13" ht="15" customHeight="1" x14ac:dyDescent="0.25">
      <c r="A1597" s="2"/>
      <c r="C1597" s="92"/>
      <c r="D1597" s="40"/>
      <c r="E1597" s="32"/>
      <c r="F1597" s="26"/>
      <c r="G1597" s="26"/>
      <c r="I1597" s="6"/>
      <c r="J1597" s="60"/>
      <c r="K1597" s="61"/>
      <c r="L1597" s="61"/>
      <c r="M1597" s="61"/>
    </row>
    <row r="1598" spans="1:13" ht="15" customHeight="1" x14ac:dyDescent="0.25">
      <c r="A1598" s="2"/>
      <c r="B1598" s="2"/>
      <c r="C1598" s="92"/>
      <c r="D1598" s="37"/>
      <c r="E1598" s="32"/>
      <c r="F1598" s="26"/>
      <c r="G1598" s="26"/>
      <c r="I1598" s="6"/>
      <c r="J1598" s="59"/>
      <c r="K1598" s="60"/>
      <c r="L1598" s="60"/>
      <c r="M1598" s="59"/>
    </row>
    <row r="1599" spans="1:13" ht="15" customHeight="1" x14ac:dyDescent="0.25">
      <c r="A1599" s="2"/>
      <c r="B1599" s="2"/>
      <c r="C1599" s="92"/>
      <c r="D1599" s="37"/>
      <c r="E1599" s="32"/>
      <c r="F1599" s="26"/>
      <c r="G1599" s="26"/>
      <c r="I1599" s="6"/>
      <c r="J1599" s="55"/>
      <c r="K1599" s="60"/>
      <c r="L1599" s="60"/>
      <c r="M1599" s="59"/>
    </row>
    <row r="1600" spans="1:13" ht="15" customHeight="1" x14ac:dyDescent="0.25">
      <c r="A1600" s="2"/>
      <c r="B1600" s="2"/>
      <c r="C1600" s="92"/>
      <c r="D1600" s="37"/>
      <c r="E1600" s="32"/>
      <c r="F1600" s="26"/>
      <c r="G1600" s="26"/>
      <c r="I1600" s="6"/>
      <c r="J1600" s="55"/>
      <c r="K1600" s="59"/>
      <c r="L1600" s="60"/>
      <c r="M1600" s="59"/>
    </row>
    <row r="1601" spans="1:13" ht="15" customHeight="1" x14ac:dyDescent="0.25">
      <c r="A1601" s="2"/>
      <c r="B1601" s="2"/>
      <c r="C1601" s="92"/>
      <c r="D1601" s="37"/>
      <c r="E1601" s="32"/>
      <c r="F1601" s="26"/>
      <c r="G1601" s="26"/>
      <c r="I1601" s="6"/>
      <c r="J1601" s="66"/>
      <c r="K1601" s="59"/>
      <c r="L1601" s="59"/>
      <c r="M1601" s="59"/>
    </row>
    <row r="1602" spans="1:13" ht="15" customHeight="1" x14ac:dyDescent="0.25">
      <c r="A1602" s="2"/>
      <c r="B1602" s="2"/>
      <c r="C1602" s="92"/>
      <c r="D1602" s="37"/>
      <c r="E1602" s="32"/>
      <c r="F1602" s="26"/>
      <c r="G1602" s="26"/>
      <c r="I1602" s="6"/>
      <c r="J1602" s="55"/>
      <c r="K1602" s="60"/>
      <c r="L1602" s="60"/>
      <c r="M1602" s="60"/>
    </row>
    <row r="1603" spans="1:13" ht="15" customHeight="1" x14ac:dyDescent="0.25">
      <c r="A1603" s="2"/>
      <c r="B1603" s="2"/>
      <c r="C1603" s="92"/>
      <c r="D1603" s="37"/>
      <c r="E1603" s="32"/>
      <c r="F1603" s="26"/>
      <c r="G1603" s="26"/>
      <c r="I1603" s="6"/>
      <c r="J1603" s="60"/>
      <c r="K1603" s="60"/>
      <c r="L1603" s="60"/>
      <c r="M1603" s="60"/>
    </row>
    <row r="1604" spans="1:13" ht="15" customHeight="1" x14ac:dyDescent="0.25">
      <c r="A1604" s="2"/>
      <c r="B1604" s="2"/>
      <c r="C1604" s="92"/>
      <c r="D1604" s="37"/>
      <c r="E1604" s="32"/>
      <c r="F1604" s="26"/>
      <c r="G1604" s="26"/>
      <c r="I1604" s="6"/>
      <c r="J1604" s="60"/>
      <c r="K1604" s="60"/>
      <c r="L1604" s="60"/>
      <c r="M1604" s="60"/>
    </row>
    <row r="1605" spans="1:13" ht="15" customHeight="1" x14ac:dyDescent="0.25">
      <c r="A1605" s="2"/>
      <c r="B1605" s="2"/>
      <c r="C1605" s="92"/>
      <c r="D1605" s="37"/>
      <c r="E1605" s="32"/>
      <c r="F1605" s="26"/>
      <c r="G1605" s="26"/>
      <c r="I1605" s="6"/>
      <c r="J1605" s="60"/>
      <c r="K1605" s="60"/>
      <c r="L1605" s="60"/>
      <c r="M1605" s="60"/>
    </row>
    <row r="1606" spans="1:13" ht="15" customHeight="1" x14ac:dyDescent="0.25">
      <c r="A1606" s="2"/>
      <c r="B1606" s="2"/>
      <c r="C1606" s="92"/>
      <c r="D1606" s="37"/>
      <c r="E1606" s="32"/>
      <c r="F1606" s="26"/>
      <c r="G1606" s="26"/>
      <c r="I1606" s="6"/>
      <c r="J1606" s="64"/>
      <c r="K1606" s="60"/>
      <c r="L1606" s="60"/>
      <c r="M1606" s="60"/>
    </row>
    <row r="1607" spans="1:13" ht="15" customHeight="1" x14ac:dyDescent="0.25">
      <c r="A1607" s="2"/>
      <c r="B1607" s="2"/>
      <c r="C1607" s="92"/>
      <c r="D1607" s="37"/>
      <c r="E1607" s="32"/>
      <c r="F1607" s="26"/>
      <c r="G1607" s="26"/>
      <c r="I1607" s="6"/>
      <c r="J1607" s="60"/>
      <c r="K1607" s="60"/>
      <c r="L1607" s="60"/>
      <c r="M1607" s="60"/>
    </row>
    <row r="1608" spans="1:13" ht="15" customHeight="1" x14ac:dyDescent="0.25">
      <c r="A1608" s="2"/>
      <c r="B1608" s="2"/>
      <c r="C1608" s="92"/>
      <c r="D1608" s="37"/>
      <c r="E1608" s="32"/>
      <c r="F1608" s="26"/>
      <c r="G1608" s="26"/>
      <c r="I1608" s="6"/>
      <c r="J1608" s="60"/>
      <c r="K1608" s="61"/>
      <c r="L1608" s="61"/>
      <c r="M1608" s="61"/>
    </row>
    <row r="1609" spans="1:13" ht="15" customHeight="1" x14ac:dyDescent="0.25">
      <c r="A1609" s="2"/>
      <c r="B1609" s="2"/>
      <c r="C1609" s="92"/>
      <c r="D1609" s="37"/>
      <c r="E1609" s="32"/>
      <c r="F1609" s="26"/>
      <c r="G1609" s="26"/>
      <c r="I1609" s="6"/>
      <c r="J1609" s="59"/>
      <c r="K1609" s="60"/>
      <c r="L1609" s="60"/>
      <c r="M1609" s="59"/>
    </row>
    <row r="1610" spans="1:13" ht="15" customHeight="1" x14ac:dyDescent="0.25">
      <c r="A1610" s="2"/>
      <c r="B1610" s="2"/>
      <c r="C1610" s="92"/>
      <c r="D1610" s="37"/>
      <c r="E1610" s="32"/>
      <c r="F1610" s="26"/>
      <c r="G1610" s="26"/>
      <c r="I1610" s="6"/>
      <c r="J1610" s="55"/>
      <c r="K1610" s="60"/>
      <c r="L1610" s="60"/>
      <c r="M1610" s="59"/>
    </row>
    <row r="1611" spans="1:13" ht="15" customHeight="1" x14ac:dyDescent="0.25">
      <c r="A1611" s="2"/>
      <c r="B1611" s="2"/>
      <c r="C1611" s="92"/>
      <c r="D1611" s="37"/>
      <c r="E1611" s="32"/>
      <c r="F1611" s="26"/>
      <c r="G1611" s="26"/>
      <c r="I1611" s="6"/>
      <c r="J1611" s="55"/>
      <c r="K1611" s="59"/>
      <c r="L1611" s="60"/>
      <c r="M1611" s="59"/>
    </row>
    <row r="1612" spans="1:13" ht="15" customHeight="1" x14ac:dyDescent="0.25">
      <c r="A1612" s="2"/>
      <c r="B1612" s="2"/>
      <c r="C1612" s="92"/>
      <c r="D1612" s="37"/>
      <c r="E1612" s="32"/>
      <c r="F1612" s="26"/>
      <c r="G1612" s="26"/>
      <c r="I1612" s="6"/>
      <c r="J1612" s="66"/>
      <c r="K1612" s="59"/>
      <c r="L1612" s="59"/>
      <c r="M1612" s="59"/>
    </row>
    <row r="1613" spans="1:13" ht="15" customHeight="1" x14ac:dyDescent="0.25">
      <c r="A1613" s="2"/>
      <c r="B1613" s="2"/>
      <c r="C1613" s="92"/>
      <c r="D1613" s="37"/>
      <c r="E1613" s="32"/>
      <c r="F1613" s="26"/>
      <c r="G1613" s="26"/>
      <c r="I1613" s="6"/>
      <c r="J1613" s="55"/>
      <c r="K1613" s="60"/>
      <c r="L1613" s="60"/>
      <c r="M1613" s="60"/>
    </row>
    <row r="1614" spans="1:13" ht="15" customHeight="1" x14ac:dyDescent="0.25">
      <c r="A1614" s="2"/>
      <c r="B1614" s="2"/>
      <c r="C1614" s="92"/>
      <c r="D1614" s="37"/>
      <c r="E1614" s="32"/>
      <c r="F1614" s="26"/>
      <c r="G1614" s="26"/>
      <c r="I1614" s="6"/>
      <c r="J1614" s="60"/>
      <c r="K1614" s="60"/>
      <c r="L1614" s="60"/>
      <c r="M1614" s="60"/>
    </row>
    <row r="1615" spans="1:13" ht="15" customHeight="1" x14ac:dyDescent="0.25">
      <c r="A1615" s="2"/>
      <c r="B1615" s="2"/>
      <c r="C1615" s="92"/>
      <c r="D1615" s="37"/>
      <c r="E1615" s="32"/>
      <c r="F1615" s="26"/>
      <c r="G1615" s="26"/>
      <c r="I1615" s="6"/>
      <c r="J1615" s="60"/>
      <c r="K1615" s="60"/>
      <c r="L1615" s="60"/>
      <c r="M1615" s="60"/>
    </row>
    <row r="1616" spans="1:13" ht="15" customHeight="1" x14ac:dyDescent="0.25">
      <c r="A1616" s="2"/>
      <c r="B1616" s="2"/>
      <c r="C1616" s="92"/>
      <c r="D1616" s="37"/>
      <c r="E1616" s="32"/>
      <c r="F1616" s="26"/>
      <c r="G1616" s="26"/>
      <c r="I1616" s="6"/>
      <c r="J1616" s="60"/>
      <c r="K1616" s="60"/>
      <c r="L1616" s="60"/>
      <c r="M1616" s="60"/>
    </row>
    <row r="1617" spans="1:13" ht="15" customHeight="1" x14ac:dyDescent="0.25">
      <c r="A1617" s="2"/>
      <c r="B1617" s="2"/>
      <c r="C1617" s="92"/>
      <c r="D1617" s="37"/>
      <c r="E1617" s="32"/>
      <c r="F1617" s="26"/>
      <c r="G1617" s="26"/>
      <c r="I1617" s="6"/>
      <c r="J1617" s="60"/>
      <c r="K1617" s="60"/>
      <c r="L1617" s="60"/>
      <c r="M1617" s="60"/>
    </row>
    <row r="1618" spans="1:13" ht="15" customHeight="1" x14ac:dyDescent="0.25">
      <c r="A1618" s="2"/>
      <c r="B1618" s="2"/>
      <c r="C1618" s="92"/>
      <c r="D1618" s="37"/>
      <c r="E1618" s="32"/>
      <c r="F1618" s="26"/>
      <c r="G1618" s="26"/>
      <c r="I1618" s="6"/>
      <c r="J1618" s="60"/>
      <c r="K1618" s="60"/>
      <c r="L1618" s="60"/>
      <c r="M1618" s="60"/>
    </row>
    <row r="1619" spans="1:13" ht="15" customHeight="1" x14ac:dyDescent="0.25">
      <c r="A1619" s="2"/>
      <c r="B1619" s="2"/>
      <c r="C1619" s="92"/>
      <c r="D1619" s="37"/>
      <c r="E1619" s="32"/>
      <c r="F1619" s="26"/>
      <c r="G1619" s="26"/>
      <c r="I1619" s="6"/>
      <c r="J1619" s="60"/>
      <c r="K1619" s="60"/>
      <c r="L1619" s="60"/>
      <c r="M1619" s="60"/>
    </row>
    <row r="1620" spans="1:13" ht="15" customHeight="1" x14ac:dyDescent="0.25">
      <c r="A1620" s="2"/>
      <c r="B1620" s="2"/>
      <c r="C1620" s="92"/>
      <c r="D1620" s="37"/>
      <c r="E1620" s="32"/>
      <c r="F1620" s="26"/>
      <c r="G1620" s="26"/>
      <c r="I1620" s="6"/>
      <c r="J1620" s="60"/>
      <c r="K1620" s="60"/>
      <c r="L1620" s="60"/>
      <c r="M1620" s="60"/>
    </row>
    <row r="1621" spans="1:13" ht="15" customHeight="1" x14ac:dyDescent="0.25">
      <c r="A1621" s="2"/>
      <c r="B1621" s="2"/>
      <c r="C1621" s="92"/>
      <c r="D1621" s="37"/>
      <c r="E1621" s="32"/>
      <c r="F1621" s="26"/>
      <c r="G1621" s="26"/>
      <c r="I1621" s="6"/>
      <c r="J1621" s="60"/>
      <c r="K1621" s="60"/>
      <c r="L1621" s="60"/>
      <c r="M1621" s="60"/>
    </row>
    <row r="1622" spans="1:13" ht="15" customHeight="1" x14ac:dyDescent="0.25">
      <c r="A1622" s="2"/>
      <c r="B1622" s="2"/>
      <c r="C1622" s="92"/>
      <c r="D1622" s="37"/>
      <c r="E1622" s="32"/>
      <c r="F1622" s="26"/>
      <c r="G1622" s="26"/>
      <c r="I1622" s="6"/>
      <c r="J1622" s="60"/>
      <c r="K1622" s="60"/>
      <c r="L1622" s="60"/>
      <c r="M1622" s="60"/>
    </row>
    <row r="1623" spans="1:13" ht="15" customHeight="1" x14ac:dyDescent="0.25">
      <c r="A1623" s="2"/>
      <c r="B1623" s="2"/>
      <c r="C1623" s="92"/>
      <c r="D1623" s="37"/>
      <c r="E1623" s="32"/>
      <c r="F1623" s="26"/>
      <c r="G1623" s="26"/>
      <c r="I1623" s="6"/>
      <c r="J1623" s="60"/>
      <c r="K1623" s="60"/>
      <c r="L1623" s="60"/>
      <c r="M1623" s="60"/>
    </row>
    <row r="1624" spans="1:13" ht="15" customHeight="1" x14ac:dyDescent="0.25">
      <c r="A1624" s="2"/>
      <c r="B1624" s="2"/>
      <c r="C1624" s="92"/>
      <c r="D1624" s="37"/>
      <c r="E1624" s="32"/>
      <c r="F1624" s="26"/>
      <c r="G1624" s="26"/>
      <c r="I1624" s="6"/>
      <c r="J1624" s="60"/>
      <c r="K1624" s="60"/>
      <c r="L1624" s="60"/>
      <c r="M1624" s="60"/>
    </row>
    <row r="1625" spans="1:13" ht="15" customHeight="1" x14ac:dyDescent="0.25">
      <c r="A1625" s="2"/>
      <c r="B1625" s="2"/>
      <c r="C1625" s="92"/>
      <c r="D1625" s="37"/>
      <c r="E1625" s="32"/>
      <c r="F1625" s="26"/>
      <c r="G1625" s="26"/>
      <c r="I1625" s="6"/>
      <c r="J1625" s="60"/>
      <c r="K1625" s="60"/>
      <c r="L1625" s="60"/>
      <c r="M1625" s="60"/>
    </row>
    <row r="1626" spans="1:13" ht="15" customHeight="1" x14ac:dyDescent="0.25">
      <c r="A1626" s="2"/>
      <c r="B1626" s="2"/>
      <c r="C1626" s="92"/>
      <c r="D1626" s="37"/>
      <c r="E1626" s="32"/>
      <c r="F1626" s="26"/>
      <c r="G1626" s="26"/>
      <c r="I1626" s="6"/>
      <c r="J1626" s="60"/>
      <c r="K1626" s="61"/>
      <c r="L1626" s="61"/>
      <c r="M1626" s="61"/>
    </row>
    <row r="1627" spans="1:13" ht="15" customHeight="1" x14ac:dyDescent="0.25">
      <c r="A1627" s="2"/>
      <c r="B1627" s="2"/>
      <c r="C1627" s="92"/>
      <c r="D1627" s="37"/>
      <c r="E1627" s="32"/>
      <c r="F1627" s="26"/>
      <c r="G1627" s="26"/>
      <c r="I1627" s="6"/>
      <c r="J1627" s="62"/>
      <c r="K1627" s="60"/>
      <c r="L1627" s="60"/>
      <c r="M1627" s="62"/>
    </row>
    <row r="1628" spans="1:13" ht="15" customHeight="1" x14ac:dyDescent="0.25">
      <c r="A1628" s="2"/>
      <c r="B1628" s="2"/>
      <c r="C1628" s="92"/>
      <c r="D1628" s="37"/>
      <c r="E1628" s="32"/>
      <c r="F1628" s="26"/>
      <c r="G1628" s="26"/>
      <c r="I1628" s="6"/>
      <c r="J1628" s="55"/>
      <c r="K1628" s="60"/>
      <c r="L1628" s="60"/>
      <c r="M1628" s="62"/>
    </row>
    <row r="1629" spans="1:13" ht="15" customHeight="1" x14ac:dyDescent="0.25">
      <c r="A1629" s="2"/>
      <c r="B1629" s="2"/>
      <c r="C1629" s="92"/>
      <c r="D1629" s="37"/>
      <c r="E1629" s="32"/>
      <c r="F1629" s="26"/>
      <c r="G1629" s="26"/>
      <c r="I1629" s="6"/>
      <c r="J1629" s="55"/>
      <c r="K1629" s="62"/>
      <c r="L1629" s="60"/>
      <c r="M1629" s="62"/>
    </row>
    <row r="1630" spans="1:13" ht="15" customHeight="1" x14ac:dyDescent="0.25">
      <c r="A1630" s="2"/>
      <c r="B1630" s="2"/>
      <c r="C1630" s="92"/>
      <c r="D1630" s="37"/>
      <c r="E1630" s="32"/>
      <c r="F1630" s="26"/>
      <c r="G1630" s="26"/>
      <c r="I1630" s="6"/>
      <c r="J1630" s="57"/>
      <c r="K1630" s="62"/>
      <c r="L1630" s="62"/>
      <c r="M1630" s="62"/>
    </row>
    <row r="1631" spans="1:13" ht="15" customHeight="1" x14ac:dyDescent="0.25">
      <c r="A1631" s="2"/>
      <c r="B1631" s="2"/>
      <c r="C1631" s="92"/>
      <c r="D1631" s="37"/>
      <c r="E1631" s="32"/>
      <c r="F1631" s="26"/>
      <c r="G1631" s="26"/>
      <c r="I1631" s="6"/>
      <c r="J1631" s="55"/>
      <c r="K1631" s="60"/>
      <c r="L1631" s="60"/>
      <c r="M1631" s="60"/>
    </row>
    <row r="1632" spans="1:13" ht="15" customHeight="1" x14ac:dyDescent="0.25">
      <c r="A1632" s="2"/>
      <c r="B1632" s="2"/>
      <c r="C1632" s="92"/>
      <c r="D1632" s="37"/>
      <c r="E1632" s="32"/>
      <c r="F1632" s="26"/>
      <c r="G1632" s="26"/>
      <c r="I1632" s="6"/>
      <c r="J1632" s="60"/>
      <c r="K1632" s="60"/>
      <c r="L1632" s="60"/>
      <c r="M1632" s="60"/>
    </row>
    <row r="1633" spans="1:13" ht="15" customHeight="1" x14ac:dyDescent="0.25">
      <c r="A1633" s="2"/>
      <c r="B1633" s="2"/>
      <c r="C1633" s="92"/>
      <c r="D1633" s="37"/>
      <c r="E1633" s="32"/>
      <c r="F1633" s="26"/>
      <c r="G1633" s="26"/>
      <c r="I1633" s="6"/>
      <c r="J1633" s="60"/>
      <c r="K1633" s="60"/>
      <c r="L1633" s="60"/>
      <c r="M1633" s="60"/>
    </row>
    <row r="1634" spans="1:13" ht="15" customHeight="1" x14ac:dyDescent="0.25">
      <c r="A1634" s="2"/>
      <c r="B1634" s="2"/>
      <c r="C1634" s="92"/>
      <c r="D1634" s="37"/>
      <c r="E1634" s="32"/>
      <c r="F1634" s="26"/>
      <c r="G1634" s="26"/>
      <c r="I1634" s="6"/>
      <c r="J1634" s="60"/>
      <c r="K1634" s="60"/>
      <c r="L1634" s="60"/>
      <c r="M1634" s="60"/>
    </row>
    <row r="1635" spans="1:13" ht="15" customHeight="1" x14ac:dyDescent="0.25">
      <c r="A1635" s="2"/>
      <c r="B1635" s="2"/>
      <c r="C1635" s="92"/>
      <c r="D1635" s="37"/>
      <c r="E1635" s="32"/>
      <c r="F1635" s="26"/>
      <c r="G1635" s="26"/>
      <c r="I1635" s="6"/>
      <c r="J1635" s="60"/>
      <c r="K1635" s="60"/>
      <c r="L1635" s="60"/>
      <c r="M1635" s="60"/>
    </row>
    <row r="1636" spans="1:13" ht="15" customHeight="1" x14ac:dyDescent="0.25">
      <c r="A1636" s="2"/>
      <c r="B1636" s="2"/>
      <c r="C1636" s="92"/>
      <c r="D1636" s="37"/>
      <c r="E1636" s="32"/>
      <c r="F1636" s="26"/>
      <c r="G1636" s="26"/>
      <c r="I1636" s="6"/>
      <c r="J1636" s="60"/>
      <c r="K1636" s="60"/>
      <c r="L1636" s="60"/>
      <c r="M1636" s="60"/>
    </row>
    <row r="1637" spans="1:13" ht="15" customHeight="1" x14ac:dyDescent="0.25">
      <c r="A1637" s="2"/>
      <c r="B1637" s="2"/>
      <c r="C1637" s="92"/>
      <c r="D1637" s="37"/>
      <c r="E1637" s="32"/>
      <c r="F1637" s="26"/>
      <c r="G1637" s="26"/>
      <c r="I1637" s="6"/>
      <c r="J1637" s="60"/>
      <c r="K1637" s="60"/>
      <c r="L1637" s="60"/>
      <c r="M1637" s="60"/>
    </row>
    <row r="1638" spans="1:13" ht="15" customHeight="1" x14ac:dyDescent="0.25">
      <c r="A1638" s="2"/>
      <c r="B1638" s="2"/>
      <c r="C1638" s="92"/>
      <c r="D1638" s="37"/>
      <c r="E1638" s="32"/>
      <c r="F1638" s="26"/>
      <c r="G1638" s="26"/>
      <c r="I1638" s="6"/>
      <c r="J1638" s="60"/>
      <c r="K1638" s="60"/>
      <c r="L1638" s="60"/>
      <c r="M1638" s="60"/>
    </row>
    <row r="1639" spans="1:13" ht="15" customHeight="1" x14ac:dyDescent="0.25">
      <c r="A1639" s="2"/>
      <c r="B1639" s="2"/>
      <c r="C1639" s="92"/>
      <c r="D1639" s="37"/>
      <c r="E1639" s="32"/>
      <c r="F1639" s="26"/>
      <c r="G1639" s="26"/>
      <c r="I1639" s="6"/>
      <c r="J1639" s="60"/>
      <c r="K1639" s="60"/>
      <c r="L1639" s="60"/>
      <c r="M1639" s="60"/>
    </row>
    <row r="1640" spans="1:13" ht="15" customHeight="1" x14ac:dyDescent="0.25">
      <c r="A1640" s="2"/>
      <c r="B1640" s="2"/>
      <c r="C1640" s="92"/>
      <c r="D1640" s="37"/>
      <c r="E1640" s="32"/>
      <c r="F1640" s="26"/>
      <c r="G1640" s="26"/>
      <c r="I1640" s="6"/>
      <c r="J1640" s="60"/>
      <c r="K1640" s="60"/>
      <c r="L1640" s="60"/>
      <c r="M1640" s="60"/>
    </row>
    <row r="1641" spans="1:13" ht="15" customHeight="1" x14ac:dyDescent="0.25">
      <c r="A1641" s="2"/>
      <c r="B1641" s="2"/>
      <c r="C1641" s="92"/>
      <c r="D1641" s="37"/>
      <c r="E1641" s="32"/>
      <c r="F1641" s="26"/>
      <c r="G1641" s="26"/>
      <c r="I1641" s="6"/>
      <c r="J1641" s="60"/>
      <c r="K1641" s="61"/>
      <c r="L1641" s="61"/>
      <c r="M1641" s="61"/>
    </row>
    <row r="1642" spans="1:13" ht="15" customHeight="1" x14ac:dyDescent="0.25">
      <c r="A1642" s="2"/>
      <c r="B1642" s="2"/>
      <c r="C1642" s="92"/>
      <c r="D1642" s="37"/>
      <c r="E1642" s="32"/>
      <c r="F1642" s="26"/>
      <c r="G1642" s="26"/>
      <c r="I1642" s="6"/>
      <c r="J1642" s="59"/>
      <c r="K1642" s="60"/>
      <c r="L1642" s="60"/>
      <c r="M1642" s="59"/>
    </row>
    <row r="1643" spans="1:13" ht="15" customHeight="1" x14ac:dyDescent="0.25">
      <c r="A1643" s="2"/>
      <c r="B1643" s="2"/>
      <c r="C1643" s="92"/>
      <c r="D1643" s="37"/>
      <c r="E1643" s="32"/>
      <c r="F1643" s="26"/>
      <c r="G1643" s="26"/>
      <c r="I1643" s="6"/>
      <c r="J1643" s="55"/>
      <c r="K1643" s="60"/>
      <c r="L1643" s="60"/>
      <c r="M1643" s="59"/>
    </row>
    <row r="1644" spans="1:13" ht="15" customHeight="1" x14ac:dyDescent="0.25">
      <c r="A1644" s="2"/>
      <c r="B1644" s="2"/>
      <c r="C1644" s="92"/>
      <c r="D1644" s="37"/>
      <c r="E1644" s="32"/>
      <c r="F1644" s="26"/>
      <c r="G1644" s="26"/>
      <c r="I1644" s="6"/>
      <c r="J1644" s="55"/>
      <c r="K1644" s="59"/>
      <c r="L1644" s="60"/>
      <c r="M1644" s="59"/>
    </row>
    <row r="1645" spans="1:13" ht="15" customHeight="1" x14ac:dyDescent="0.25">
      <c r="A1645" s="2"/>
      <c r="B1645" s="2"/>
      <c r="C1645" s="92"/>
      <c r="D1645" s="37"/>
      <c r="E1645" s="32"/>
      <c r="F1645" s="26"/>
      <c r="G1645" s="26"/>
      <c r="I1645" s="6"/>
      <c r="J1645" s="66"/>
      <c r="K1645" s="59"/>
      <c r="L1645" s="59"/>
      <c r="M1645" s="59"/>
    </row>
    <row r="1646" spans="1:13" ht="15" customHeight="1" x14ac:dyDescent="0.25">
      <c r="A1646" s="2"/>
      <c r="B1646" s="2"/>
      <c r="C1646" s="92"/>
      <c r="D1646" s="37"/>
      <c r="E1646" s="32"/>
      <c r="F1646" s="26"/>
      <c r="G1646" s="26"/>
      <c r="I1646" s="6"/>
      <c r="J1646" s="55"/>
      <c r="K1646" s="60"/>
      <c r="L1646" s="60"/>
      <c r="M1646" s="62"/>
    </row>
    <row r="1647" spans="1:13" ht="15" customHeight="1" x14ac:dyDescent="0.25">
      <c r="A1647" s="2"/>
      <c r="B1647" s="2"/>
      <c r="C1647" s="92"/>
      <c r="D1647" s="37"/>
      <c r="E1647" s="32"/>
      <c r="F1647" s="26"/>
      <c r="G1647" s="26"/>
      <c r="I1647" s="6"/>
      <c r="J1647" s="55"/>
      <c r="K1647" s="60"/>
      <c r="L1647" s="60"/>
      <c r="M1647" s="62"/>
    </row>
    <row r="1648" spans="1:13" ht="15" customHeight="1" x14ac:dyDescent="0.25">
      <c r="A1648" s="2"/>
      <c r="B1648" s="2"/>
      <c r="C1648" s="92"/>
      <c r="D1648" s="37"/>
      <c r="E1648" s="32"/>
      <c r="F1648" s="26"/>
      <c r="G1648" s="26"/>
      <c r="I1648" s="6"/>
      <c r="J1648" s="55"/>
      <c r="K1648" s="62"/>
      <c r="L1648" s="60"/>
      <c r="M1648" s="62"/>
    </row>
    <row r="1649" spans="1:13" ht="15" customHeight="1" x14ac:dyDescent="0.25">
      <c r="A1649" s="2"/>
      <c r="B1649" s="2"/>
      <c r="C1649" s="92"/>
      <c r="D1649" s="37"/>
      <c r="E1649" s="32"/>
      <c r="F1649" s="26"/>
      <c r="G1649" s="26"/>
      <c r="I1649" s="6"/>
      <c r="J1649" s="57"/>
      <c r="K1649" s="62"/>
      <c r="L1649" s="62"/>
      <c r="M1649" s="62"/>
    </row>
    <row r="1650" spans="1:13" ht="15" customHeight="1" x14ac:dyDescent="0.25">
      <c r="A1650" s="2"/>
      <c r="B1650" s="2"/>
      <c r="C1650" s="92"/>
      <c r="D1650" s="37"/>
      <c r="E1650" s="32"/>
      <c r="F1650" s="26"/>
      <c r="G1650" s="26"/>
      <c r="I1650" s="6"/>
      <c r="J1650" s="55"/>
      <c r="K1650" s="60"/>
      <c r="L1650" s="60"/>
      <c r="M1650" s="60"/>
    </row>
    <row r="1651" spans="1:13" ht="15" customHeight="1" x14ac:dyDescent="0.25">
      <c r="A1651" s="2"/>
      <c r="B1651" s="2"/>
      <c r="C1651" s="92"/>
      <c r="D1651" s="37"/>
      <c r="E1651" s="32"/>
      <c r="F1651" s="26"/>
      <c r="G1651" s="26"/>
      <c r="I1651" s="6"/>
      <c r="J1651" s="60"/>
      <c r="K1651" s="60"/>
      <c r="L1651" s="60"/>
      <c r="M1651" s="60"/>
    </row>
    <row r="1652" spans="1:13" ht="15" customHeight="1" x14ac:dyDescent="0.25">
      <c r="A1652" s="2"/>
      <c r="B1652" s="2"/>
      <c r="C1652" s="92"/>
      <c r="D1652" s="37"/>
      <c r="E1652" s="32"/>
      <c r="F1652" s="26"/>
      <c r="G1652" s="26"/>
      <c r="I1652" s="6"/>
      <c r="J1652" s="64"/>
      <c r="K1652" s="60"/>
      <c r="L1652" s="60"/>
      <c r="M1652" s="60"/>
    </row>
    <row r="1653" spans="1:13" ht="15" customHeight="1" x14ac:dyDescent="0.25">
      <c r="A1653" s="2"/>
      <c r="B1653" s="2"/>
      <c r="C1653" s="92"/>
      <c r="D1653" s="37"/>
      <c r="E1653" s="32"/>
      <c r="F1653" s="26"/>
      <c r="G1653" s="26"/>
      <c r="I1653" s="6"/>
      <c r="J1653" s="64"/>
      <c r="K1653" s="60"/>
      <c r="L1653" s="60"/>
      <c r="M1653" s="60"/>
    </row>
    <row r="1654" spans="1:13" ht="15" customHeight="1" x14ac:dyDescent="0.25">
      <c r="A1654" s="2"/>
      <c r="B1654" s="2"/>
      <c r="C1654" s="92"/>
      <c r="D1654" s="37"/>
      <c r="E1654" s="32"/>
      <c r="F1654" s="26"/>
      <c r="G1654" s="26"/>
      <c r="I1654" s="6"/>
      <c r="J1654" s="64"/>
      <c r="K1654" s="60"/>
      <c r="L1654" s="60"/>
      <c r="M1654" s="60"/>
    </row>
    <row r="1655" spans="1:13" ht="15" customHeight="1" x14ac:dyDescent="0.25">
      <c r="A1655" s="2"/>
      <c r="B1655" s="2"/>
      <c r="C1655" s="92"/>
      <c r="D1655" s="37"/>
      <c r="E1655" s="32"/>
      <c r="F1655" s="26"/>
      <c r="G1655" s="26"/>
      <c r="I1655" s="6"/>
      <c r="J1655" s="64"/>
      <c r="K1655" s="60"/>
      <c r="L1655" s="60"/>
      <c r="M1655" s="60"/>
    </row>
    <row r="1656" spans="1:13" ht="15" customHeight="1" x14ac:dyDescent="0.25">
      <c r="A1656" s="2"/>
      <c r="B1656" s="2"/>
      <c r="C1656" s="92"/>
      <c r="D1656" s="37"/>
      <c r="E1656" s="32"/>
      <c r="F1656" s="26"/>
      <c r="G1656" s="26"/>
      <c r="I1656" s="6"/>
      <c r="J1656" s="60"/>
      <c r="K1656" s="60"/>
      <c r="L1656" s="60"/>
      <c r="M1656" s="60"/>
    </row>
    <row r="1657" spans="1:13" ht="15" customHeight="1" x14ac:dyDescent="0.25">
      <c r="A1657" s="2"/>
      <c r="B1657" s="2"/>
      <c r="C1657" s="92"/>
      <c r="D1657" s="37"/>
      <c r="E1657" s="32"/>
      <c r="F1657" s="26"/>
      <c r="G1657" s="26"/>
      <c r="I1657" s="6"/>
      <c r="J1657" s="60"/>
      <c r="K1657" s="60"/>
      <c r="L1657" s="60"/>
      <c r="M1657" s="60"/>
    </row>
    <row r="1658" spans="1:13" ht="15" customHeight="1" x14ac:dyDescent="0.25">
      <c r="A1658" s="2"/>
      <c r="B1658" s="2"/>
      <c r="C1658" s="92"/>
      <c r="D1658" s="37"/>
      <c r="E1658" s="32"/>
      <c r="F1658" s="26"/>
      <c r="G1658" s="26"/>
      <c r="I1658" s="6"/>
      <c r="J1658" s="64"/>
      <c r="K1658" s="60"/>
      <c r="L1658" s="60"/>
      <c r="M1658" s="60"/>
    </row>
    <row r="1659" spans="1:13" ht="15" customHeight="1" x14ac:dyDescent="0.25">
      <c r="A1659" s="2"/>
      <c r="B1659" s="2"/>
      <c r="C1659" s="92"/>
      <c r="D1659" s="37"/>
      <c r="E1659" s="32"/>
      <c r="F1659" s="26"/>
      <c r="G1659" s="26"/>
      <c r="I1659" s="6"/>
      <c r="J1659" s="64"/>
      <c r="K1659" s="60"/>
      <c r="L1659" s="60"/>
      <c r="M1659" s="60"/>
    </row>
    <row r="1660" spans="1:13" ht="15" customHeight="1" x14ac:dyDescent="0.25">
      <c r="A1660" s="2"/>
      <c r="B1660" s="2"/>
      <c r="C1660" s="92"/>
      <c r="D1660" s="37"/>
      <c r="E1660" s="32"/>
      <c r="F1660" s="26"/>
      <c r="G1660" s="26"/>
      <c r="I1660" s="6"/>
      <c r="J1660" s="60"/>
      <c r="K1660" s="60"/>
      <c r="L1660" s="60"/>
      <c r="M1660" s="60"/>
    </row>
    <row r="1661" spans="1:13" ht="15" customHeight="1" x14ac:dyDescent="0.25">
      <c r="A1661" s="2"/>
      <c r="B1661" s="2"/>
      <c r="C1661" s="92"/>
      <c r="D1661" s="37"/>
      <c r="E1661" s="32"/>
      <c r="F1661" s="26"/>
      <c r="G1661" s="26"/>
      <c r="I1661" s="6"/>
      <c r="J1661" s="60"/>
      <c r="K1661" s="60"/>
      <c r="L1661" s="60"/>
      <c r="M1661" s="60"/>
    </row>
    <row r="1662" spans="1:13" ht="15" customHeight="1" x14ac:dyDescent="0.25">
      <c r="A1662" s="2"/>
      <c r="B1662" s="2"/>
      <c r="C1662" s="92"/>
      <c r="D1662" s="37"/>
      <c r="E1662" s="32"/>
      <c r="F1662" s="26"/>
      <c r="G1662" s="26"/>
      <c r="I1662" s="6"/>
      <c r="J1662" s="60"/>
      <c r="K1662" s="60"/>
      <c r="L1662" s="60"/>
      <c r="M1662" s="60"/>
    </row>
    <row r="1663" spans="1:13" ht="15" customHeight="1" x14ac:dyDescent="0.25">
      <c r="A1663" s="2"/>
      <c r="B1663" s="2"/>
      <c r="C1663" s="92"/>
      <c r="D1663" s="37"/>
      <c r="E1663" s="32"/>
      <c r="F1663" s="26"/>
      <c r="G1663" s="26"/>
      <c r="I1663" s="6"/>
      <c r="J1663" s="60"/>
      <c r="K1663" s="60"/>
      <c r="L1663" s="60"/>
      <c r="M1663" s="60"/>
    </row>
    <row r="1664" spans="1:13" ht="15" customHeight="1" x14ac:dyDescent="0.25">
      <c r="A1664" s="2"/>
      <c r="B1664" s="2"/>
      <c r="C1664" s="92"/>
      <c r="D1664" s="37"/>
      <c r="E1664" s="32"/>
      <c r="F1664" s="26"/>
      <c r="G1664" s="26"/>
      <c r="I1664" s="6"/>
      <c r="J1664" s="60"/>
      <c r="K1664" s="60"/>
      <c r="L1664" s="60"/>
      <c r="M1664" s="60"/>
    </row>
    <row r="1665" spans="1:13" ht="15" customHeight="1" x14ac:dyDescent="0.25">
      <c r="A1665" s="2"/>
      <c r="B1665" s="2"/>
      <c r="C1665" s="92"/>
      <c r="D1665" s="37"/>
      <c r="E1665" s="32"/>
      <c r="F1665" s="26"/>
      <c r="G1665" s="26"/>
      <c r="I1665" s="6"/>
      <c r="J1665" s="60"/>
      <c r="K1665" s="60"/>
      <c r="L1665" s="60"/>
      <c r="M1665" s="60"/>
    </row>
    <row r="1666" spans="1:13" ht="15" customHeight="1" x14ac:dyDescent="0.25">
      <c r="A1666" s="2"/>
      <c r="B1666" s="2"/>
      <c r="C1666" s="92"/>
      <c r="D1666" s="37"/>
      <c r="E1666" s="32"/>
      <c r="F1666" s="26"/>
      <c r="G1666" s="26"/>
      <c r="I1666" s="6"/>
      <c r="J1666" s="60"/>
      <c r="K1666" s="60"/>
      <c r="L1666" s="60"/>
      <c r="M1666" s="60"/>
    </row>
    <row r="1667" spans="1:13" ht="15" customHeight="1" x14ac:dyDescent="0.25">
      <c r="A1667" s="2"/>
      <c r="B1667" s="2"/>
      <c r="C1667" s="92"/>
      <c r="D1667" s="37"/>
      <c r="E1667" s="32"/>
      <c r="F1667" s="26"/>
      <c r="G1667" s="26"/>
      <c r="I1667" s="6"/>
      <c r="J1667" s="60"/>
      <c r="K1667" s="60"/>
      <c r="L1667" s="60"/>
      <c r="M1667" s="60"/>
    </row>
    <row r="1668" spans="1:13" ht="15" customHeight="1" x14ac:dyDescent="0.25">
      <c r="A1668" s="2"/>
      <c r="B1668" s="2"/>
      <c r="C1668" s="92"/>
      <c r="D1668" s="37"/>
      <c r="E1668" s="32"/>
      <c r="F1668" s="26"/>
      <c r="G1668" s="26"/>
      <c r="I1668" s="6"/>
      <c r="J1668" s="60"/>
      <c r="K1668" s="61"/>
      <c r="L1668" s="61"/>
      <c r="M1668" s="61"/>
    </row>
    <row r="1669" spans="1:13" ht="15" customHeight="1" x14ac:dyDescent="0.25">
      <c r="A1669" s="2"/>
      <c r="B1669" s="2"/>
      <c r="C1669" s="92"/>
      <c r="D1669" s="37"/>
      <c r="E1669" s="32"/>
      <c r="F1669" s="26"/>
      <c r="G1669" s="26"/>
      <c r="I1669" s="6"/>
      <c r="J1669" s="59"/>
      <c r="K1669" s="60"/>
      <c r="L1669" s="60"/>
      <c r="M1669" s="59"/>
    </row>
    <row r="1670" spans="1:13" ht="15" customHeight="1" x14ac:dyDescent="0.25">
      <c r="A1670" s="2"/>
      <c r="B1670" s="2"/>
      <c r="C1670" s="92"/>
      <c r="D1670" s="37"/>
      <c r="E1670" s="32"/>
      <c r="F1670" s="26"/>
      <c r="G1670" s="26"/>
      <c r="I1670" s="6"/>
      <c r="J1670" s="55"/>
      <c r="K1670" s="60"/>
      <c r="L1670" s="60"/>
      <c r="M1670" s="59"/>
    </row>
    <row r="1671" spans="1:13" ht="15" customHeight="1" x14ac:dyDescent="0.25">
      <c r="A1671" s="2"/>
      <c r="B1671" s="2"/>
      <c r="C1671" s="92"/>
      <c r="D1671" s="37"/>
      <c r="E1671" s="32"/>
      <c r="F1671" s="26"/>
      <c r="G1671" s="26"/>
      <c r="I1671" s="6"/>
      <c r="J1671" s="55"/>
      <c r="K1671" s="59"/>
      <c r="L1671" s="60"/>
      <c r="M1671" s="59"/>
    </row>
    <row r="1672" spans="1:13" ht="15" customHeight="1" x14ac:dyDescent="0.25">
      <c r="A1672" s="2"/>
      <c r="B1672" s="2"/>
      <c r="C1672" s="92"/>
      <c r="D1672" s="37"/>
      <c r="E1672" s="32"/>
      <c r="F1672" s="26"/>
      <c r="G1672" s="26"/>
      <c r="I1672" s="6"/>
      <c r="J1672" s="66"/>
      <c r="K1672" s="59"/>
      <c r="L1672" s="59"/>
      <c r="M1672" s="59"/>
    </row>
    <row r="1673" spans="1:13" ht="15" customHeight="1" x14ac:dyDescent="0.25">
      <c r="A1673" s="2"/>
      <c r="B1673" s="2"/>
      <c r="C1673" s="92"/>
      <c r="D1673" s="37"/>
      <c r="E1673" s="32"/>
      <c r="F1673" s="26"/>
      <c r="G1673" s="26"/>
      <c r="I1673" s="6"/>
      <c r="J1673" s="55"/>
      <c r="K1673" s="60"/>
      <c r="L1673" s="60"/>
      <c r="M1673" s="60"/>
    </row>
    <row r="1674" spans="1:13" ht="15" customHeight="1" x14ac:dyDescent="0.25">
      <c r="A1674" s="2"/>
      <c r="B1674" s="2"/>
      <c r="C1674" s="92"/>
      <c r="D1674" s="37"/>
      <c r="E1674" s="32"/>
      <c r="F1674" s="26"/>
      <c r="G1674" s="26"/>
      <c r="I1674" s="6"/>
      <c r="J1674" s="60"/>
      <c r="K1674" s="60"/>
      <c r="L1674" s="60"/>
      <c r="M1674" s="60"/>
    </row>
    <row r="1675" spans="1:13" ht="15" customHeight="1" x14ac:dyDescent="0.25">
      <c r="A1675" s="2"/>
      <c r="B1675" s="2"/>
      <c r="C1675" s="92"/>
      <c r="D1675" s="37"/>
      <c r="E1675" s="32"/>
      <c r="F1675" s="26"/>
      <c r="G1675" s="26"/>
      <c r="I1675" s="6"/>
      <c r="J1675" s="60"/>
      <c r="K1675" s="60"/>
      <c r="L1675" s="60"/>
      <c r="M1675" s="60"/>
    </row>
    <row r="1676" spans="1:13" ht="15" customHeight="1" x14ac:dyDescent="0.25">
      <c r="A1676" s="2"/>
      <c r="B1676" s="2"/>
      <c r="C1676" s="92"/>
      <c r="D1676" s="37"/>
      <c r="E1676" s="32"/>
      <c r="F1676" s="26"/>
      <c r="G1676" s="26"/>
      <c r="I1676" s="6"/>
      <c r="J1676" s="60"/>
      <c r="K1676" s="60"/>
      <c r="L1676" s="60"/>
      <c r="M1676" s="60"/>
    </row>
    <row r="1677" spans="1:13" ht="15" customHeight="1" x14ac:dyDescent="0.25">
      <c r="A1677" s="2"/>
      <c r="B1677" s="2"/>
      <c r="C1677" s="92"/>
      <c r="D1677" s="37"/>
      <c r="E1677" s="32"/>
      <c r="F1677" s="26"/>
      <c r="G1677" s="26"/>
      <c r="I1677" s="6"/>
      <c r="J1677" s="60"/>
      <c r="K1677" s="60"/>
      <c r="L1677" s="60"/>
      <c r="M1677" s="60"/>
    </row>
    <row r="1678" spans="1:13" ht="15" customHeight="1" x14ac:dyDescent="0.25">
      <c r="A1678" s="2"/>
      <c r="B1678" s="2"/>
      <c r="C1678" s="92"/>
      <c r="D1678" s="37"/>
      <c r="E1678" s="32"/>
      <c r="F1678" s="26"/>
      <c r="G1678" s="26"/>
      <c r="I1678" s="6"/>
      <c r="J1678" s="60"/>
      <c r="K1678" s="60"/>
      <c r="L1678" s="60"/>
      <c r="M1678" s="60"/>
    </row>
    <row r="1679" spans="1:13" ht="15" customHeight="1" x14ac:dyDescent="0.25">
      <c r="A1679" s="2"/>
      <c r="B1679" s="2"/>
      <c r="C1679" s="102"/>
      <c r="D1679" s="37"/>
      <c r="E1679" s="32"/>
      <c r="F1679" s="26"/>
      <c r="G1679" s="26"/>
      <c r="I1679" s="6"/>
      <c r="J1679" s="60"/>
      <c r="K1679" s="60"/>
      <c r="L1679" s="60"/>
      <c r="M1679" s="60"/>
    </row>
    <row r="1680" spans="1:13" ht="15" customHeight="1" x14ac:dyDescent="0.25">
      <c r="A1680" s="2"/>
      <c r="B1680" s="2"/>
      <c r="C1680" s="94"/>
      <c r="D1680" s="37"/>
      <c r="E1680" s="32"/>
      <c r="F1680" s="26"/>
      <c r="G1680" s="26"/>
      <c r="I1680" s="6"/>
      <c r="J1680" s="60"/>
      <c r="K1680" s="60"/>
      <c r="L1680" s="60"/>
      <c r="M1680" s="60"/>
    </row>
    <row r="1681" spans="1:13" ht="15" customHeight="1" x14ac:dyDescent="0.25">
      <c r="A1681" s="2"/>
      <c r="B1681" s="2"/>
      <c r="C1681" s="98"/>
      <c r="D1681" s="37"/>
      <c r="E1681" s="32"/>
      <c r="F1681" s="26"/>
      <c r="G1681" s="26"/>
      <c r="I1681" s="6"/>
      <c r="J1681" s="60"/>
      <c r="K1681" s="60"/>
      <c r="L1681" s="60"/>
      <c r="M1681" s="60"/>
    </row>
    <row r="1682" spans="1:13" ht="15" customHeight="1" x14ac:dyDescent="0.25">
      <c r="A1682" s="2"/>
      <c r="B1682" s="2"/>
      <c r="C1682" s="92"/>
      <c r="D1682" s="37"/>
      <c r="E1682" s="32"/>
      <c r="F1682" s="26"/>
      <c r="G1682" s="26"/>
      <c r="I1682" s="6"/>
      <c r="J1682" s="60"/>
      <c r="K1682" s="60"/>
      <c r="L1682" s="60"/>
      <c r="M1682" s="60"/>
    </row>
    <row r="1683" spans="1:13" ht="15" customHeight="1" x14ac:dyDescent="0.25">
      <c r="A1683" s="2"/>
      <c r="B1683" s="2"/>
      <c r="C1683" s="92"/>
      <c r="D1683" s="37"/>
      <c r="E1683" s="32"/>
      <c r="F1683" s="38"/>
      <c r="G1683" s="26"/>
      <c r="I1683" s="6"/>
      <c r="J1683" s="60"/>
      <c r="K1683" s="60"/>
      <c r="L1683" s="60"/>
      <c r="M1683" s="60"/>
    </row>
    <row r="1684" spans="1:13" ht="15" customHeight="1" x14ac:dyDescent="0.25">
      <c r="A1684" s="2"/>
      <c r="B1684" s="2"/>
      <c r="C1684" s="92"/>
      <c r="D1684" s="37"/>
      <c r="E1684" s="32"/>
      <c r="F1684" s="38"/>
      <c r="I1684" s="6"/>
      <c r="J1684" s="64"/>
      <c r="K1684" s="60"/>
      <c r="L1684" s="60"/>
      <c r="M1684" s="60"/>
    </row>
    <row r="1685" spans="1:13" ht="15" customHeight="1" x14ac:dyDescent="0.25">
      <c r="A1685" s="2"/>
      <c r="B1685" s="2"/>
      <c r="C1685" s="92"/>
      <c r="D1685" s="37"/>
      <c r="E1685" s="32"/>
      <c r="F1685" s="26"/>
      <c r="I1685" s="6"/>
      <c r="J1685" s="64"/>
      <c r="K1685" s="60"/>
      <c r="L1685" s="60"/>
      <c r="M1685" s="60"/>
    </row>
    <row r="1686" spans="1:13" ht="15" customHeight="1" x14ac:dyDescent="0.25">
      <c r="A1686" s="2"/>
      <c r="B1686" s="2"/>
      <c r="C1686" s="92"/>
      <c r="D1686" s="37"/>
      <c r="E1686" s="32"/>
      <c r="F1686" s="26"/>
      <c r="G1686" s="26"/>
      <c r="I1686" s="6"/>
      <c r="J1686" s="60"/>
      <c r="K1686" s="61"/>
      <c r="L1686" s="61"/>
      <c r="M1686" s="61"/>
    </row>
    <row r="1687" spans="1:13" ht="15" customHeight="1" x14ac:dyDescent="0.25">
      <c r="B1687" s="2"/>
      <c r="C1687" s="92"/>
      <c r="D1687" s="37"/>
      <c r="E1687" s="32"/>
      <c r="F1687" s="26"/>
      <c r="G1687" s="26"/>
      <c r="I1687" s="6"/>
      <c r="J1687" s="62"/>
      <c r="K1687" s="60"/>
      <c r="L1687" s="60"/>
      <c r="M1687" s="62"/>
    </row>
    <row r="1688" spans="1:13" ht="15" customHeight="1" x14ac:dyDescent="0.25">
      <c r="C1688" s="92"/>
      <c r="D1688" s="40"/>
      <c r="E1688" s="32"/>
      <c r="F1688" s="26"/>
      <c r="G1688" s="26"/>
      <c r="I1688" s="6"/>
      <c r="J1688" s="55"/>
      <c r="K1688" s="60"/>
      <c r="L1688" s="60"/>
      <c r="M1688" s="62"/>
    </row>
    <row r="1689" spans="1:13" ht="15" customHeight="1" x14ac:dyDescent="0.25">
      <c r="A1689" s="2"/>
      <c r="C1689" s="92"/>
      <c r="D1689" s="40"/>
      <c r="E1689" s="32"/>
      <c r="F1689" s="26"/>
      <c r="G1689" s="26"/>
      <c r="I1689" s="6"/>
      <c r="J1689" s="55"/>
      <c r="K1689" s="62"/>
      <c r="L1689" s="60"/>
      <c r="M1689" s="62"/>
    </row>
    <row r="1690" spans="1:13" ht="15" customHeight="1" x14ac:dyDescent="0.25">
      <c r="A1690" s="2"/>
      <c r="B1690" s="2"/>
      <c r="C1690" s="92"/>
      <c r="D1690" s="37"/>
      <c r="E1690" s="32"/>
      <c r="F1690" s="26"/>
      <c r="G1690" s="26"/>
      <c r="I1690" s="6"/>
      <c r="J1690" s="57"/>
      <c r="K1690" s="62"/>
      <c r="L1690" s="62"/>
      <c r="M1690" s="62"/>
    </row>
    <row r="1691" spans="1:13" ht="15" customHeight="1" x14ac:dyDescent="0.25">
      <c r="A1691" s="2"/>
      <c r="B1691" s="2"/>
      <c r="C1691" s="92"/>
      <c r="D1691" s="37"/>
      <c r="E1691" s="32"/>
      <c r="F1691" s="26"/>
      <c r="G1691" s="26"/>
      <c r="I1691" s="6"/>
      <c r="J1691" s="55"/>
      <c r="K1691" s="60"/>
      <c r="L1691" s="60"/>
      <c r="M1691" s="60"/>
    </row>
    <row r="1692" spans="1:13" ht="15" customHeight="1" x14ac:dyDescent="0.25">
      <c r="A1692" s="2"/>
      <c r="B1692" s="2"/>
      <c r="C1692" s="92"/>
      <c r="D1692" s="37"/>
      <c r="E1692" s="32"/>
      <c r="F1692" s="26"/>
      <c r="G1692" s="26"/>
      <c r="I1692" s="6"/>
      <c r="J1692" s="64"/>
      <c r="K1692" s="60"/>
      <c r="L1692" s="60"/>
      <c r="M1692" s="60"/>
    </row>
    <row r="1693" spans="1:13" ht="15" customHeight="1" x14ac:dyDescent="0.25">
      <c r="A1693" s="2"/>
      <c r="B1693" s="2"/>
      <c r="C1693" s="92"/>
      <c r="D1693" s="37"/>
      <c r="E1693" s="32"/>
      <c r="F1693" s="26"/>
      <c r="G1693" s="26"/>
      <c r="I1693" s="6"/>
      <c r="J1693" s="64"/>
      <c r="K1693" s="60"/>
      <c r="L1693" s="60"/>
      <c r="M1693" s="60"/>
    </row>
    <row r="1694" spans="1:13" ht="15" customHeight="1" x14ac:dyDescent="0.25">
      <c r="A1694" s="2"/>
      <c r="B1694" s="2"/>
      <c r="C1694" s="92"/>
      <c r="D1694" s="37"/>
      <c r="E1694" s="32"/>
      <c r="F1694" s="26"/>
      <c r="G1694" s="26"/>
      <c r="I1694" s="6"/>
      <c r="J1694" s="64"/>
      <c r="K1694" s="60"/>
      <c r="L1694" s="60"/>
      <c r="M1694" s="60"/>
    </row>
    <row r="1695" spans="1:13" ht="15" customHeight="1" x14ac:dyDescent="0.25">
      <c r="A1695" s="2"/>
      <c r="B1695" s="2"/>
      <c r="C1695" s="92"/>
      <c r="D1695" s="37"/>
      <c r="E1695" s="32"/>
      <c r="F1695" s="26"/>
      <c r="G1695" s="26"/>
      <c r="I1695" s="6"/>
      <c r="J1695" s="60"/>
      <c r="K1695" s="60"/>
      <c r="L1695" s="60"/>
      <c r="M1695" s="60"/>
    </row>
    <row r="1696" spans="1:13" ht="15" customHeight="1" x14ac:dyDescent="0.25">
      <c r="A1696" s="2"/>
      <c r="B1696" s="2"/>
      <c r="C1696" s="92"/>
      <c r="D1696" s="37"/>
      <c r="E1696" s="32"/>
      <c r="F1696" s="26"/>
      <c r="G1696" s="26"/>
      <c r="I1696" s="6"/>
      <c r="J1696" s="60"/>
      <c r="K1696" s="60"/>
      <c r="L1696" s="60"/>
      <c r="M1696" s="60"/>
    </row>
    <row r="1697" spans="1:13" ht="15" customHeight="1" x14ac:dyDescent="0.25">
      <c r="A1697" s="2"/>
      <c r="B1697" s="2"/>
      <c r="C1697" s="92"/>
      <c r="D1697" s="37"/>
      <c r="E1697" s="32"/>
      <c r="F1697" s="26"/>
      <c r="G1697" s="26"/>
      <c r="I1697" s="6"/>
      <c r="J1697" s="60"/>
      <c r="K1697" s="60"/>
      <c r="L1697" s="60"/>
      <c r="M1697" s="60"/>
    </row>
    <row r="1698" spans="1:13" ht="15" customHeight="1" x14ac:dyDescent="0.25">
      <c r="A1698" s="2"/>
      <c r="B1698" s="2"/>
      <c r="C1698" s="92"/>
      <c r="D1698" s="37"/>
      <c r="E1698" s="32"/>
      <c r="F1698" s="26"/>
      <c r="G1698" s="26"/>
      <c r="I1698" s="6"/>
      <c r="J1698" s="60"/>
      <c r="K1698" s="60"/>
      <c r="L1698" s="60"/>
      <c r="M1698" s="60"/>
    </row>
    <row r="1699" spans="1:13" ht="15" customHeight="1" x14ac:dyDescent="0.25">
      <c r="A1699" s="2"/>
      <c r="B1699" s="2"/>
      <c r="C1699" s="92"/>
      <c r="D1699" s="37"/>
      <c r="E1699" s="32"/>
      <c r="F1699" s="26"/>
      <c r="G1699" s="26"/>
      <c r="I1699" s="6"/>
      <c r="J1699" s="60"/>
      <c r="K1699" s="60"/>
      <c r="L1699" s="60"/>
      <c r="M1699" s="60"/>
    </row>
    <row r="1700" spans="1:13" ht="15" customHeight="1" x14ac:dyDescent="0.25">
      <c r="A1700" s="2"/>
      <c r="B1700" s="2"/>
      <c r="C1700" s="92"/>
      <c r="D1700" s="37"/>
      <c r="E1700" s="32"/>
      <c r="F1700" s="26"/>
      <c r="G1700" s="26"/>
      <c r="I1700" s="6"/>
      <c r="J1700" s="60"/>
      <c r="K1700" s="60"/>
      <c r="L1700" s="60"/>
      <c r="M1700" s="60"/>
    </row>
    <row r="1701" spans="1:13" ht="15" customHeight="1" x14ac:dyDescent="0.25">
      <c r="A1701" s="2"/>
      <c r="B1701" s="2"/>
      <c r="C1701" s="92"/>
      <c r="D1701" s="37"/>
      <c r="E1701" s="32"/>
      <c r="F1701" s="26"/>
      <c r="G1701" s="26"/>
      <c r="I1701" s="6"/>
      <c r="J1701" s="60"/>
      <c r="K1701" s="60"/>
      <c r="L1701" s="60"/>
      <c r="M1701" s="60"/>
    </row>
    <row r="1702" spans="1:13" ht="15" customHeight="1" x14ac:dyDescent="0.25">
      <c r="A1702" s="2"/>
      <c r="B1702" s="2"/>
      <c r="C1702" s="92"/>
      <c r="D1702" s="37"/>
      <c r="E1702" s="32"/>
      <c r="F1702" s="26"/>
      <c r="G1702" s="26"/>
      <c r="I1702" s="6"/>
      <c r="J1702" s="60"/>
      <c r="K1702" s="60"/>
      <c r="L1702" s="60"/>
      <c r="M1702" s="60"/>
    </row>
    <row r="1703" spans="1:13" ht="15" customHeight="1" x14ac:dyDescent="0.25">
      <c r="A1703" s="2"/>
      <c r="B1703" s="2"/>
      <c r="C1703" s="92"/>
      <c r="D1703" s="37"/>
      <c r="E1703" s="32"/>
      <c r="F1703" s="26"/>
      <c r="G1703" s="26"/>
      <c r="I1703" s="6"/>
      <c r="J1703" s="60"/>
      <c r="K1703" s="60"/>
      <c r="L1703" s="60"/>
      <c r="M1703" s="60"/>
    </row>
    <row r="1704" spans="1:13" ht="15" customHeight="1" x14ac:dyDescent="0.25">
      <c r="A1704" s="2"/>
      <c r="B1704" s="2"/>
      <c r="C1704" s="92"/>
      <c r="D1704" s="37"/>
      <c r="E1704" s="32"/>
      <c r="F1704" s="26"/>
      <c r="G1704" s="26"/>
      <c r="I1704" s="6"/>
      <c r="J1704" s="60"/>
      <c r="K1704" s="60"/>
      <c r="L1704" s="60"/>
      <c r="M1704" s="60"/>
    </row>
    <row r="1705" spans="1:13" ht="15" customHeight="1" x14ac:dyDescent="0.25">
      <c r="A1705" s="2"/>
      <c r="B1705" s="2"/>
      <c r="C1705" s="92"/>
      <c r="D1705" s="37"/>
      <c r="E1705" s="32"/>
      <c r="F1705" s="26"/>
      <c r="G1705" s="26"/>
      <c r="I1705" s="6"/>
      <c r="J1705" s="60"/>
      <c r="K1705" s="61"/>
      <c r="L1705" s="61"/>
      <c r="M1705" s="61"/>
    </row>
    <row r="1706" spans="1:13" ht="15" customHeight="1" x14ac:dyDescent="0.25">
      <c r="A1706" s="2"/>
      <c r="B1706" s="2"/>
      <c r="C1706" s="92"/>
      <c r="D1706" s="37"/>
      <c r="E1706" s="32"/>
      <c r="F1706" s="26"/>
      <c r="G1706" s="26"/>
      <c r="I1706" s="6"/>
      <c r="J1706" s="62"/>
      <c r="K1706" s="61"/>
      <c r="L1706" s="61"/>
      <c r="M1706" s="61"/>
    </row>
    <row r="1707" spans="1:13" ht="15" customHeight="1" x14ac:dyDescent="0.25">
      <c r="A1707" s="2"/>
      <c r="B1707" s="2"/>
      <c r="C1707" s="92"/>
      <c r="D1707" s="37"/>
      <c r="E1707" s="32"/>
      <c r="F1707" s="26"/>
      <c r="G1707" s="26"/>
      <c r="I1707" s="6"/>
      <c r="J1707" s="59"/>
      <c r="K1707" s="60"/>
      <c r="L1707" s="60"/>
      <c r="M1707" s="59"/>
    </row>
    <row r="1708" spans="1:13" ht="15" customHeight="1" x14ac:dyDescent="0.25">
      <c r="A1708" s="2"/>
      <c r="B1708" s="2"/>
      <c r="C1708" s="92"/>
      <c r="D1708" s="37"/>
      <c r="E1708" s="32"/>
      <c r="F1708" s="26"/>
      <c r="G1708" s="26"/>
      <c r="I1708" s="6"/>
      <c r="J1708" s="55"/>
      <c r="K1708" s="60"/>
      <c r="L1708" s="60"/>
      <c r="M1708" s="59"/>
    </row>
    <row r="1709" spans="1:13" ht="15" customHeight="1" x14ac:dyDescent="0.25">
      <c r="A1709" s="2"/>
      <c r="B1709" s="2"/>
      <c r="C1709" s="92"/>
      <c r="D1709" s="37"/>
      <c r="E1709" s="32"/>
      <c r="F1709" s="26"/>
      <c r="G1709" s="26"/>
      <c r="I1709" s="6"/>
      <c r="J1709" s="55"/>
      <c r="K1709" s="59"/>
      <c r="L1709" s="60"/>
      <c r="M1709" s="59"/>
    </row>
    <row r="1710" spans="1:13" ht="15" customHeight="1" x14ac:dyDescent="0.25">
      <c r="A1710" s="2"/>
      <c r="B1710" s="2"/>
      <c r="C1710" s="92"/>
      <c r="D1710" s="37"/>
      <c r="E1710" s="32"/>
      <c r="F1710" s="26"/>
      <c r="G1710" s="26"/>
      <c r="I1710" s="6"/>
      <c r="J1710" s="66"/>
      <c r="K1710" s="59"/>
      <c r="L1710" s="59"/>
      <c r="M1710" s="59"/>
    </row>
    <row r="1711" spans="1:13" ht="15" customHeight="1" x14ac:dyDescent="0.25">
      <c r="A1711" s="2"/>
      <c r="B1711" s="2"/>
      <c r="C1711" s="92"/>
      <c r="D1711" s="37"/>
      <c r="E1711" s="32"/>
      <c r="F1711" s="26"/>
      <c r="G1711" s="26"/>
      <c r="I1711" s="6"/>
      <c r="J1711" s="55"/>
      <c r="K1711" s="60"/>
      <c r="L1711" s="60"/>
      <c r="M1711" s="60"/>
    </row>
    <row r="1712" spans="1:13" ht="15" customHeight="1" x14ac:dyDescent="0.25">
      <c r="A1712" s="2"/>
      <c r="B1712" s="2"/>
      <c r="C1712" s="92"/>
      <c r="D1712" s="37"/>
      <c r="E1712" s="32"/>
      <c r="F1712" s="26"/>
      <c r="G1712" s="26"/>
      <c r="I1712" s="6"/>
      <c r="J1712" s="60"/>
      <c r="K1712" s="60"/>
      <c r="L1712" s="60"/>
      <c r="M1712" s="60"/>
    </row>
    <row r="1713" spans="1:13" ht="15" customHeight="1" x14ac:dyDescent="0.25">
      <c r="A1713" s="2"/>
      <c r="B1713" s="2"/>
      <c r="C1713" s="92"/>
      <c r="D1713" s="37"/>
      <c r="E1713" s="32"/>
      <c r="F1713" s="26"/>
      <c r="G1713" s="26"/>
      <c r="I1713" s="6"/>
      <c r="J1713" s="60"/>
      <c r="K1713" s="60"/>
      <c r="L1713" s="60"/>
      <c r="M1713" s="60"/>
    </row>
    <row r="1714" spans="1:13" ht="15" customHeight="1" x14ac:dyDescent="0.25">
      <c r="A1714" s="2"/>
      <c r="B1714" s="2"/>
      <c r="C1714" s="92"/>
      <c r="D1714" s="37"/>
      <c r="E1714" s="32"/>
      <c r="F1714" s="26"/>
      <c r="G1714" s="26"/>
      <c r="I1714" s="6"/>
      <c r="J1714" s="60"/>
      <c r="K1714" s="60"/>
      <c r="L1714" s="60"/>
      <c r="M1714" s="60"/>
    </row>
    <row r="1715" spans="1:13" ht="15" customHeight="1" x14ac:dyDescent="0.25">
      <c r="A1715" s="2"/>
      <c r="B1715" s="2"/>
      <c r="C1715" s="92"/>
      <c r="D1715" s="37"/>
      <c r="E1715" s="32"/>
      <c r="F1715" s="26"/>
      <c r="G1715" s="26"/>
      <c r="I1715" s="6"/>
      <c r="J1715" s="64"/>
      <c r="K1715" s="60"/>
      <c r="L1715" s="60"/>
      <c r="M1715" s="60"/>
    </row>
    <row r="1716" spans="1:13" ht="15" customHeight="1" x14ac:dyDescent="0.25">
      <c r="A1716" s="2"/>
      <c r="B1716" s="2"/>
      <c r="C1716" s="92"/>
      <c r="D1716" s="37"/>
      <c r="E1716" s="32"/>
      <c r="F1716" s="26"/>
      <c r="G1716" s="26"/>
      <c r="I1716" s="6"/>
      <c r="J1716" s="64"/>
      <c r="K1716" s="60"/>
      <c r="L1716" s="60"/>
      <c r="M1716" s="60"/>
    </row>
    <row r="1717" spans="1:13" ht="15" customHeight="1" x14ac:dyDescent="0.25">
      <c r="A1717" s="2"/>
      <c r="B1717" s="2"/>
      <c r="C1717" s="92"/>
      <c r="D1717" s="37"/>
      <c r="E1717" s="32"/>
      <c r="F1717" s="26"/>
      <c r="G1717" s="26"/>
      <c r="I1717" s="6"/>
      <c r="J1717" s="64"/>
      <c r="K1717" s="60"/>
      <c r="L1717" s="60"/>
      <c r="M1717" s="60"/>
    </row>
    <row r="1718" spans="1:13" ht="15" customHeight="1" x14ac:dyDescent="0.25">
      <c r="A1718" s="2"/>
      <c r="B1718" s="2"/>
      <c r="C1718" s="92"/>
      <c r="D1718" s="37"/>
      <c r="E1718" s="32"/>
      <c r="F1718" s="26"/>
      <c r="G1718" s="26"/>
      <c r="I1718" s="6"/>
      <c r="J1718" s="64"/>
      <c r="K1718" s="60"/>
      <c r="L1718" s="60"/>
      <c r="M1718" s="60"/>
    </row>
    <row r="1719" spans="1:13" ht="15" customHeight="1" x14ac:dyDescent="0.25">
      <c r="A1719" s="2"/>
      <c r="B1719" s="2"/>
      <c r="C1719" s="92"/>
      <c r="D1719" s="37"/>
      <c r="E1719" s="32"/>
      <c r="F1719" s="26"/>
      <c r="G1719" s="26"/>
      <c r="I1719" s="6"/>
      <c r="J1719" s="64"/>
      <c r="K1719" s="60"/>
      <c r="L1719" s="60"/>
      <c r="M1719" s="60"/>
    </row>
    <row r="1720" spans="1:13" ht="15" customHeight="1" x14ac:dyDescent="0.25">
      <c r="A1720" s="2"/>
      <c r="B1720" s="2"/>
      <c r="C1720" s="92"/>
      <c r="D1720" s="37"/>
      <c r="E1720" s="32"/>
      <c r="F1720" s="26"/>
      <c r="G1720" s="26"/>
      <c r="I1720" s="6"/>
      <c r="J1720" s="64"/>
      <c r="K1720" s="60"/>
      <c r="L1720" s="60"/>
      <c r="M1720" s="60"/>
    </row>
    <row r="1721" spans="1:13" ht="15" customHeight="1" x14ac:dyDescent="0.25">
      <c r="A1721" s="2"/>
      <c r="B1721" s="2"/>
      <c r="C1721" s="92"/>
      <c r="D1721" s="37"/>
      <c r="E1721" s="32"/>
      <c r="F1721" s="26"/>
      <c r="G1721" s="26"/>
      <c r="I1721" s="6"/>
      <c r="J1721" s="60"/>
      <c r="K1721" s="60"/>
      <c r="L1721" s="60"/>
      <c r="M1721" s="60"/>
    </row>
    <row r="1722" spans="1:13" ht="15" customHeight="1" x14ac:dyDescent="0.25">
      <c r="A1722" s="2"/>
      <c r="B1722" s="2"/>
      <c r="C1722" s="92"/>
      <c r="D1722" s="37"/>
      <c r="E1722" s="32"/>
      <c r="F1722" s="26"/>
      <c r="G1722" s="26"/>
      <c r="I1722" s="6"/>
      <c r="J1722" s="60"/>
      <c r="K1722" s="60"/>
      <c r="L1722" s="60"/>
      <c r="M1722" s="60"/>
    </row>
    <row r="1723" spans="1:13" ht="15" customHeight="1" x14ac:dyDescent="0.25">
      <c r="A1723" s="2"/>
      <c r="B1723" s="2"/>
      <c r="C1723" s="92"/>
      <c r="D1723" s="37"/>
      <c r="E1723" s="32"/>
      <c r="F1723" s="26"/>
      <c r="G1723" s="26"/>
      <c r="I1723" s="6"/>
      <c r="J1723" s="60"/>
      <c r="K1723" s="60"/>
      <c r="L1723" s="60"/>
      <c r="M1723" s="60"/>
    </row>
    <row r="1724" spans="1:13" ht="15" customHeight="1" x14ac:dyDescent="0.25">
      <c r="A1724" s="2"/>
      <c r="B1724" s="2"/>
      <c r="C1724" s="92"/>
      <c r="D1724" s="37"/>
      <c r="E1724" s="32"/>
      <c r="F1724" s="26"/>
      <c r="G1724" s="26"/>
      <c r="I1724" s="6"/>
      <c r="J1724" s="60"/>
      <c r="K1724" s="60"/>
      <c r="L1724" s="60"/>
      <c r="M1724" s="60"/>
    </row>
    <row r="1725" spans="1:13" ht="15" customHeight="1" x14ac:dyDescent="0.25">
      <c r="A1725" s="2"/>
      <c r="B1725" s="2"/>
      <c r="C1725" s="92"/>
      <c r="D1725" s="37"/>
      <c r="E1725" s="32"/>
      <c r="F1725" s="26"/>
      <c r="G1725" s="26"/>
      <c r="I1725" s="6"/>
      <c r="J1725" s="60"/>
      <c r="K1725" s="60"/>
      <c r="L1725" s="60"/>
      <c r="M1725" s="60"/>
    </row>
    <row r="1726" spans="1:13" ht="15" customHeight="1" x14ac:dyDescent="0.25">
      <c r="A1726" s="2"/>
      <c r="B1726" s="2"/>
      <c r="C1726" s="92"/>
      <c r="D1726" s="37"/>
      <c r="E1726" s="32"/>
      <c r="F1726" s="26"/>
      <c r="G1726" s="26"/>
      <c r="I1726" s="6"/>
      <c r="J1726" s="60"/>
      <c r="K1726" s="60"/>
      <c r="L1726" s="60"/>
      <c r="M1726" s="60"/>
    </row>
    <row r="1727" spans="1:13" ht="15" customHeight="1" x14ac:dyDescent="0.25">
      <c r="A1727" s="2"/>
      <c r="B1727" s="2"/>
      <c r="C1727" s="92"/>
      <c r="D1727" s="37"/>
      <c r="E1727" s="32"/>
      <c r="F1727" s="26"/>
      <c r="G1727" s="26"/>
      <c r="I1727" s="6"/>
      <c r="J1727" s="60"/>
      <c r="K1727" s="60"/>
      <c r="L1727" s="60"/>
      <c r="M1727" s="60"/>
    </row>
    <row r="1728" spans="1:13" ht="15" customHeight="1" x14ac:dyDescent="0.25">
      <c r="A1728" s="2"/>
      <c r="B1728" s="2"/>
      <c r="C1728" s="92"/>
      <c r="D1728" s="37"/>
      <c r="E1728" s="32"/>
      <c r="F1728" s="26"/>
      <c r="G1728" s="26"/>
      <c r="I1728" s="6"/>
      <c r="J1728" s="60"/>
      <c r="K1728" s="60"/>
      <c r="L1728" s="60"/>
      <c r="M1728" s="60"/>
    </row>
    <row r="1729" spans="1:13" ht="15" customHeight="1" x14ac:dyDescent="0.25">
      <c r="A1729" s="2"/>
      <c r="B1729" s="2"/>
      <c r="C1729" s="92"/>
      <c r="D1729" s="37"/>
      <c r="E1729" s="32"/>
      <c r="F1729" s="26"/>
      <c r="G1729" s="26"/>
      <c r="I1729" s="6"/>
      <c r="J1729" s="64"/>
      <c r="K1729" s="60"/>
      <c r="L1729" s="60"/>
      <c r="M1729" s="60"/>
    </row>
    <row r="1730" spans="1:13" ht="15" customHeight="1" x14ac:dyDescent="0.25">
      <c r="A1730" s="2"/>
      <c r="B1730" s="2"/>
      <c r="C1730" s="92"/>
      <c r="D1730" s="37"/>
      <c r="E1730" s="32"/>
      <c r="F1730" s="26"/>
      <c r="G1730" s="26"/>
      <c r="I1730" s="6"/>
      <c r="J1730" s="64"/>
      <c r="K1730" s="60"/>
      <c r="L1730" s="60"/>
      <c r="M1730" s="60"/>
    </row>
    <row r="1731" spans="1:13" ht="15" customHeight="1" x14ac:dyDescent="0.25">
      <c r="A1731" s="2"/>
      <c r="B1731" s="2"/>
      <c r="C1731" s="92"/>
      <c r="D1731" s="37"/>
      <c r="E1731" s="32"/>
      <c r="F1731" s="26"/>
      <c r="G1731" s="26"/>
      <c r="I1731" s="6"/>
      <c r="J1731" s="64"/>
      <c r="K1731" s="60"/>
      <c r="L1731" s="60"/>
      <c r="M1731" s="60"/>
    </row>
    <row r="1732" spans="1:13" ht="15" customHeight="1" x14ac:dyDescent="0.25">
      <c r="A1732" s="2"/>
      <c r="B1732" s="2"/>
      <c r="C1732" s="92"/>
      <c r="D1732" s="37"/>
      <c r="E1732" s="32"/>
      <c r="F1732" s="26"/>
      <c r="G1732" s="26"/>
      <c r="I1732" s="6"/>
      <c r="J1732" s="64"/>
      <c r="K1732" s="60"/>
      <c r="L1732" s="60"/>
      <c r="M1732" s="60"/>
    </row>
    <row r="1733" spans="1:13" ht="15" customHeight="1" x14ac:dyDescent="0.25">
      <c r="A1733" s="2"/>
      <c r="B1733" s="2"/>
      <c r="C1733" s="92"/>
      <c r="D1733" s="37"/>
      <c r="E1733" s="32"/>
      <c r="F1733" s="26"/>
      <c r="G1733" s="26"/>
      <c r="I1733" s="6"/>
      <c r="J1733" s="60"/>
      <c r="K1733" s="60"/>
      <c r="L1733" s="60"/>
      <c r="M1733" s="60"/>
    </row>
    <row r="1734" spans="1:13" ht="15" customHeight="1" x14ac:dyDescent="0.25">
      <c r="A1734" s="2"/>
      <c r="B1734" s="2"/>
      <c r="C1734" s="92"/>
      <c r="D1734" s="37"/>
      <c r="E1734" s="32"/>
      <c r="F1734" s="26"/>
      <c r="G1734" s="26"/>
      <c r="I1734" s="6"/>
      <c r="J1734" s="60"/>
      <c r="K1734" s="60"/>
      <c r="L1734" s="60"/>
      <c r="M1734" s="60"/>
    </row>
    <row r="1735" spans="1:13" ht="15" customHeight="1" x14ac:dyDescent="0.25">
      <c r="A1735" s="2"/>
      <c r="B1735" s="2"/>
      <c r="C1735" s="92"/>
      <c r="D1735" s="37"/>
      <c r="E1735" s="32"/>
      <c r="F1735" s="26"/>
      <c r="G1735" s="26"/>
      <c r="I1735" s="6"/>
      <c r="J1735" s="60"/>
      <c r="K1735" s="60"/>
      <c r="L1735" s="60"/>
      <c r="M1735" s="60"/>
    </row>
    <row r="1736" spans="1:13" ht="15" customHeight="1" x14ac:dyDescent="0.25">
      <c r="A1736" s="2"/>
      <c r="B1736" s="2"/>
      <c r="C1736" s="92"/>
      <c r="D1736" s="37"/>
      <c r="E1736" s="32"/>
      <c r="F1736" s="26"/>
      <c r="G1736" s="26"/>
      <c r="I1736" s="6"/>
      <c r="J1736" s="60"/>
      <c r="K1736" s="60"/>
      <c r="L1736" s="60"/>
      <c r="M1736" s="60"/>
    </row>
    <row r="1737" spans="1:13" ht="15" customHeight="1" x14ac:dyDescent="0.25">
      <c r="A1737" s="2"/>
      <c r="B1737" s="2"/>
      <c r="C1737" s="92"/>
      <c r="D1737" s="37"/>
      <c r="E1737" s="32"/>
      <c r="F1737" s="26"/>
      <c r="G1737" s="26"/>
      <c r="I1737" s="6"/>
      <c r="J1737" s="60"/>
      <c r="K1737" s="60"/>
      <c r="L1737" s="60"/>
      <c r="M1737" s="60"/>
    </row>
    <row r="1738" spans="1:13" ht="15" customHeight="1" x14ac:dyDescent="0.25">
      <c r="A1738" s="2"/>
      <c r="B1738" s="2"/>
      <c r="C1738" s="92"/>
      <c r="D1738" s="37"/>
      <c r="E1738" s="32"/>
      <c r="F1738" s="26"/>
      <c r="G1738" s="26"/>
      <c r="I1738" s="6"/>
      <c r="J1738" s="64"/>
      <c r="K1738" s="61"/>
      <c r="L1738" s="61"/>
      <c r="M1738" s="61"/>
    </row>
    <row r="1739" spans="1:13" ht="15" customHeight="1" x14ac:dyDescent="0.25">
      <c r="A1739" s="2"/>
      <c r="B1739" s="2"/>
      <c r="C1739" s="92"/>
      <c r="D1739" s="37"/>
      <c r="E1739" s="32"/>
      <c r="F1739" s="26"/>
      <c r="G1739" s="26"/>
      <c r="I1739" s="6"/>
      <c r="J1739" s="62"/>
      <c r="K1739" s="60"/>
      <c r="L1739" s="60"/>
      <c r="M1739" s="62"/>
    </row>
    <row r="1740" spans="1:13" ht="15" customHeight="1" x14ac:dyDescent="0.25">
      <c r="A1740" s="2"/>
      <c r="B1740" s="2"/>
      <c r="C1740" s="92"/>
      <c r="D1740" s="37"/>
      <c r="E1740" s="32"/>
      <c r="F1740" s="26"/>
      <c r="G1740" s="26"/>
      <c r="I1740" s="6"/>
      <c r="J1740" s="55"/>
      <c r="K1740" s="60"/>
      <c r="L1740" s="60"/>
      <c r="M1740" s="62"/>
    </row>
    <row r="1741" spans="1:13" ht="15" customHeight="1" x14ac:dyDescent="0.25">
      <c r="A1741" s="2"/>
      <c r="B1741" s="2"/>
      <c r="C1741" s="92"/>
      <c r="D1741" s="37"/>
      <c r="E1741" s="32"/>
      <c r="F1741" s="26"/>
      <c r="G1741" s="26"/>
      <c r="I1741" s="6"/>
      <c r="J1741" s="55"/>
      <c r="K1741" s="62"/>
      <c r="L1741" s="60"/>
      <c r="M1741" s="62"/>
    </row>
    <row r="1742" spans="1:13" ht="15" customHeight="1" x14ac:dyDescent="0.25">
      <c r="A1742" s="2"/>
      <c r="B1742" s="2"/>
      <c r="C1742" s="92"/>
      <c r="D1742" s="37"/>
      <c r="E1742" s="32"/>
      <c r="F1742" s="26"/>
      <c r="G1742" s="26"/>
      <c r="I1742" s="6"/>
      <c r="J1742" s="57"/>
      <c r="K1742" s="61"/>
      <c r="L1742" s="61"/>
      <c r="M1742" s="61"/>
    </row>
    <row r="1743" spans="1:13" ht="15" customHeight="1" x14ac:dyDescent="0.25">
      <c r="A1743" s="2"/>
      <c r="B1743" s="2"/>
      <c r="C1743" s="92"/>
      <c r="D1743" s="37"/>
      <c r="E1743" s="32"/>
      <c r="F1743" s="26"/>
      <c r="G1743" s="26"/>
      <c r="I1743" s="6"/>
      <c r="J1743" s="59"/>
      <c r="K1743" s="60"/>
      <c r="L1743" s="60"/>
      <c r="M1743" s="59"/>
    </row>
    <row r="1744" spans="1:13" ht="15" customHeight="1" x14ac:dyDescent="0.25">
      <c r="A1744" s="2"/>
      <c r="B1744" s="2"/>
      <c r="C1744" s="92"/>
      <c r="D1744" s="37"/>
      <c r="E1744" s="32"/>
      <c r="F1744" s="26"/>
      <c r="G1744" s="26"/>
      <c r="I1744" s="6"/>
      <c r="J1744" s="55"/>
      <c r="K1744" s="60"/>
      <c r="L1744" s="60"/>
      <c r="M1744" s="59"/>
    </row>
    <row r="1745" spans="1:13" ht="15" customHeight="1" x14ac:dyDescent="0.25">
      <c r="A1745" s="2"/>
      <c r="B1745" s="2"/>
      <c r="C1745" s="92"/>
      <c r="D1745" s="37"/>
      <c r="E1745" s="32"/>
      <c r="F1745" s="26"/>
      <c r="G1745" s="26"/>
      <c r="I1745" s="6"/>
      <c r="J1745" s="55"/>
      <c r="K1745" s="59"/>
      <c r="L1745" s="60"/>
      <c r="M1745" s="59"/>
    </row>
    <row r="1746" spans="1:13" ht="15" customHeight="1" x14ac:dyDescent="0.25">
      <c r="A1746" s="2"/>
      <c r="B1746" s="2"/>
      <c r="C1746" s="92"/>
      <c r="D1746" s="37"/>
      <c r="E1746" s="32"/>
      <c r="F1746" s="26"/>
      <c r="G1746" s="26"/>
      <c r="I1746" s="6"/>
      <c r="J1746" s="66"/>
      <c r="K1746" s="59"/>
      <c r="L1746" s="59"/>
      <c r="M1746" s="59"/>
    </row>
    <row r="1747" spans="1:13" ht="15" customHeight="1" x14ac:dyDescent="0.25">
      <c r="A1747" s="2"/>
      <c r="B1747" s="2"/>
      <c r="C1747" s="92"/>
      <c r="D1747" s="37"/>
      <c r="E1747" s="32"/>
      <c r="F1747" s="26"/>
      <c r="G1747" s="26"/>
      <c r="I1747" s="6"/>
      <c r="J1747" s="55"/>
      <c r="K1747" s="60"/>
      <c r="L1747" s="60"/>
      <c r="M1747" s="60"/>
    </row>
    <row r="1748" spans="1:13" ht="15" customHeight="1" x14ac:dyDescent="0.25">
      <c r="A1748" s="2"/>
      <c r="B1748" s="2"/>
      <c r="C1748" s="101"/>
      <c r="D1748" s="37"/>
      <c r="E1748" s="32"/>
      <c r="F1748" s="26"/>
      <c r="G1748" s="26"/>
      <c r="I1748" s="6"/>
      <c r="J1748" s="60"/>
      <c r="K1748" s="60"/>
      <c r="L1748" s="60"/>
      <c r="M1748" s="60"/>
    </row>
    <row r="1749" spans="1:13" ht="15" customHeight="1" x14ac:dyDescent="0.25">
      <c r="A1749" s="2"/>
      <c r="B1749" s="2"/>
      <c r="C1749" s="101" t="s">
        <v>129</v>
      </c>
      <c r="D1749" s="37"/>
      <c r="E1749" s="32"/>
      <c r="F1749" s="26"/>
      <c r="G1749" s="26"/>
      <c r="I1749" s="6"/>
      <c r="J1749" s="60"/>
      <c r="K1749" s="60"/>
      <c r="L1749" s="60"/>
      <c r="M1749" s="60"/>
    </row>
    <row r="1750" spans="1:13" ht="15" customHeight="1" x14ac:dyDescent="0.25">
      <c r="A1750" s="2"/>
      <c r="B1750" s="2"/>
      <c r="D1750" s="37"/>
      <c r="E1750" s="32"/>
      <c r="F1750" s="26"/>
      <c r="G1750" s="26"/>
      <c r="I1750" s="6"/>
      <c r="J1750" s="60"/>
      <c r="K1750" s="60"/>
      <c r="L1750" s="60"/>
      <c r="M1750" s="60"/>
    </row>
    <row r="1751" spans="1:13" ht="15" customHeight="1" x14ac:dyDescent="0.25">
      <c r="A1751" s="2"/>
      <c r="B1751" s="2"/>
      <c r="D1751" s="37"/>
      <c r="E1751" s="32"/>
      <c r="F1751" s="26"/>
      <c r="G1751" s="26"/>
      <c r="I1751" s="6"/>
      <c r="J1751" s="60"/>
      <c r="K1751" s="60"/>
      <c r="L1751" s="60"/>
      <c r="M1751" s="60"/>
    </row>
    <row r="1752" spans="1:13" ht="15" customHeight="1" x14ac:dyDescent="0.25">
      <c r="A1752" s="2"/>
      <c r="B1752" s="2"/>
      <c r="D1752" s="37"/>
      <c r="E1752" s="32"/>
      <c r="F1752" s="38"/>
      <c r="G1752" s="26"/>
      <c r="I1752" s="6"/>
      <c r="J1752" s="60"/>
      <c r="K1752" s="60"/>
      <c r="L1752" s="60"/>
      <c r="M1752" s="60"/>
    </row>
    <row r="1753" spans="1:13" ht="15" customHeight="1" x14ac:dyDescent="0.25">
      <c r="A1753" s="2"/>
      <c r="B1753" s="2"/>
      <c r="D1753" s="37"/>
      <c r="E1753" s="32"/>
      <c r="I1753" s="6"/>
      <c r="J1753" s="60"/>
      <c r="K1753" s="60"/>
      <c r="L1753" s="60"/>
      <c r="M1753" s="60"/>
    </row>
    <row r="1754" spans="1:13" ht="15" customHeight="1" x14ac:dyDescent="0.25">
      <c r="A1754" s="2"/>
      <c r="B1754" s="2"/>
      <c r="D1754" s="37"/>
      <c r="E1754" s="32"/>
      <c r="I1754" s="6"/>
      <c r="J1754" s="60"/>
      <c r="K1754" s="60"/>
      <c r="L1754" s="60"/>
      <c r="M1754" s="60"/>
    </row>
    <row r="1755" spans="1:13" ht="15" customHeight="1" x14ac:dyDescent="0.25">
      <c r="A1755" s="2"/>
      <c r="B1755" s="2"/>
      <c r="D1755" s="37"/>
      <c r="E1755" s="32"/>
      <c r="I1755" s="6"/>
      <c r="J1755" s="64"/>
      <c r="K1755" s="60"/>
      <c r="L1755" s="60"/>
      <c r="M1755" s="60"/>
    </row>
    <row r="1756" spans="1:13" ht="15" customHeight="1" x14ac:dyDescent="0.25">
      <c r="B1756" s="2"/>
      <c r="D1756" s="37"/>
      <c r="E1756" s="32"/>
      <c r="I1756" s="6"/>
      <c r="J1756" s="64"/>
      <c r="K1756" s="60"/>
      <c r="L1756" s="60"/>
      <c r="M1756" s="60"/>
    </row>
    <row r="1757" spans="1:13" ht="15" customHeight="1" x14ac:dyDescent="0.25">
      <c r="D1757" s="40"/>
      <c r="E1757" s="32"/>
      <c r="I1757" s="6"/>
      <c r="J1757" s="64"/>
      <c r="K1757" s="60"/>
      <c r="L1757" s="60"/>
      <c r="M1757" s="60"/>
    </row>
    <row r="1758" spans="1:13" ht="15" customHeight="1" x14ac:dyDescent="0.25">
      <c r="I1758" s="6"/>
      <c r="J1758" s="64"/>
      <c r="K1758" s="60"/>
      <c r="L1758" s="60"/>
      <c r="M1758" s="60"/>
    </row>
    <row r="1759" spans="1:13" ht="15" customHeight="1" x14ac:dyDescent="0.25">
      <c r="I1759" s="6"/>
      <c r="J1759" s="60"/>
      <c r="K1759" s="60"/>
      <c r="L1759" s="60"/>
      <c r="M1759" s="60"/>
    </row>
    <row r="1760" spans="1:13" ht="15" customHeight="1" x14ac:dyDescent="0.25">
      <c r="I1760" s="6"/>
      <c r="J1760" s="64"/>
      <c r="K1760" s="60"/>
      <c r="L1760" s="60"/>
      <c r="M1760" s="60"/>
    </row>
    <row r="1761" spans="9:13" ht="15" customHeight="1" x14ac:dyDescent="0.25">
      <c r="I1761" s="6"/>
      <c r="J1761" s="64"/>
      <c r="K1761" s="60"/>
      <c r="L1761" s="60"/>
      <c r="M1761" s="60"/>
    </row>
    <row r="1762" spans="9:13" ht="15" customHeight="1" x14ac:dyDescent="0.25">
      <c r="I1762" s="6"/>
      <c r="J1762" s="64"/>
      <c r="K1762" s="60"/>
      <c r="L1762" s="60"/>
      <c r="M1762" s="60"/>
    </row>
    <row r="1763" spans="9:13" ht="15" customHeight="1" x14ac:dyDescent="0.25">
      <c r="I1763" s="6"/>
      <c r="J1763" s="64"/>
      <c r="K1763" s="60"/>
      <c r="L1763" s="60"/>
      <c r="M1763" s="60"/>
    </row>
    <row r="1764" spans="9:13" ht="15" customHeight="1" x14ac:dyDescent="0.25">
      <c r="I1764" s="6"/>
      <c r="J1764" s="64"/>
      <c r="K1764" s="60"/>
      <c r="L1764" s="60"/>
      <c r="M1764" s="60"/>
    </row>
    <row r="1765" spans="9:13" ht="15" customHeight="1" x14ac:dyDescent="0.25">
      <c r="I1765" s="6"/>
      <c r="J1765" s="60"/>
      <c r="K1765" s="60"/>
      <c r="L1765" s="60"/>
      <c r="M1765" s="60"/>
    </row>
    <row r="1766" spans="9:13" ht="15" customHeight="1" x14ac:dyDescent="0.25">
      <c r="I1766" s="6"/>
      <c r="J1766" s="60"/>
      <c r="K1766" s="60"/>
      <c r="L1766" s="60"/>
      <c r="M1766" s="60"/>
    </row>
    <row r="1767" spans="9:13" ht="15" customHeight="1" x14ac:dyDescent="0.25">
      <c r="I1767" s="6"/>
      <c r="J1767" s="60"/>
      <c r="K1767" s="60"/>
      <c r="L1767" s="60"/>
      <c r="M1767" s="60"/>
    </row>
    <row r="1768" spans="9:13" ht="15" customHeight="1" x14ac:dyDescent="0.25">
      <c r="I1768" s="6"/>
      <c r="J1768" s="60"/>
      <c r="K1768" s="61"/>
      <c r="L1768" s="61"/>
      <c r="M1768" s="61"/>
    </row>
    <row r="1769" spans="9:13" ht="15" customHeight="1" x14ac:dyDescent="0.25">
      <c r="I1769" s="6"/>
      <c r="J1769" s="62"/>
      <c r="K1769" s="60"/>
      <c r="L1769" s="60"/>
      <c r="M1769" s="62"/>
    </row>
    <row r="1770" spans="9:13" ht="15" customHeight="1" x14ac:dyDescent="0.25">
      <c r="I1770" s="6"/>
      <c r="J1770" s="55"/>
      <c r="K1770" s="61"/>
      <c r="L1770" s="61"/>
      <c r="M1770" s="61"/>
    </row>
    <row r="1771" spans="9:13" ht="15" customHeight="1" x14ac:dyDescent="0.25">
      <c r="I1771" s="6"/>
      <c r="J1771" s="59"/>
      <c r="K1771" s="60"/>
      <c r="L1771" s="60"/>
      <c r="M1771" s="59"/>
    </row>
    <row r="1772" spans="9:13" ht="15" customHeight="1" x14ac:dyDescent="0.25">
      <c r="I1772" s="6"/>
      <c r="J1772" s="55"/>
      <c r="K1772" s="60"/>
      <c r="L1772" s="60"/>
      <c r="M1772" s="59"/>
    </row>
    <row r="1773" spans="9:13" ht="15" customHeight="1" x14ac:dyDescent="0.25">
      <c r="I1773" s="6"/>
      <c r="J1773" s="55"/>
      <c r="K1773" s="59"/>
      <c r="L1773" s="60"/>
      <c r="M1773" s="59"/>
    </row>
    <row r="1774" spans="9:13" ht="15" customHeight="1" x14ac:dyDescent="0.25">
      <c r="I1774" s="6"/>
      <c r="J1774" s="66"/>
      <c r="K1774" s="59"/>
      <c r="L1774" s="59"/>
      <c r="M1774" s="59"/>
    </row>
    <row r="1775" spans="9:13" ht="15" customHeight="1" x14ac:dyDescent="0.25">
      <c r="I1775" s="6"/>
      <c r="J1775" s="55"/>
      <c r="K1775" s="60"/>
      <c r="L1775" s="60"/>
      <c r="M1775" s="62"/>
    </row>
    <row r="1776" spans="9:13" ht="15" customHeight="1" x14ac:dyDescent="0.25">
      <c r="I1776" s="6"/>
      <c r="J1776" s="55"/>
      <c r="K1776" s="60"/>
      <c r="L1776" s="60"/>
      <c r="M1776" s="62"/>
    </row>
    <row r="1777" spans="9:13" ht="15" customHeight="1" x14ac:dyDescent="0.25">
      <c r="I1777" s="6"/>
      <c r="J1777" s="55"/>
      <c r="K1777" s="62"/>
      <c r="L1777" s="60"/>
      <c r="M1777" s="62"/>
    </row>
    <row r="1778" spans="9:13" ht="15" customHeight="1" x14ac:dyDescent="0.25">
      <c r="I1778" s="6"/>
      <c r="J1778" s="57"/>
      <c r="K1778" s="62"/>
      <c r="L1778" s="62"/>
      <c r="M1778" s="62"/>
    </row>
    <row r="1779" spans="9:13" ht="15" customHeight="1" x14ac:dyDescent="0.25">
      <c r="I1779" s="6"/>
      <c r="J1779" s="55"/>
      <c r="K1779" s="60"/>
      <c r="L1779" s="60"/>
      <c r="M1779" s="60"/>
    </row>
    <row r="1780" spans="9:13" ht="15" customHeight="1" x14ac:dyDescent="0.25">
      <c r="I1780" s="6"/>
      <c r="J1780" s="60"/>
      <c r="K1780" s="60"/>
      <c r="L1780" s="60"/>
      <c r="M1780" s="60"/>
    </row>
    <row r="1781" spans="9:13" ht="15" customHeight="1" x14ac:dyDescent="0.25">
      <c r="I1781" s="6"/>
      <c r="J1781" s="60"/>
      <c r="K1781" s="60"/>
      <c r="L1781" s="60"/>
      <c r="M1781" s="60"/>
    </row>
    <row r="1782" spans="9:13" ht="15" customHeight="1" x14ac:dyDescent="0.25">
      <c r="I1782" s="6"/>
      <c r="J1782" s="60"/>
      <c r="K1782" s="61"/>
      <c r="L1782" s="61"/>
      <c r="M1782" s="61"/>
    </row>
    <row r="1783" spans="9:13" ht="15" customHeight="1" x14ac:dyDescent="0.25">
      <c r="I1783" s="6"/>
      <c r="J1783" s="59"/>
      <c r="K1783" s="60"/>
      <c r="L1783" s="60"/>
      <c r="M1783" s="59"/>
    </row>
    <row r="1784" spans="9:13" ht="15" customHeight="1" x14ac:dyDescent="0.25">
      <c r="I1784" s="6"/>
      <c r="J1784" s="55"/>
      <c r="K1784" s="60"/>
      <c r="L1784" s="60"/>
      <c r="M1784" s="59"/>
    </row>
    <row r="1785" spans="9:13" ht="15" customHeight="1" x14ac:dyDescent="0.25">
      <c r="I1785" s="6"/>
      <c r="J1785" s="55"/>
      <c r="K1785" s="59"/>
      <c r="L1785" s="60"/>
      <c r="M1785" s="59"/>
    </row>
    <row r="1786" spans="9:13" ht="15" customHeight="1" x14ac:dyDescent="0.25">
      <c r="I1786" s="6"/>
      <c r="J1786" s="66"/>
      <c r="K1786" s="59"/>
      <c r="L1786" s="59"/>
      <c r="M1786" s="59"/>
    </row>
    <row r="1787" spans="9:13" ht="15" customHeight="1" x14ac:dyDescent="0.25">
      <c r="I1787" s="6"/>
      <c r="J1787" s="55"/>
      <c r="K1787" s="60"/>
      <c r="L1787" s="60"/>
      <c r="M1787" s="60"/>
    </row>
    <row r="1788" spans="9:13" ht="15" customHeight="1" x14ac:dyDescent="0.25">
      <c r="I1788" s="6"/>
      <c r="J1788" s="60"/>
      <c r="K1788" s="60"/>
      <c r="L1788" s="60"/>
      <c r="M1788" s="60"/>
    </row>
    <row r="1789" spans="9:13" ht="15" customHeight="1" x14ac:dyDescent="0.25">
      <c r="I1789" s="6"/>
      <c r="J1789" s="60"/>
      <c r="K1789" s="60"/>
      <c r="L1789" s="60"/>
      <c r="M1789" s="60"/>
    </row>
    <row r="1790" spans="9:13" ht="15" customHeight="1" x14ac:dyDescent="0.25">
      <c r="I1790" s="6"/>
      <c r="J1790" s="60"/>
      <c r="K1790" s="60"/>
      <c r="L1790" s="60"/>
      <c r="M1790" s="60"/>
    </row>
    <row r="1791" spans="9:13" ht="15" customHeight="1" x14ac:dyDescent="0.25">
      <c r="I1791" s="6"/>
      <c r="J1791" s="60"/>
      <c r="K1791" s="60"/>
      <c r="L1791" s="60"/>
      <c r="M1791" s="60"/>
    </row>
    <row r="1792" spans="9:13" ht="15" customHeight="1" x14ac:dyDescent="0.25">
      <c r="I1792" s="6"/>
      <c r="J1792" s="60"/>
      <c r="K1792" s="60"/>
      <c r="L1792" s="60"/>
      <c r="M1792" s="60"/>
    </row>
    <row r="1793" spans="9:13" ht="15" customHeight="1" x14ac:dyDescent="0.25">
      <c r="I1793" s="6"/>
      <c r="J1793" s="64"/>
      <c r="K1793" s="60"/>
      <c r="L1793" s="60"/>
      <c r="M1793" s="60"/>
    </row>
    <row r="1794" spans="9:13" ht="15" customHeight="1" x14ac:dyDescent="0.25">
      <c r="I1794" s="6"/>
      <c r="J1794" s="64"/>
      <c r="K1794" s="60"/>
      <c r="L1794" s="60"/>
      <c r="M1794" s="60"/>
    </row>
    <row r="1795" spans="9:13" ht="15" customHeight="1" x14ac:dyDescent="0.25">
      <c r="I1795" s="6"/>
      <c r="J1795" s="64"/>
      <c r="K1795" s="60"/>
      <c r="L1795" s="60"/>
      <c r="M1795" s="60"/>
    </row>
    <row r="1796" spans="9:13" ht="15" customHeight="1" x14ac:dyDescent="0.25">
      <c r="I1796" s="6"/>
      <c r="J1796" s="64"/>
      <c r="K1796" s="60"/>
      <c r="L1796" s="60"/>
      <c r="M1796" s="60"/>
    </row>
    <row r="1797" spans="9:13" ht="15" customHeight="1" x14ac:dyDescent="0.25">
      <c r="I1797" s="6"/>
      <c r="J1797" s="64"/>
      <c r="K1797" s="60"/>
      <c r="L1797" s="60"/>
      <c r="M1797" s="60"/>
    </row>
    <row r="1798" spans="9:13" ht="15" customHeight="1" x14ac:dyDescent="0.25">
      <c r="I1798" s="6"/>
      <c r="J1798" s="64"/>
      <c r="K1798" s="60"/>
      <c r="L1798" s="60"/>
      <c r="M1798" s="60"/>
    </row>
    <row r="1799" spans="9:13" ht="15" customHeight="1" x14ac:dyDescent="0.25">
      <c r="I1799" s="6"/>
      <c r="J1799" s="60"/>
      <c r="K1799" s="61"/>
      <c r="L1799" s="61"/>
      <c r="M1799" s="61"/>
    </row>
    <row r="1800" spans="9:13" ht="15" customHeight="1" x14ac:dyDescent="0.25">
      <c r="I1800" s="6"/>
      <c r="J1800" s="59"/>
      <c r="K1800" s="60"/>
      <c r="L1800" s="60"/>
      <c r="M1800" s="59"/>
    </row>
    <row r="1801" spans="9:13" ht="15" customHeight="1" x14ac:dyDescent="0.25">
      <c r="I1801" s="6"/>
      <c r="J1801" s="55"/>
      <c r="K1801" s="60"/>
      <c r="L1801" s="60"/>
      <c r="M1801" s="59"/>
    </row>
    <row r="1802" spans="9:13" ht="15" customHeight="1" x14ac:dyDescent="0.25">
      <c r="I1802" s="6"/>
      <c r="J1802" s="55"/>
      <c r="K1802" s="59"/>
      <c r="L1802" s="60"/>
      <c r="M1802" s="59"/>
    </row>
    <row r="1803" spans="9:13" ht="15" customHeight="1" x14ac:dyDescent="0.25">
      <c r="I1803" s="6"/>
      <c r="J1803" s="66"/>
      <c r="K1803" s="59"/>
      <c r="L1803" s="59"/>
      <c r="M1803" s="59"/>
    </row>
    <row r="1804" spans="9:13" ht="15" customHeight="1" x14ac:dyDescent="0.25">
      <c r="I1804" s="6"/>
      <c r="J1804" s="55"/>
      <c r="K1804" s="60"/>
      <c r="L1804" s="60"/>
      <c r="M1804" s="60"/>
    </row>
    <row r="1805" spans="9:13" ht="15" customHeight="1" x14ac:dyDescent="0.25">
      <c r="I1805" s="6"/>
      <c r="J1805" s="60"/>
      <c r="K1805" s="60"/>
      <c r="L1805" s="60"/>
      <c r="M1805" s="60"/>
    </row>
    <row r="1806" spans="9:13" ht="15" customHeight="1" x14ac:dyDescent="0.25">
      <c r="I1806" s="6"/>
      <c r="J1806" s="60"/>
      <c r="K1806" s="60"/>
      <c r="L1806" s="60"/>
      <c r="M1806" s="60"/>
    </row>
    <row r="1807" spans="9:13" ht="15" customHeight="1" x14ac:dyDescent="0.25">
      <c r="I1807" s="6"/>
      <c r="J1807" s="60"/>
      <c r="K1807" s="60"/>
      <c r="L1807" s="60"/>
      <c r="M1807" s="60"/>
    </row>
    <row r="1808" spans="9:13" ht="15" customHeight="1" x14ac:dyDescent="0.25">
      <c r="I1808" s="6"/>
      <c r="J1808" s="60"/>
      <c r="K1808" s="60"/>
      <c r="L1808" s="60"/>
      <c r="M1808" s="60"/>
    </row>
    <row r="1809" spans="9:13" ht="15" customHeight="1" x14ac:dyDescent="0.25">
      <c r="I1809" s="6"/>
      <c r="J1809" s="60"/>
      <c r="K1809" s="61"/>
      <c r="L1809" s="61"/>
      <c r="M1809" s="61"/>
    </row>
    <row r="1810" spans="9:13" ht="15" customHeight="1" x14ac:dyDescent="0.25">
      <c r="I1810" s="6"/>
      <c r="J1810" s="62"/>
      <c r="K1810" s="60"/>
      <c r="L1810" s="60"/>
      <c r="M1810" s="62"/>
    </row>
    <row r="1811" spans="9:13" ht="15" customHeight="1" x14ac:dyDescent="0.25">
      <c r="I1811" s="6"/>
      <c r="J1811" s="55"/>
      <c r="K1811" s="60"/>
      <c r="L1811" s="60"/>
      <c r="M1811" s="62"/>
    </row>
    <row r="1812" spans="9:13" ht="15" customHeight="1" x14ac:dyDescent="0.25">
      <c r="I1812" s="6"/>
      <c r="J1812" s="64"/>
      <c r="K1812" s="62"/>
      <c r="L1812" s="60"/>
      <c r="M1812" s="62"/>
    </row>
    <row r="1813" spans="9:13" ht="15" customHeight="1" x14ac:dyDescent="0.25">
      <c r="I1813" s="6"/>
      <c r="J1813" s="64"/>
      <c r="K1813" s="62"/>
      <c r="L1813" s="62"/>
      <c r="M1813" s="62"/>
    </row>
    <row r="1814" spans="9:13" ht="15" customHeight="1" x14ac:dyDescent="0.25">
      <c r="I1814" s="6"/>
      <c r="J1814" s="64"/>
      <c r="K1814" s="60"/>
      <c r="L1814" s="60"/>
      <c r="M1814" s="60"/>
    </row>
    <row r="1815" spans="9:13" ht="15" customHeight="1" x14ac:dyDescent="0.25">
      <c r="I1815" s="6"/>
      <c r="J1815" s="64"/>
      <c r="K1815" s="60"/>
      <c r="L1815" s="60"/>
      <c r="M1815" s="60"/>
    </row>
    <row r="1816" spans="9:13" ht="15" customHeight="1" x14ac:dyDescent="0.25">
      <c r="I1816" s="6"/>
      <c r="J1816" s="60"/>
      <c r="K1816" s="60"/>
      <c r="L1816" s="60"/>
      <c r="M1816" s="60"/>
    </row>
    <row r="1817" spans="9:13" ht="15" customHeight="1" x14ac:dyDescent="0.25">
      <c r="I1817" s="6"/>
      <c r="J1817" s="60"/>
      <c r="K1817" s="60"/>
      <c r="L1817" s="60"/>
      <c r="M1817" s="60"/>
    </row>
    <row r="1818" spans="9:13" ht="15" customHeight="1" x14ac:dyDescent="0.25">
      <c r="I1818" s="6"/>
      <c r="J1818" s="60"/>
      <c r="K1818" s="60"/>
      <c r="L1818" s="60"/>
      <c r="M1818" s="60"/>
    </row>
    <row r="1819" spans="9:13" ht="15" customHeight="1" x14ac:dyDescent="0.25">
      <c r="I1819" s="6"/>
      <c r="J1819" s="60"/>
      <c r="K1819" s="60"/>
      <c r="L1819" s="60"/>
      <c r="M1819" s="60"/>
    </row>
    <row r="1820" spans="9:13" ht="15" customHeight="1" x14ac:dyDescent="0.25">
      <c r="I1820" s="6"/>
      <c r="J1820" s="60"/>
      <c r="K1820" s="60"/>
      <c r="L1820" s="60"/>
      <c r="M1820" s="60"/>
    </row>
    <row r="1821" spans="9:13" ht="15" customHeight="1" x14ac:dyDescent="0.25">
      <c r="I1821" s="6"/>
      <c r="J1821" s="64"/>
      <c r="K1821" s="60"/>
      <c r="L1821" s="60"/>
      <c r="M1821" s="60"/>
    </row>
    <row r="1822" spans="9:13" ht="15" customHeight="1" x14ac:dyDescent="0.25">
      <c r="I1822" s="6"/>
      <c r="J1822" s="60"/>
      <c r="K1822" s="60"/>
      <c r="L1822" s="60"/>
      <c r="M1822" s="60"/>
    </row>
    <row r="1823" spans="9:13" ht="15" customHeight="1" x14ac:dyDescent="0.25">
      <c r="I1823" s="6"/>
      <c r="J1823" s="60"/>
      <c r="K1823" s="60"/>
      <c r="L1823" s="60"/>
      <c r="M1823" s="60"/>
    </row>
    <row r="1824" spans="9:13" ht="15" customHeight="1" x14ac:dyDescent="0.25">
      <c r="I1824" s="6"/>
      <c r="J1824" s="60"/>
      <c r="K1824" s="60"/>
      <c r="L1824" s="60"/>
      <c r="M1824" s="60"/>
    </row>
    <row r="1825" spans="9:13" ht="15" customHeight="1" x14ac:dyDescent="0.25">
      <c r="I1825" s="6"/>
      <c r="J1825" s="60"/>
      <c r="K1825" s="60"/>
      <c r="L1825" s="60"/>
      <c r="M1825" s="60"/>
    </row>
    <row r="1826" spans="9:13" ht="15" customHeight="1" x14ac:dyDescent="0.25">
      <c r="I1826" s="6"/>
      <c r="J1826" s="60"/>
      <c r="K1826" s="60"/>
      <c r="L1826" s="60"/>
      <c r="M1826" s="60"/>
    </row>
    <row r="1827" spans="9:13" ht="15" customHeight="1" x14ac:dyDescent="0.25">
      <c r="I1827" s="6"/>
      <c r="J1827" s="60"/>
      <c r="K1827" s="60"/>
      <c r="L1827" s="60"/>
      <c r="M1827" s="60"/>
    </row>
    <row r="1828" spans="9:13" ht="15" customHeight="1" x14ac:dyDescent="0.25">
      <c r="I1828" s="6"/>
      <c r="J1828" s="60"/>
      <c r="K1828" s="60"/>
      <c r="L1828" s="60"/>
      <c r="M1828" s="60"/>
    </row>
    <row r="1829" spans="9:13" ht="15" customHeight="1" x14ac:dyDescent="0.25">
      <c r="I1829" s="6"/>
      <c r="J1829" s="60"/>
      <c r="K1829" s="60"/>
      <c r="L1829" s="60"/>
      <c r="M1829" s="60"/>
    </row>
    <row r="1830" spans="9:13" ht="15" customHeight="1" x14ac:dyDescent="0.25">
      <c r="I1830" s="6"/>
      <c r="J1830" s="60"/>
      <c r="K1830" s="60"/>
      <c r="L1830" s="60"/>
      <c r="M1830" s="60"/>
    </row>
    <row r="1831" spans="9:13" ht="15" customHeight="1" x14ac:dyDescent="0.25">
      <c r="I1831" s="6"/>
      <c r="J1831" s="60"/>
      <c r="K1831" s="60"/>
      <c r="L1831" s="60"/>
      <c r="M1831" s="60"/>
    </row>
    <row r="1832" spans="9:13" ht="15" customHeight="1" x14ac:dyDescent="0.25">
      <c r="I1832" s="6"/>
      <c r="J1832" s="60"/>
      <c r="K1832" s="60"/>
      <c r="L1832" s="60"/>
      <c r="M1832" s="60"/>
    </row>
    <row r="1833" spans="9:13" ht="15" customHeight="1" x14ac:dyDescent="0.25">
      <c r="I1833" s="6"/>
      <c r="J1833" s="60"/>
      <c r="K1833" s="61"/>
      <c r="L1833" s="61"/>
      <c r="M1833" s="61"/>
    </row>
    <row r="1834" spans="9:13" ht="15" customHeight="1" x14ac:dyDescent="0.25">
      <c r="I1834" s="6"/>
      <c r="J1834" s="62"/>
      <c r="K1834" s="60"/>
      <c r="L1834" s="60"/>
      <c r="M1834" s="62"/>
    </row>
    <row r="1835" spans="9:13" ht="15" customHeight="1" x14ac:dyDescent="0.25">
      <c r="I1835" s="6"/>
      <c r="J1835" s="55"/>
      <c r="K1835" s="60"/>
      <c r="L1835" s="60"/>
      <c r="M1835" s="62"/>
    </row>
    <row r="1836" spans="9:13" ht="15" customHeight="1" x14ac:dyDescent="0.25">
      <c r="I1836" s="6"/>
      <c r="J1836" s="55"/>
      <c r="K1836" s="61"/>
      <c r="L1836" s="61"/>
      <c r="M1836" s="61"/>
    </row>
    <row r="1837" spans="9:13" ht="15" customHeight="1" x14ac:dyDescent="0.25">
      <c r="I1837" s="6"/>
      <c r="J1837" s="59"/>
      <c r="K1837" s="60"/>
      <c r="L1837" s="60"/>
      <c r="M1837" s="59"/>
    </row>
    <row r="1838" spans="9:13" ht="15" customHeight="1" x14ac:dyDescent="0.25">
      <c r="I1838" s="6"/>
      <c r="J1838" s="55"/>
      <c r="K1838" s="60"/>
      <c r="L1838" s="60"/>
      <c r="M1838" s="59"/>
    </row>
    <row r="1839" spans="9:13" ht="15" customHeight="1" x14ac:dyDescent="0.25">
      <c r="I1839" s="6"/>
      <c r="J1839" s="55"/>
      <c r="K1839" s="61"/>
      <c r="L1839" s="61"/>
      <c r="M1839" s="61"/>
    </row>
    <row r="1840" spans="9:13" ht="15" customHeight="1" x14ac:dyDescent="0.25">
      <c r="I1840" s="6"/>
      <c r="J1840" s="59"/>
      <c r="K1840" s="60"/>
      <c r="L1840" s="60"/>
      <c r="M1840" s="59"/>
    </row>
    <row r="1841" spans="9:13" ht="15" customHeight="1" x14ac:dyDescent="0.25">
      <c r="I1841" s="6"/>
      <c r="J1841" s="55"/>
      <c r="K1841" s="60"/>
      <c r="L1841" s="60"/>
      <c r="M1841" s="59"/>
    </row>
    <row r="1842" spans="9:13" ht="15" customHeight="1" x14ac:dyDescent="0.25">
      <c r="I1842" s="6"/>
      <c r="J1842" s="55"/>
      <c r="K1842" s="59"/>
      <c r="L1842" s="60"/>
      <c r="M1842" s="59"/>
    </row>
    <row r="1843" spans="9:13" ht="15" customHeight="1" x14ac:dyDescent="0.25">
      <c r="I1843" s="6"/>
      <c r="J1843" s="66"/>
      <c r="K1843" s="59"/>
      <c r="L1843" s="59"/>
      <c r="M1843" s="59"/>
    </row>
    <row r="1844" spans="9:13" ht="15" customHeight="1" x14ac:dyDescent="0.25">
      <c r="I1844" s="6"/>
      <c r="J1844" s="55"/>
      <c r="K1844" s="60"/>
      <c r="L1844" s="60"/>
      <c r="M1844" s="60"/>
    </row>
    <row r="1845" spans="9:13" ht="15" customHeight="1" x14ac:dyDescent="0.25">
      <c r="I1845" s="6"/>
      <c r="J1845" s="60"/>
      <c r="K1845" s="60"/>
      <c r="L1845" s="60"/>
      <c r="M1845" s="60"/>
    </row>
    <row r="1846" spans="9:13" ht="15" customHeight="1" x14ac:dyDescent="0.25">
      <c r="I1846" s="6"/>
      <c r="J1846" s="60"/>
      <c r="K1846" s="60"/>
      <c r="L1846" s="60"/>
      <c r="M1846" s="60"/>
    </row>
    <row r="1847" spans="9:13" ht="15" customHeight="1" x14ac:dyDescent="0.25">
      <c r="I1847" s="6"/>
      <c r="J1847" s="60"/>
      <c r="K1847" s="60"/>
      <c r="L1847" s="60"/>
      <c r="M1847" s="60"/>
    </row>
    <row r="1848" spans="9:13" ht="15" customHeight="1" x14ac:dyDescent="0.25">
      <c r="I1848" s="6"/>
      <c r="J1848" s="60"/>
      <c r="K1848" s="60"/>
      <c r="L1848" s="60"/>
      <c r="M1848" s="60"/>
    </row>
    <row r="1849" spans="9:13" ht="15" customHeight="1" x14ac:dyDescent="0.25">
      <c r="I1849" s="6"/>
      <c r="J1849" s="60"/>
      <c r="K1849" s="60"/>
      <c r="L1849" s="60"/>
      <c r="M1849" s="60"/>
    </row>
    <row r="1850" spans="9:13" ht="15" customHeight="1" x14ac:dyDescent="0.25">
      <c r="I1850" s="6"/>
      <c r="J1850" s="60"/>
      <c r="K1850" s="60"/>
      <c r="L1850" s="60"/>
      <c r="M1850" s="60"/>
    </row>
    <row r="1851" spans="9:13" ht="15" customHeight="1" x14ac:dyDescent="0.25">
      <c r="I1851" s="6"/>
      <c r="J1851" s="60"/>
      <c r="K1851" s="60"/>
      <c r="L1851" s="60"/>
      <c r="M1851" s="60"/>
    </row>
    <row r="1852" spans="9:13" ht="15" customHeight="1" x14ac:dyDescent="0.25">
      <c r="I1852" s="6"/>
      <c r="J1852" s="60"/>
      <c r="K1852" s="60"/>
      <c r="L1852" s="60"/>
      <c r="M1852" s="60"/>
    </row>
    <row r="1853" spans="9:13" ht="15" customHeight="1" x14ac:dyDescent="0.25">
      <c r="I1853" s="6"/>
      <c r="J1853" s="60"/>
      <c r="K1853" s="60"/>
      <c r="L1853" s="60"/>
      <c r="M1853" s="60"/>
    </row>
    <row r="1854" spans="9:13" ht="15" customHeight="1" x14ac:dyDescent="0.25">
      <c r="I1854" s="6"/>
      <c r="J1854" s="60"/>
      <c r="K1854" s="60"/>
      <c r="L1854" s="60"/>
      <c r="M1854" s="60"/>
    </row>
    <row r="1855" spans="9:13" ht="15" customHeight="1" x14ac:dyDescent="0.25">
      <c r="I1855" s="6"/>
      <c r="J1855" s="60"/>
      <c r="K1855" s="60"/>
      <c r="L1855" s="60"/>
      <c r="M1855" s="60"/>
    </row>
    <row r="1856" spans="9:13" ht="15" customHeight="1" x14ac:dyDescent="0.25">
      <c r="I1856" s="6"/>
      <c r="J1856" s="60"/>
      <c r="K1856" s="60"/>
      <c r="L1856" s="60"/>
      <c r="M1856" s="60"/>
    </row>
    <row r="1857" spans="9:13" ht="15" customHeight="1" x14ac:dyDescent="0.25">
      <c r="I1857" s="6"/>
      <c r="J1857" s="60"/>
      <c r="K1857" s="60"/>
      <c r="L1857" s="60"/>
      <c r="M1857" s="60"/>
    </row>
    <row r="1858" spans="9:13" ht="15" customHeight="1" x14ac:dyDescent="0.25">
      <c r="I1858" s="6"/>
      <c r="J1858" s="60"/>
      <c r="K1858" s="60"/>
      <c r="L1858" s="60"/>
      <c r="M1858" s="60"/>
    </row>
    <row r="1859" spans="9:13" ht="15" customHeight="1" x14ac:dyDescent="0.25">
      <c r="I1859" s="6"/>
      <c r="J1859" s="60"/>
      <c r="K1859" s="60"/>
      <c r="L1859" s="60"/>
      <c r="M1859" s="60"/>
    </row>
    <row r="1860" spans="9:13" ht="15" customHeight="1" x14ac:dyDescent="0.25">
      <c r="I1860" s="6"/>
      <c r="J1860" s="60"/>
      <c r="K1860" s="60"/>
      <c r="L1860" s="60"/>
      <c r="M1860" s="60"/>
    </row>
    <row r="1861" spans="9:13" ht="15" customHeight="1" x14ac:dyDescent="0.25">
      <c r="I1861" s="6"/>
      <c r="J1861" s="60"/>
      <c r="K1861" s="60"/>
      <c r="L1861" s="60"/>
      <c r="M1861" s="60"/>
    </row>
    <row r="1862" spans="9:13" ht="15" customHeight="1" x14ac:dyDescent="0.25">
      <c r="I1862" s="6"/>
      <c r="J1862" s="60"/>
      <c r="K1862" s="60"/>
      <c r="L1862" s="60"/>
      <c r="M1862" s="60"/>
    </row>
    <row r="1863" spans="9:13" ht="15" customHeight="1" x14ac:dyDescent="0.25">
      <c r="I1863" s="6"/>
      <c r="J1863" s="60"/>
      <c r="K1863" s="60"/>
      <c r="L1863" s="60"/>
      <c r="M1863" s="60"/>
    </row>
    <row r="1864" spans="9:13" ht="15" customHeight="1" x14ac:dyDescent="0.25">
      <c r="I1864" s="6"/>
      <c r="J1864" s="60"/>
      <c r="K1864" s="60"/>
      <c r="L1864" s="60"/>
      <c r="M1864" s="60"/>
    </row>
    <row r="1865" spans="9:13" ht="15" customHeight="1" x14ac:dyDescent="0.25">
      <c r="I1865" s="6"/>
      <c r="J1865" s="60"/>
      <c r="K1865" s="60"/>
      <c r="L1865" s="60"/>
      <c r="M1865" s="60"/>
    </row>
    <row r="1866" spans="9:13" ht="15" customHeight="1" x14ac:dyDescent="0.25">
      <c r="I1866" s="6"/>
      <c r="J1866" s="60"/>
      <c r="K1866" s="60"/>
      <c r="L1866" s="60"/>
      <c r="M1866" s="60"/>
    </row>
    <row r="1867" spans="9:13" ht="15" customHeight="1" x14ac:dyDescent="0.25">
      <c r="I1867" s="6"/>
      <c r="J1867" s="60"/>
      <c r="K1867" s="60"/>
      <c r="L1867" s="60"/>
      <c r="M1867" s="60"/>
    </row>
    <row r="1868" spans="9:13" ht="15" customHeight="1" x14ac:dyDescent="0.25">
      <c r="I1868" s="6"/>
      <c r="J1868" s="60"/>
      <c r="K1868" s="60"/>
      <c r="L1868" s="60"/>
      <c r="M1868" s="60"/>
    </row>
    <row r="1869" spans="9:13" ht="15" customHeight="1" x14ac:dyDescent="0.25">
      <c r="I1869" s="6"/>
      <c r="J1869" s="60"/>
      <c r="K1869" s="60"/>
      <c r="L1869" s="60"/>
      <c r="M1869" s="60"/>
    </row>
    <row r="1870" spans="9:13" ht="15" customHeight="1" x14ac:dyDescent="0.25">
      <c r="I1870" s="6"/>
      <c r="J1870" s="60"/>
      <c r="K1870" s="61"/>
      <c r="L1870" s="61"/>
      <c r="M1870" s="61"/>
    </row>
    <row r="1871" spans="9:13" ht="15" customHeight="1" x14ac:dyDescent="0.25">
      <c r="I1871" s="6"/>
      <c r="J1871" s="59"/>
      <c r="K1871" s="60"/>
      <c r="L1871" s="60"/>
      <c r="M1871" s="59"/>
    </row>
    <row r="1872" spans="9:13" ht="15" customHeight="1" x14ac:dyDescent="0.25">
      <c r="I1872" s="6"/>
      <c r="J1872" s="55"/>
      <c r="K1872" s="60"/>
      <c r="L1872" s="60"/>
      <c r="M1872" s="59"/>
    </row>
    <row r="1873" spans="9:13" ht="15" customHeight="1" x14ac:dyDescent="0.25">
      <c r="I1873" s="6"/>
      <c r="J1873" s="55"/>
      <c r="K1873" s="59"/>
      <c r="L1873" s="60"/>
      <c r="M1873" s="59"/>
    </row>
    <row r="1874" spans="9:13" ht="15" customHeight="1" x14ac:dyDescent="0.25">
      <c r="I1874" s="6"/>
      <c r="J1874" s="66"/>
      <c r="K1874" s="59"/>
      <c r="L1874" s="59"/>
      <c r="M1874" s="59"/>
    </row>
    <row r="1875" spans="9:13" ht="15" customHeight="1" x14ac:dyDescent="0.25">
      <c r="I1875" s="6"/>
      <c r="J1875" s="55"/>
      <c r="K1875" s="60"/>
      <c r="L1875" s="60"/>
      <c r="M1875" s="60"/>
    </row>
    <row r="1876" spans="9:13" ht="15" customHeight="1" x14ac:dyDescent="0.25">
      <c r="I1876" s="6"/>
      <c r="J1876" s="60"/>
      <c r="K1876" s="60"/>
      <c r="L1876" s="60"/>
      <c r="M1876" s="60"/>
    </row>
    <row r="1877" spans="9:13" ht="15" customHeight="1" x14ac:dyDescent="0.25">
      <c r="I1877" s="6"/>
      <c r="J1877" s="60"/>
      <c r="K1877" s="60"/>
      <c r="L1877" s="60"/>
      <c r="M1877" s="60"/>
    </row>
    <row r="1878" spans="9:13" ht="15" customHeight="1" x14ac:dyDescent="0.25">
      <c r="I1878" s="6"/>
      <c r="J1878" s="60"/>
      <c r="K1878" s="60"/>
      <c r="L1878" s="60"/>
      <c r="M1878" s="60"/>
    </row>
    <row r="1879" spans="9:13" ht="15" customHeight="1" x14ac:dyDescent="0.25">
      <c r="I1879" s="6"/>
      <c r="J1879" s="60"/>
      <c r="K1879" s="60"/>
      <c r="L1879" s="60"/>
      <c r="M1879" s="60"/>
    </row>
    <row r="1880" spans="9:13" ht="15" customHeight="1" x14ac:dyDescent="0.25">
      <c r="I1880" s="6"/>
      <c r="J1880" s="60"/>
      <c r="K1880" s="60"/>
      <c r="L1880" s="60"/>
      <c r="M1880" s="60"/>
    </row>
    <row r="1881" spans="9:13" ht="15" customHeight="1" x14ac:dyDescent="0.25">
      <c r="I1881" s="6"/>
      <c r="J1881" s="60"/>
      <c r="K1881" s="60"/>
      <c r="L1881" s="60"/>
      <c r="M1881" s="60"/>
    </row>
    <row r="1882" spans="9:13" ht="15" customHeight="1" x14ac:dyDescent="0.25">
      <c r="I1882" s="6"/>
      <c r="J1882" s="60"/>
      <c r="K1882" s="60"/>
      <c r="L1882" s="60"/>
      <c r="M1882" s="60"/>
    </row>
    <row r="1883" spans="9:13" ht="15" customHeight="1" x14ac:dyDescent="0.25">
      <c r="I1883" s="6"/>
      <c r="J1883" s="60"/>
      <c r="K1883" s="60"/>
      <c r="L1883" s="60"/>
      <c r="M1883" s="60"/>
    </row>
    <row r="1884" spans="9:13" ht="15" customHeight="1" x14ac:dyDescent="0.25">
      <c r="I1884" s="6"/>
      <c r="J1884" s="60"/>
      <c r="K1884" s="60"/>
      <c r="L1884" s="60"/>
      <c r="M1884" s="60"/>
    </row>
    <row r="1885" spans="9:13" ht="15" customHeight="1" x14ac:dyDescent="0.25">
      <c r="I1885" s="6"/>
      <c r="J1885" s="60"/>
      <c r="K1885" s="60"/>
      <c r="L1885" s="60"/>
      <c r="M1885" s="60"/>
    </row>
    <row r="1886" spans="9:13" ht="15" customHeight="1" x14ac:dyDescent="0.25">
      <c r="I1886" s="6"/>
      <c r="J1886" s="60"/>
      <c r="K1886" s="60"/>
      <c r="L1886" s="60"/>
      <c r="M1886" s="60"/>
    </row>
    <row r="1887" spans="9:13" ht="15" customHeight="1" x14ac:dyDescent="0.25">
      <c r="I1887" s="6"/>
      <c r="J1887" s="60"/>
      <c r="K1887" s="61"/>
      <c r="L1887" s="61"/>
      <c r="M1887" s="61"/>
    </row>
    <row r="1888" spans="9:13" ht="15" customHeight="1" x14ac:dyDescent="0.25">
      <c r="I1888" s="6"/>
      <c r="J1888" s="62"/>
      <c r="K1888" s="60"/>
      <c r="L1888" s="60"/>
      <c r="M1888" s="62"/>
    </row>
    <row r="1889" spans="9:13" ht="15" customHeight="1" x14ac:dyDescent="0.25">
      <c r="I1889" s="6"/>
      <c r="J1889" s="55"/>
      <c r="K1889" s="60"/>
      <c r="L1889" s="60"/>
      <c r="M1889" s="62"/>
    </row>
    <row r="1890" spans="9:13" ht="15" customHeight="1" x14ac:dyDescent="0.25">
      <c r="I1890" s="6"/>
      <c r="J1890" s="55"/>
      <c r="K1890" s="62"/>
      <c r="L1890" s="60"/>
      <c r="M1890" s="62"/>
    </row>
    <row r="1891" spans="9:13" ht="15" customHeight="1" x14ac:dyDescent="0.25">
      <c r="I1891" s="6"/>
      <c r="J1891" s="57"/>
      <c r="K1891" s="62"/>
      <c r="L1891" s="62"/>
      <c r="M1891" s="62"/>
    </row>
    <row r="1892" spans="9:13" ht="15" customHeight="1" x14ac:dyDescent="0.25">
      <c r="I1892" s="6"/>
      <c r="J1892" s="55"/>
      <c r="K1892" s="61"/>
      <c r="L1892" s="61"/>
      <c r="M1892" s="61"/>
    </row>
    <row r="1893" spans="9:13" ht="15" customHeight="1" x14ac:dyDescent="0.25">
      <c r="I1893" s="6"/>
      <c r="J1893" s="62"/>
      <c r="K1893" s="60"/>
      <c r="L1893" s="60"/>
      <c r="M1893" s="62"/>
    </row>
    <row r="1894" spans="9:13" ht="15" customHeight="1" x14ac:dyDescent="0.25">
      <c r="I1894" s="6"/>
      <c r="J1894" s="55"/>
      <c r="K1894" s="60"/>
      <c r="L1894" s="60"/>
      <c r="M1894" s="62"/>
    </row>
    <row r="1895" spans="9:13" ht="15" customHeight="1" x14ac:dyDescent="0.25">
      <c r="I1895" s="6"/>
      <c r="J1895" s="55"/>
      <c r="K1895" s="62"/>
      <c r="L1895" s="60"/>
      <c r="M1895" s="62"/>
    </row>
    <row r="1896" spans="9:13" ht="15" customHeight="1" x14ac:dyDescent="0.25">
      <c r="I1896" s="6"/>
      <c r="J1896" s="57"/>
      <c r="K1896" s="62"/>
      <c r="L1896" s="62"/>
      <c r="M1896" s="62"/>
    </row>
    <row r="1897" spans="9:13" ht="15" customHeight="1" x14ac:dyDescent="0.25">
      <c r="I1897" s="6"/>
      <c r="J1897" s="55"/>
      <c r="K1897" s="60"/>
      <c r="L1897" s="60"/>
      <c r="M1897" s="60"/>
    </row>
    <row r="1898" spans="9:13" ht="15" customHeight="1" x14ac:dyDescent="0.25">
      <c r="I1898" s="6"/>
      <c r="J1898" s="60"/>
      <c r="K1898" s="60"/>
      <c r="L1898" s="60"/>
      <c r="M1898" s="60"/>
    </row>
    <row r="1899" spans="9:13" ht="15" customHeight="1" x14ac:dyDescent="0.25">
      <c r="I1899" s="6"/>
      <c r="J1899" s="60"/>
      <c r="K1899" s="61"/>
      <c r="L1899" s="61"/>
      <c r="M1899" s="61"/>
    </row>
    <row r="1900" spans="9:13" ht="15" customHeight="1" x14ac:dyDescent="0.25">
      <c r="I1900" s="6"/>
      <c r="J1900" s="59"/>
      <c r="K1900" s="60"/>
      <c r="L1900" s="60"/>
      <c r="M1900" s="59"/>
    </row>
    <row r="1901" spans="9:13" ht="15" customHeight="1" x14ac:dyDescent="0.25">
      <c r="I1901" s="6"/>
      <c r="J1901" s="55"/>
      <c r="K1901" s="60"/>
      <c r="L1901" s="60"/>
      <c r="M1901" s="59"/>
    </row>
    <row r="1902" spans="9:13" ht="15" customHeight="1" x14ac:dyDescent="0.25">
      <c r="I1902" s="6"/>
      <c r="J1902" s="55"/>
      <c r="K1902" s="59"/>
      <c r="L1902" s="60"/>
      <c r="M1902" s="59"/>
    </row>
    <row r="1903" spans="9:13" ht="15" customHeight="1" x14ac:dyDescent="0.25">
      <c r="I1903" s="6"/>
      <c r="J1903" s="66"/>
      <c r="K1903" s="59"/>
      <c r="L1903" s="59"/>
      <c r="M1903" s="59"/>
    </row>
    <row r="1904" spans="9:13" ht="15" customHeight="1" x14ac:dyDescent="0.25">
      <c r="I1904" s="6"/>
      <c r="J1904" s="55"/>
      <c r="K1904" s="60"/>
      <c r="L1904" s="60"/>
      <c r="M1904" s="62"/>
    </row>
    <row r="1905" spans="9:13" ht="15" customHeight="1" x14ac:dyDescent="0.25">
      <c r="I1905" s="6"/>
      <c r="J1905" s="55"/>
      <c r="K1905" s="60"/>
      <c r="L1905" s="60"/>
      <c r="M1905" s="62"/>
    </row>
    <row r="1906" spans="9:13" ht="15" customHeight="1" x14ac:dyDescent="0.25">
      <c r="I1906" s="6"/>
      <c r="J1906" s="55"/>
      <c r="K1906" s="62"/>
      <c r="L1906" s="60"/>
      <c r="M1906" s="62"/>
    </row>
    <row r="1907" spans="9:13" ht="15" customHeight="1" x14ac:dyDescent="0.25">
      <c r="I1907" s="6"/>
      <c r="J1907" s="57"/>
      <c r="K1907" s="62"/>
      <c r="L1907" s="62"/>
      <c r="M1907" s="62"/>
    </row>
    <row r="1908" spans="9:13" ht="15" customHeight="1" x14ac:dyDescent="0.25">
      <c r="I1908" s="6"/>
      <c r="J1908" s="55"/>
      <c r="K1908" s="60"/>
      <c r="L1908" s="60"/>
      <c r="M1908" s="60"/>
    </row>
    <row r="1909" spans="9:13" ht="15" customHeight="1" x14ac:dyDescent="0.25">
      <c r="I1909" s="6"/>
      <c r="J1909" s="60"/>
      <c r="K1909" s="60"/>
      <c r="L1909" s="60"/>
      <c r="M1909" s="60"/>
    </row>
    <row r="1910" spans="9:13" ht="15" customHeight="1" x14ac:dyDescent="0.25">
      <c r="I1910" s="6"/>
      <c r="J1910" s="60"/>
      <c r="K1910" s="60"/>
      <c r="L1910" s="60"/>
      <c r="M1910" s="60"/>
    </row>
    <row r="1911" spans="9:13" ht="15" customHeight="1" x14ac:dyDescent="0.25">
      <c r="I1911" s="6"/>
      <c r="J1911" s="60"/>
      <c r="K1911" s="60"/>
      <c r="L1911" s="60"/>
      <c r="M1911" s="60"/>
    </row>
    <row r="1912" spans="9:13" ht="15" customHeight="1" x14ac:dyDescent="0.25">
      <c r="I1912" s="6"/>
      <c r="J1912" s="60"/>
      <c r="K1912" s="60"/>
      <c r="L1912" s="60"/>
      <c r="M1912" s="60"/>
    </row>
    <row r="1913" spans="9:13" ht="15" customHeight="1" x14ac:dyDescent="0.25">
      <c r="I1913" s="6"/>
      <c r="J1913" s="60"/>
      <c r="K1913" s="60"/>
      <c r="L1913" s="60"/>
      <c r="M1913" s="60"/>
    </row>
    <row r="1914" spans="9:13" ht="15" customHeight="1" x14ac:dyDescent="0.25">
      <c r="I1914" s="6"/>
      <c r="J1914" s="60"/>
      <c r="K1914" s="60"/>
      <c r="L1914" s="60"/>
      <c r="M1914" s="60"/>
    </row>
    <row r="1915" spans="9:13" ht="15" customHeight="1" x14ac:dyDescent="0.25">
      <c r="I1915" s="6"/>
      <c r="J1915" s="60"/>
      <c r="K1915" s="60"/>
      <c r="L1915" s="60"/>
      <c r="M1915" s="60"/>
    </row>
    <row r="1916" spans="9:13" ht="15" customHeight="1" x14ac:dyDescent="0.25">
      <c r="I1916" s="6"/>
      <c r="J1916" s="60"/>
      <c r="K1916" s="60"/>
      <c r="L1916" s="60"/>
      <c r="M1916" s="60"/>
    </row>
    <row r="1917" spans="9:13" ht="15" customHeight="1" x14ac:dyDescent="0.25">
      <c r="I1917" s="6"/>
      <c r="J1917" s="60"/>
      <c r="K1917" s="60"/>
      <c r="L1917" s="60"/>
      <c r="M1917" s="60"/>
    </row>
    <row r="1918" spans="9:13" ht="15" customHeight="1" x14ac:dyDescent="0.25">
      <c r="I1918" s="6"/>
      <c r="J1918" s="60"/>
      <c r="K1918" s="60"/>
      <c r="L1918" s="60"/>
      <c r="M1918" s="60"/>
    </row>
    <row r="1919" spans="9:13" ht="15" customHeight="1" x14ac:dyDescent="0.25">
      <c r="I1919" s="6"/>
      <c r="J1919" s="60"/>
      <c r="K1919" s="60"/>
      <c r="L1919" s="60"/>
      <c r="M1919" s="60"/>
    </row>
    <row r="1920" spans="9:13" ht="15" customHeight="1" x14ac:dyDescent="0.25">
      <c r="I1920" s="6"/>
      <c r="J1920" s="60"/>
      <c r="K1920" s="60"/>
      <c r="L1920" s="60"/>
      <c r="M1920" s="60"/>
    </row>
    <row r="1921" spans="9:13" ht="15" customHeight="1" x14ac:dyDescent="0.25">
      <c r="I1921" s="6"/>
      <c r="J1921" s="60"/>
      <c r="K1921" s="60"/>
      <c r="L1921" s="60"/>
      <c r="M1921" s="60"/>
    </row>
    <row r="1922" spans="9:13" ht="15" customHeight="1" x14ac:dyDescent="0.25">
      <c r="I1922" s="6"/>
      <c r="J1922" s="60"/>
      <c r="K1922" s="60"/>
      <c r="L1922" s="60"/>
      <c r="M1922" s="60"/>
    </row>
    <row r="1923" spans="9:13" ht="15" customHeight="1" x14ac:dyDescent="0.25">
      <c r="I1923" s="6"/>
      <c r="J1923" s="60"/>
      <c r="K1923" s="60"/>
      <c r="L1923" s="60"/>
      <c r="M1923" s="60"/>
    </row>
    <row r="1924" spans="9:13" ht="15" customHeight="1" x14ac:dyDescent="0.25">
      <c r="I1924" s="6"/>
      <c r="J1924" s="60"/>
      <c r="K1924" s="60"/>
      <c r="L1924" s="60"/>
      <c r="M1924" s="60"/>
    </row>
    <row r="1925" spans="9:13" ht="15" customHeight="1" x14ac:dyDescent="0.25">
      <c r="I1925" s="6"/>
      <c r="J1925" s="60"/>
      <c r="K1925" s="60"/>
      <c r="L1925" s="60"/>
      <c r="M1925" s="60"/>
    </row>
    <row r="1926" spans="9:13" ht="15" customHeight="1" x14ac:dyDescent="0.25">
      <c r="I1926" s="6"/>
      <c r="J1926" s="60"/>
      <c r="K1926" s="60"/>
      <c r="L1926" s="60"/>
      <c r="M1926" s="60"/>
    </row>
    <row r="1927" spans="9:13" ht="15" customHeight="1" x14ac:dyDescent="0.25">
      <c r="I1927" s="6"/>
      <c r="J1927" s="60"/>
      <c r="K1927" s="60"/>
      <c r="L1927" s="60"/>
      <c r="M1927" s="60"/>
    </row>
    <row r="1928" spans="9:13" ht="15" customHeight="1" x14ac:dyDescent="0.25">
      <c r="I1928" s="6"/>
      <c r="J1928" s="60"/>
      <c r="K1928" s="60"/>
      <c r="L1928" s="60"/>
      <c r="M1928" s="60"/>
    </row>
    <row r="1929" spans="9:13" ht="15" customHeight="1" x14ac:dyDescent="0.25">
      <c r="I1929" s="6"/>
      <c r="J1929" s="60"/>
      <c r="K1929" s="60"/>
      <c r="L1929" s="60"/>
      <c r="M1929" s="60"/>
    </row>
    <row r="1930" spans="9:13" ht="15" customHeight="1" x14ac:dyDescent="0.25">
      <c r="I1930" s="6"/>
      <c r="J1930" s="60"/>
      <c r="K1930" s="60"/>
      <c r="L1930" s="60"/>
      <c r="M1930" s="60"/>
    </row>
    <row r="1931" spans="9:13" ht="15" customHeight="1" x14ac:dyDescent="0.25">
      <c r="I1931" s="6"/>
      <c r="J1931" s="60"/>
      <c r="K1931" s="60"/>
      <c r="L1931" s="60"/>
      <c r="M1931" s="60"/>
    </row>
    <row r="1932" spans="9:13" ht="15" customHeight="1" x14ac:dyDescent="0.25">
      <c r="I1932" s="6"/>
      <c r="J1932" s="60"/>
      <c r="K1932" s="60"/>
      <c r="L1932" s="60"/>
      <c r="M1932" s="60"/>
    </row>
    <row r="1933" spans="9:13" ht="15" customHeight="1" x14ac:dyDescent="0.25">
      <c r="I1933" s="6"/>
      <c r="J1933" s="60"/>
      <c r="K1933" s="60"/>
      <c r="L1933" s="60"/>
      <c r="M1933" s="60"/>
    </row>
    <row r="1934" spans="9:13" ht="15" customHeight="1" x14ac:dyDescent="0.25">
      <c r="I1934" s="6"/>
      <c r="J1934" s="60"/>
      <c r="K1934" s="60"/>
      <c r="L1934" s="60"/>
      <c r="M1934" s="60"/>
    </row>
    <row r="1935" spans="9:13" ht="15" customHeight="1" x14ac:dyDescent="0.25">
      <c r="I1935" s="6"/>
      <c r="J1935" s="60"/>
      <c r="K1935" s="60"/>
      <c r="L1935" s="60"/>
      <c r="M1935" s="60"/>
    </row>
    <row r="1936" spans="9:13" ht="15" customHeight="1" x14ac:dyDescent="0.25">
      <c r="I1936" s="6"/>
      <c r="J1936" s="60"/>
      <c r="K1936" s="60"/>
      <c r="L1936" s="60"/>
      <c r="M1936" s="60"/>
    </row>
    <row r="1937" spans="9:13" ht="15" customHeight="1" x14ac:dyDescent="0.25">
      <c r="I1937" s="6"/>
      <c r="J1937" s="60"/>
      <c r="K1937" s="61"/>
      <c r="L1937" s="61"/>
      <c r="M1937" s="61"/>
    </row>
    <row r="1938" spans="9:13" ht="15" customHeight="1" x14ac:dyDescent="0.25">
      <c r="I1938" s="6"/>
      <c r="J1938" s="59"/>
      <c r="K1938" s="60"/>
      <c r="L1938" s="60"/>
      <c r="M1938" s="59"/>
    </row>
    <row r="1939" spans="9:13" ht="15" customHeight="1" x14ac:dyDescent="0.25">
      <c r="I1939" s="6"/>
      <c r="J1939" s="55"/>
      <c r="K1939" s="60"/>
      <c r="L1939" s="60"/>
      <c r="M1939" s="59"/>
    </row>
    <row r="1940" spans="9:13" ht="15" customHeight="1" x14ac:dyDescent="0.25">
      <c r="I1940" s="6"/>
      <c r="J1940" s="55"/>
      <c r="K1940" s="59"/>
      <c r="L1940" s="60"/>
      <c r="M1940" s="59"/>
    </row>
    <row r="1941" spans="9:13" ht="15" customHeight="1" x14ac:dyDescent="0.25">
      <c r="I1941" s="6"/>
      <c r="J1941" s="66"/>
      <c r="K1941" s="59"/>
      <c r="L1941" s="59"/>
      <c r="M1941" s="59"/>
    </row>
    <row r="1942" spans="9:13" ht="15" customHeight="1" x14ac:dyDescent="0.25">
      <c r="I1942" s="6"/>
      <c r="J1942" s="55"/>
      <c r="K1942" s="61"/>
      <c r="L1942" s="61"/>
      <c r="M1942" s="61"/>
    </row>
    <row r="1943" spans="9:13" ht="15" customHeight="1" x14ac:dyDescent="0.25">
      <c r="I1943" s="6"/>
      <c r="J1943" s="62"/>
      <c r="K1943" s="60"/>
      <c r="L1943" s="60"/>
      <c r="M1943" s="62"/>
    </row>
    <row r="1944" spans="9:13" ht="15" customHeight="1" x14ac:dyDescent="0.25">
      <c r="I1944" s="6"/>
      <c r="J1944" s="55"/>
      <c r="K1944" s="60"/>
      <c r="L1944" s="60"/>
      <c r="M1944" s="62"/>
    </row>
    <row r="1945" spans="9:13" ht="15" customHeight="1" x14ac:dyDescent="0.25">
      <c r="I1945" s="6"/>
      <c r="J1945" s="55"/>
      <c r="K1945" s="62"/>
      <c r="L1945" s="60"/>
      <c r="M1945" s="62"/>
    </row>
    <row r="1946" spans="9:13" ht="15" customHeight="1" x14ac:dyDescent="0.25">
      <c r="I1946" s="6"/>
      <c r="J1946" s="57"/>
      <c r="K1946" s="62"/>
      <c r="L1946" s="62"/>
      <c r="M1946" s="62"/>
    </row>
    <row r="1947" spans="9:13" ht="15" customHeight="1" x14ac:dyDescent="0.25">
      <c r="I1947" s="6"/>
      <c r="J1947" s="55"/>
      <c r="K1947" s="60"/>
      <c r="L1947" s="60"/>
      <c r="M1947" s="60"/>
    </row>
    <row r="1948" spans="9:13" ht="15" customHeight="1" x14ac:dyDescent="0.25">
      <c r="I1948" s="6"/>
      <c r="J1948" s="60"/>
      <c r="K1948" s="60"/>
      <c r="L1948" s="60"/>
      <c r="M1948" s="60"/>
    </row>
    <row r="1949" spans="9:13" ht="15" customHeight="1" x14ac:dyDescent="0.25">
      <c r="I1949" s="6"/>
      <c r="J1949" s="60"/>
      <c r="K1949" s="60"/>
      <c r="L1949" s="60"/>
      <c r="M1949" s="60"/>
    </row>
    <row r="1950" spans="9:13" ht="15" customHeight="1" x14ac:dyDescent="0.25">
      <c r="I1950" s="6"/>
      <c r="J1950" s="60"/>
      <c r="K1950" s="60"/>
      <c r="L1950" s="60"/>
      <c r="M1950" s="60"/>
    </row>
    <row r="1951" spans="9:13" ht="15" customHeight="1" x14ac:dyDescent="0.25">
      <c r="I1951" s="6"/>
      <c r="J1951" s="60"/>
      <c r="K1951" s="60"/>
      <c r="L1951" s="60"/>
      <c r="M1951" s="60"/>
    </row>
    <row r="1952" spans="9:13" ht="15" customHeight="1" x14ac:dyDescent="0.25">
      <c r="I1952" s="6"/>
      <c r="J1952" s="60"/>
      <c r="K1952" s="60"/>
      <c r="L1952" s="60"/>
      <c r="M1952" s="60"/>
    </row>
    <row r="1953" spans="9:13" ht="15" customHeight="1" x14ac:dyDescent="0.25">
      <c r="I1953" s="6"/>
      <c r="J1953" s="60"/>
      <c r="K1953" s="60"/>
      <c r="L1953" s="60"/>
      <c r="M1953" s="60"/>
    </row>
    <row r="1954" spans="9:13" ht="15" customHeight="1" x14ac:dyDescent="0.25">
      <c r="I1954" s="6"/>
      <c r="J1954" s="60"/>
      <c r="K1954" s="60"/>
      <c r="L1954" s="60"/>
      <c r="M1954" s="60"/>
    </row>
    <row r="1955" spans="9:13" ht="15" customHeight="1" x14ac:dyDescent="0.25">
      <c r="I1955" s="6"/>
      <c r="J1955" s="60"/>
      <c r="K1955" s="60"/>
      <c r="L1955" s="60"/>
      <c r="M1955" s="60"/>
    </row>
    <row r="1956" spans="9:13" ht="15" customHeight="1" x14ac:dyDescent="0.25">
      <c r="I1956" s="6"/>
      <c r="J1956" s="60"/>
      <c r="K1956" s="60"/>
      <c r="L1956" s="60"/>
      <c r="M1956" s="60"/>
    </row>
    <row r="1957" spans="9:13" ht="15" customHeight="1" x14ac:dyDescent="0.25">
      <c r="I1957" s="6"/>
      <c r="J1957" s="60"/>
      <c r="K1957" s="60"/>
      <c r="L1957" s="60"/>
      <c r="M1957" s="60"/>
    </row>
    <row r="1958" spans="9:13" ht="15" customHeight="1" x14ac:dyDescent="0.25">
      <c r="I1958" s="6"/>
      <c r="J1958" s="60"/>
      <c r="K1958" s="60"/>
      <c r="L1958" s="60"/>
      <c r="M1958" s="60"/>
    </row>
    <row r="1959" spans="9:13" ht="15" customHeight="1" x14ac:dyDescent="0.25">
      <c r="I1959" s="6"/>
      <c r="J1959" s="60"/>
      <c r="K1959" s="60"/>
      <c r="L1959" s="60"/>
      <c r="M1959" s="60"/>
    </row>
    <row r="1960" spans="9:13" ht="15" customHeight="1" x14ac:dyDescent="0.25">
      <c r="I1960" s="6"/>
      <c r="J1960" s="60"/>
      <c r="K1960" s="61"/>
      <c r="L1960" s="61"/>
      <c r="M1960" s="61"/>
    </row>
    <row r="1961" spans="9:13" ht="15" customHeight="1" x14ac:dyDescent="0.25">
      <c r="I1961" s="6"/>
      <c r="J1961" s="62"/>
      <c r="K1961" s="60"/>
      <c r="L1961" s="60"/>
      <c r="M1961" s="62"/>
    </row>
    <row r="1962" spans="9:13" ht="15" customHeight="1" x14ac:dyDescent="0.25">
      <c r="I1962" s="6"/>
      <c r="J1962" s="55"/>
      <c r="K1962" s="60"/>
      <c r="L1962" s="60"/>
      <c r="M1962" s="62"/>
    </row>
    <row r="1963" spans="9:13" ht="15" customHeight="1" x14ac:dyDescent="0.25">
      <c r="I1963" s="6"/>
      <c r="J1963" s="55"/>
      <c r="K1963" s="62"/>
      <c r="L1963" s="60"/>
      <c r="M1963" s="62"/>
    </row>
    <row r="1964" spans="9:13" ht="15" customHeight="1" x14ac:dyDescent="0.25">
      <c r="I1964" s="6"/>
      <c r="J1964" s="57"/>
      <c r="K1964" s="62"/>
      <c r="L1964" s="62"/>
      <c r="M1964" s="62"/>
    </row>
    <row r="1965" spans="9:13" ht="15" customHeight="1" x14ac:dyDescent="0.25">
      <c r="I1965" s="6"/>
      <c r="J1965" s="55"/>
      <c r="K1965" s="60"/>
      <c r="L1965" s="60"/>
      <c r="M1965" s="60"/>
    </row>
    <row r="1966" spans="9:13" ht="15" customHeight="1" x14ac:dyDescent="0.25">
      <c r="I1966" s="6"/>
      <c r="J1966" s="60"/>
      <c r="K1966" s="60"/>
      <c r="L1966" s="60"/>
      <c r="M1966" s="60"/>
    </row>
    <row r="1967" spans="9:13" ht="15" customHeight="1" x14ac:dyDescent="0.25">
      <c r="I1967" s="6"/>
      <c r="J1967" s="60"/>
      <c r="K1967" s="60"/>
      <c r="L1967" s="60"/>
      <c r="M1967" s="60"/>
    </row>
    <row r="1968" spans="9:13" ht="15" customHeight="1" x14ac:dyDescent="0.25">
      <c r="I1968" s="6"/>
      <c r="J1968" s="60"/>
      <c r="K1968" s="60"/>
      <c r="L1968" s="60"/>
      <c r="M1968" s="60"/>
    </row>
    <row r="1969" spans="9:13" ht="15" customHeight="1" x14ac:dyDescent="0.25">
      <c r="I1969" s="6"/>
      <c r="J1969" s="60"/>
      <c r="K1969" s="60"/>
      <c r="L1969" s="60"/>
      <c r="M1969" s="60"/>
    </row>
    <row r="1970" spans="9:13" ht="15" customHeight="1" x14ac:dyDescent="0.25">
      <c r="I1970" s="6"/>
      <c r="J1970" s="60"/>
      <c r="K1970" s="60"/>
      <c r="L1970" s="60"/>
      <c r="M1970" s="60"/>
    </row>
    <row r="1971" spans="9:13" ht="15" customHeight="1" x14ac:dyDescent="0.25">
      <c r="I1971" s="6"/>
      <c r="J1971" s="60"/>
      <c r="K1971" s="60"/>
      <c r="L1971" s="60"/>
      <c r="M1971" s="60"/>
    </row>
    <row r="1972" spans="9:13" ht="15" customHeight="1" x14ac:dyDescent="0.25">
      <c r="I1972" s="6"/>
      <c r="J1972" s="60"/>
      <c r="K1972" s="60"/>
      <c r="L1972" s="60"/>
      <c r="M1972" s="60"/>
    </row>
    <row r="1973" spans="9:13" ht="15" customHeight="1" x14ac:dyDescent="0.25">
      <c r="I1973" s="6"/>
      <c r="J1973" s="60"/>
      <c r="K1973" s="60"/>
      <c r="L1973" s="60"/>
      <c r="M1973" s="60"/>
    </row>
    <row r="1974" spans="9:13" ht="15" customHeight="1" x14ac:dyDescent="0.25">
      <c r="I1974" s="6"/>
      <c r="J1974" s="60"/>
      <c r="K1974" s="60"/>
      <c r="L1974" s="60"/>
      <c r="M1974" s="60"/>
    </row>
    <row r="1975" spans="9:13" ht="15" customHeight="1" x14ac:dyDescent="0.25">
      <c r="I1975" s="6"/>
      <c r="J1975" s="60"/>
      <c r="K1975" s="60"/>
      <c r="L1975" s="60"/>
      <c r="M1975" s="60"/>
    </row>
    <row r="1976" spans="9:13" ht="15" customHeight="1" x14ac:dyDescent="0.25">
      <c r="I1976" s="6"/>
      <c r="J1976" s="60"/>
      <c r="K1976" s="60"/>
      <c r="L1976" s="60"/>
      <c r="M1976" s="60"/>
    </row>
    <row r="1977" spans="9:13" ht="15" customHeight="1" x14ac:dyDescent="0.25">
      <c r="I1977" s="6"/>
      <c r="J1977" s="60"/>
      <c r="K1977" s="60"/>
      <c r="L1977" s="60"/>
      <c r="M1977" s="60"/>
    </row>
    <row r="1978" spans="9:13" ht="15" customHeight="1" x14ac:dyDescent="0.25">
      <c r="I1978" s="6"/>
      <c r="J1978" s="60"/>
      <c r="K1978" s="61"/>
      <c r="L1978" s="61"/>
      <c r="M1978" s="61"/>
    </row>
    <row r="1979" spans="9:13" ht="15" customHeight="1" x14ac:dyDescent="0.25">
      <c r="I1979" s="6"/>
      <c r="J1979" s="59"/>
      <c r="K1979" s="60"/>
      <c r="L1979" s="60"/>
      <c r="M1979" s="59"/>
    </row>
    <row r="1980" spans="9:13" ht="15" customHeight="1" x14ac:dyDescent="0.25">
      <c r="I1980" s="6"/>
      <c r="J1980" s="55"/>
      <c r="K1980" s="60"/>
      <c r="L1980" s="60"/>
      <c r="M1980" s="59"/>
    </row>
    <row r="1981" spans="9:13" ht="15" customHeight="1" x14ac:dyDescent="0.25">
      <c r="I1981" s="6"/>
      <c r="J1981" s="55"/>
      <c r="K1981" s="59"/>
      <c r="L1981" s="60"/>
      <c r="M1981" s="59"/>
    </row>
    <row r="1982" spans="9:13" ht="15" customHeight="1" x14ac:dyDescent="0.25">
      <c r="I1982" s="6"/>
      <c r="J1982" s="66"/>
      <c r="K1982" s="59"/>
      <c r="L1982" s="59"/>
      <c r="M1982" s="59"/>
    </row>
    <row r="1983" spans="9:13" ht="15" customHeight="1" x14ac:dyDescent="0.25">
      <c r="I1983" s="6"/>
      <c r="J1983" s="55"/>
      <c r="K1983" s="60"/>
      <c r="L1983" s="60"/>
      <c r="M1983" s="60"/>
    </row>
    <row r="1984" spans="9:13" ht="15" customHeight="1" x14ac:dyDescent="0.25">
      <c r="I1984" s="6"/>
      <c r="J1984" s="60"/>
      <c r="K1984" s="60"/>
      <c r="L1984" s="60"/>
      <c r="M1984" s="60"/>
    </row>
    <row r="1985" spans="9:13" ht="15" customHeight="1" x14ac:dyDescent="0.25">
      <c r="I1985" s="6"/>
      <c r="J1985" s="60"/>
      <c r="K1985" s="61"/>
      <c r="L1985" s="61"/>
      <c r="M1985" s="61"/>
    </row>
    <row r="1986" spans="9:13" ht="15" customHeight="1" x14ac:dyDescent="0.25">
      <c r="I1986" s="6"/>
      <c r="J1986" s="59"/>
      <c r="K1986" s="60"/>
      <c r="L1986" s="60"/>
      <c r="M1986" s="59"/>
    </row>
    <row r="1987" spans="9:13" ht="15" customHeight="1" x14ac:dyDescent="0.25">
      <c r="I1987" s="6"/>
      <c r="J1987" s="55"/>
      <c r="K1987" s="60"/>
      <c r="L1987" s="60"/>
      <c r="M1987" s="59"/>
    </row>
    <row r="1988" spans="9:13" ht="15" customHeight="1" x14ac:dyDescent="0.25">
      <c r="I1988" s="6"/>
      <c r="J1988" s="55"/>
      <c r="K1988" s="59"/>
      <c r="L1988" s="60"/>
      <c r="M1988" s="59"/>
    </row>
    <row r="1989" spans="9:13" ht="15" customHeight="1" x14ac:dyDescent="0.25">
      <c r="I1989" s="6"/>
      <c r="J1989" s="66"/>
      <c r="K1989" s="59"/>
      <c r="L1989" s="59"/>
      <c r="M1989" s="59"/>
    </row>
    <row r="1990" spans="9:13" ht="15" customHeight="1" x14ac:dyDescent="0.25">
      <c r="I1990" s="6"/>
      <c r="J1990" s="55"/>
      <c r="K1990" s="60"/>
      <c r="L1990" s="60"/>
      <c r="M1990" s="60"/>
    </row>
    <row r="1991" spans="9:13" ht="15" customHeight="1" x14ac:dyDescent="0.25">
      <c r="I1991" s="6"/>
      <c r="J1991" s="60"/>
      <c r="K1991" s="60"/>
      <c r="L1991" s="60"/>
      <c r="M1991" s="60"/>
    </row>
    <row r="1992" spans="9:13" ht="15" customHeight="1" x14ac:dyDescent="0.25">
      <c r="I1992" s="6"/>
      <c r="J1992" s="60"/>
      <c r="K1992" s="60"/>
      <c r="L1992" s="60"/>
      <c r="M1992" s="60"/>
    </row>
    <row r="1993" spans="9:13" ht="15" customHeight="1" x14ac:dyDescent="0.25">
      <c r="I1993" s="6"/>
      <c r="J1993" s="60"/>
      <c r="K1993" s="60"/>
      <c r="L1993" s="60"/>
      <c r="M1993" s="60"/>
    </row>
    <row r="1994" spans="9:13" ht="15" customHeight="1" x14ac:dyDescent="0.25">
      <c r="I1994" s="6"/>
      <c r="J1994" s="60"/>
      <c r="K1994" s="60"/>
      <c r="L1994" s="60"/>
      <c r="M1994" s="60"/>
    </row>
    <row r="1995" spans="9:13" ht="15" customHeight="1" x14ac:dyDescent="0.25">
      <c r="I1995" s="6"/>
      <c r="J1995" s="60"/>
      <c r="K1995" s="60"/>
      <c r="L1995" s="60"/>
      <c r="M1995" s="60"/>
    </row>
    <row r="1996" spans="9:13" ht="15" customHeight="1" x14ac:dyDescent="0.25">
      <c r="I1996" s="6"/>
      <c r="J1996" s="60"/>
      <c r="K1996" s="60"/>
      <c r="L1996" s="60"/>
      <c r="M1996" s="60"/>
    </row>
    <row r="1997" spans="9:13" ht="15" customHeight="1" x14ac:dyDescent="0.25">
      <c r="I1997" s="6"/>
      <c r="J1997" s="60"/>
      <c r="K1997" s="60"/>
      <c r="L1997" s="60"/>
      <c r="M1997" s="60"/>
    </row>
    <row r="1998" spans="9:13" ht="15" customHeight="1" x14ac:dyDescent="0.25">
      <c r="I1998" s="6"/>
      <c r="J1998" s="60"/>
      <c r="K1998" s="60"/>
      <c r="L1998" s="60"/>
      <c r="M1998" s="60"/>
    </row>
    <row r="1999" spans="9:13" ht="15" customHeight="1" x14ac:dyDescent="0.25">
      <c r="I1999" s="6"/>
      <c r="J1999" s="60"/>
      <c r="K1999" s="60"/>
      <c r="L1999" s="60"/>
      <c r="M1999" s="60"/>
    </row>
    <row r="2000" spans="9:13" ht="15" customHeight="1" x14ac:dyDescent="0.25">
      <c r="I2000" s="6"/>
      <c r="J2000" s="60"/>
      <c r="K2000" s="60"/>
      <c r="L2000" s="60"/>
      <c r="M2000" s="60"/>
    </row>
    <row r="2001" spans="9:13" ht="15" customHeight="1" x14ac:dyDescent="0.25">
      <c r="I2001" s="6"/>
      <c r="J2001" s="60"/>
      <c r="K2001" s="60"/>
      <c r="L2001" s="60"/>
      <c r="M2001" s="60"/>
    </row>
    <row r="2002" spans="9:13" ht="15" customHeight="1" x14ac:dyDescent="0.25">
      <c r="I2002" s="6"/>
      <c r="J2002" s="60"/>
      <c r="K2002" s="60"/>
      <c r="L2002" s="60"/>
      <c r="M2002" s="60"/>
    </row>
    <row r="2003" spans="9:13" ht="15" customHeight="1" x14ac:dyDescent="0.25">
      <c r="I2003" s="6"/>
      <c r="J2003" s="60"/>
      <c r="K2003" s="60"/>
      <c r="L2003" s="60"/>
      <c r="M2003" s="60"/>
    </row>
    <row r="2004" spans="9:13" ht="15" customHeight="1" x14ac:dyDescent="0.25">
      <c r="I2004" s="6"/>
      <c r="J2004" s="60"/>
      <c r="K2004" s="60"/>
      <c r="L2004" s="60"/>
      <c r="M2004" s="60"/>
    </row>
    <row r="2005" spans="9:13" ht="15" customHeight="1" x14ac:dyDescent="0.25">
      <c r="I2005" s="6"/>
      <c r="J2005" s="60"/>
      <c r="K2005" s="60"/>
      <c r="L2005" s="60"/>
      <c r="M2005" s="60"/>
    </row>
    <row r="2006" spans="9:13" ht="15" customHeight="1" x14ac:dyDescent="0.25">
      <c r="I2006" s="6"/>
      <c r="J2006" s="60"/>
      <c r="K2006" s="60"/>
      <c r="L2006" s="60"/>
      <c r="M2006" s="60"/>
    </row>
    <row r="2007" spans="9:13" ht="15" customHeight="1" x14ac:dyDescent="0.25">
      <c r="I2007" s="6"/>
      <c r="J2007" s="60"/>
      <c r="K2007" s="60"/>
      <c r="L2007" s="60"/>
      <c r="M2007" s="60"/>
    </row>
    <row r="2008" spans="9:13" ht="15" customHeight="1" x14ac:dyDescent="0.25">
      <c r="I2008" s="6"/>
      <c r="J2008" s="60"/>
      <c r="K2008" s="60"/>
      <c r="L2008" s="60"/>
      <c r="M2008" s="60"/>
    </row>
    <row r="2009" spans="9:13" ht="15" customHeight="1" x14ac:dyDescent="0.25">
      <c r="I2009" s="6"/>
      <c r="J2009" s="60"/>
      <c r="K2009" s="60"/>
      <c r="L2009" s="60"/>
      <c r="M2009" s="60"/>
    </row>
    <row r="2010" spans="9:13" ht="15" customHeight="1" x14ac:dyDescent="0.25">
      <c r="I2010" s="6"/>
      <c r="J2010" s="60"/>
      <c r="K2010" s="60"/>
      <c r="L2010" s="60"/>
      <c r="M2010" s="60"/>
    </row>
    <row r="2011" spans="9:13" ht="15" customHeight="1" x14ac:dyDescent="0.25">
      <c r="I2011" s="6"/>
      <c r="J2011" s="60"/>
      <c r="K2011" s="60"/>
      <c r="L2011" s="60"/>
      <c r="M2011" s="60"/>
    </row>
    <row r="2012" spans="9:13" ht="15" customHeight="1" x14ac:dyDescent="0.25">
      <c r="I2012" s="6"/>
      <c r="J2012" s="60"/>
      <c r="K2012" s="60"/>
      <c r="L2012" s="60"/>
      <c r="M2012" s="60"/>
    </row>
    <row r="2013" spans="9:13" ht="15" customHeight="1" x14ac:dyDescent="0.25">
      <c r="I2013" s="6"/>
      <c r="J2013" s="60"/>
      <c r="K2013" s="60"/>
      <c r="L2013" s="60"/>
      <c r="M2013" s="60"/>
    </row>
    <row r="2014" spans="9:13" ht="15" customHeight="1" x14ac:dyDescent="0.25">
      <c r="I2014" s="6"/>
      <c r="J2014" s="60"/>
      <c r="K2014" s="60"/>
      <c r="L2014" s="60"/>
      <c r="M2014" s="60"/>
    </row>
    <row r="2015" spans="9:13" ht="15" customHeight="1" x14ac:dyDescent="0.25">
      <c r="I2015" s="6"/>
      <c r="J2015" s="60"/>
      <c r="K2015" s="60"/>
      <c r="L2015" s="60"/>
      <c r="M2015" s="60"/>
    </row>
    <row r="2016" spans="9:13" ht="15" customHeight="1" x14ac:dyDescent="0.25">
      <c r="I2016" s="6"/>
      <c r="J2016" s="60"/>
      <c r="K2016" s="60"/>
      <c r="L2016" s="60"/>
      <c r="M2016" s="60"/>
    </row>
    <row r="2017" spans="9:13" ht="15" customHeight="1" x14ac:dyDescent="0.25">
      <c r="I2017" s="6"/>
      <c r="J2017" s="60"/>
      <c r="K2017" s="60"/>
      <c r="L2017" s="60"/>
      <c r="M2017" s="60"/>
    </row>
    <row r="2018" spans="9:13" ht="15" customHeight="1" x14ac:dyDescent="0.25">
      <c r="I2018" s="6"/>
      <c r="J2018" s="60"/>
      <c r="K2018" s="60"/>
      <c r="L2018" s="60"/>
      <c r="M2018" s="60"/>
    </row>
    <row r="2019" spans="9:13" ht="15" customHeight="1" x14ac:dyDescent="0.25">
      <c r="I2019" s="6"/>
      <c r="J2019" s="60"/>
      <c r="K2019" s="60"/>
      <c r="L2019" s="60"/>
      <c r="M2019" s="60"/>
    </row>
    <row r="2020" spans="9:13" ht="15" customHeight="1" x14ac:dyDescent="0.25">
      <c r="I2020" s="6"/>
      <c r="J2020" s="60"/>
      <c r="K2020" s="60"/>
      <c r="L2020" s="60"/>
      <c r="M2020" s="60"/>
    </row>
    <row r="2021" spans="9:13" ht="15" customHeight="1" x14ac:dyDescent="0.25">
      <c r="I2021" s="6"/>
      <c r="J2021" s="60"/>
      <c r="K2021" s="60"/>
      <c r="L2021" s="60"/>
      <c r="M2021" s="60"/>
    </row>
    <row r="2022" spans="9:13" ht="15" customHeight="1" x14ac:dyDescent="0.25">
      <c r="I2022" s="6"/>
      <c r="J2022" s="60"/>
      <c r="K2022" s="60"/>
      <c r="L2022" s="60"/>
      <c r="M2022" s="60"/>
    </row>
    <row r="2023" spans="9:13" ht="15" customHeight="1" x14ac:dyDescent="0.25">
      <c r="I2023" s="6"/>
      <c r="J2023" s="60"/>
      <c r="K2023" s="60"/>
      <c r="L2023" s="60"/>
      <c r="M2023" s="60"/>
    </row>
    <row r="2024" spans="9:13" ht="15" customHeight="1" x14ac:dyDescent="0.25">
      <c r="I2024" s="6"/>
      <c r="J2024" s="60"/>
      <c r="K2024" s="60"/>
      <c r="L2024" s="60"/>
      <c r="M2024" s="60"/>
    </row>
    <row r="2025" spans="9:13" ht="15" customHeight="1" x14ac:dyDescent="0.25">
      <c r="I2025" s="6"/>
      <c r="J2025" s="60"/>
      <c r="K2025" s="60"/>
      <c r="L2025" s="60"/>
      <c r="M2025" s="60"/>
    </row>
    <row r="2026" spans="9:13" ht="15" customHeight="1" x14ac:dyDescent="0.25">
      <c r="I2026" s="6"/>
      <c r="J2026" s="60"/>
      <c r="K2026" s="60"/>
      <c r="L2026" s="60"/>
      <c r="M2026" s="60"/>
    </row>
    <row r="2027" spans="9:13" ht="15" customHeight="1" x14ac:dyDescent="0.25">
      <c r="I2027" s="6"/>
      <c r="J2027" s="60"/>
      <c r="K2027" s="60"/>
      <c r="L2027" s="60"/>
      <c r="M2027" s="60"/>
    </row>
    <row r="2028" spans="9:13" ht="15" customHeight="1" x14ac:dyDescent="0.25">
      <c r="I2028" s="6"/>
      <c r="J2028" s="60"/>
      <c r="K2028" s="60"/>
      <c r="L2028" s="60"/>
      <c r="M2028" s="60"/>
    </row>
    <row r="2029" spans="9:13" ht="15" customHeight="1" x14ac:dyDescent="0.25">
      <c r="I2029" s="6"/>
      <c r="J2029" s="60"/>
      <c r="K2029" s="60"/>
      <c r="L2029" s="60"/>
      <c r="M2029" s="60"/>
    </row>
    <row r="2030" spans="9:13" ht="15" customHeight="1" x14ac:dyDescent="0.25">
      <c r="I2030" s="6"/>
      <c r="J2030" s="60"/>
      <c r="K2030" s="60"/>
      <c r="L2030" s="60"/>
      <c r="M2030" s="60"/>
    </row>
    <row r="2031" spans="9:13" ht="15" customHeight="1" x14ac:dyDescent="0.25">
      <c r="I2031" s="6"/>
      <c r="J2031" s="60"/>
      <c r="K2031" s="60"/>
      <c r="L2031" s="60"/>
      <c r="M2031" s="60"/>
    </row>
    <row r="2032" spans="9:13" ht="15" customHeight="1" x14ac:dyDescent="0.25">
      <c r="I2032" s="6"/>
      <c r="J2032" s="60"/>
      <c r="K2032" s="60"/>
      <c r="L2032" s="60"/>
      <c r="M2032" s="60"/>
    </row>
    <row r="2033" spans="9:13" ht="15" customHeight="1" x14ac:dyDescent="0.25">
      <c r="I2033" s="6"/>
      <c r="J2033" s="60"/>
      <c r="K2033" s="61"/>
      <c r="L2033" s="61"/>
      <c r="M2033" s="61"/>
    </row>
    <row r="2034" spans="9:13" ht="15" customHeight="1" x14ac:dyDescent="0.25">
      <c r="I2034" s="6"/>
      <c r="J2034" s="62"/>
      <c r="K2034" s="60"/>
      <c r="L2034" s="60"/>
      <c r="M2034" s="62"/>
    </row>
    <row r="2035" spans="9:13" ht="15" customHeight="1" x14ac:dyDescent="0.25">
      <c r="I2035" s="6"/>
      <c r="J2035" s="55"/>
      <c r="K2035" s="60"/>
      <c r="L2035" s="60"/>
      <c r="M2035" s="62"/>
    </row>
    <row r="2036" spans="9:13" ht="15" customHeight="1" x14ac:dyDescent="0.25">
      <c r="I2036" s="6"/>
      <c r="J2036" s="55"/>
      <c r="K2036" s="62"/>
      <c r="L2036" s="60"/>
      <c r="M2036" s="62"/>
    </row>
    <row r="2037" spans="9:13" ht="15" customHeight="1" x14ac:dyDescent="0.25">
      <c r="I2037" s="6"/>
      <c r="J2037" s="57"/>
      <c r="K2037" s="62"/>
      <c r="L2037" s="62"/>
      <c r="M2037" s="62"/>
    </row>
    <row r="2038" spans="9:13" ht="15" customHeight="1" x14ac:dyDescent="0.25">
      <c r="I2038" s="6"/>
      <c r="J2038" s="55"/>
      <c r="K2038" s="60"/>
      <c r="L2038" s="60"/>
      <c r="M2038" s="60"/>
    </row>
    <row r="2039" spans="9:13" ht="15" customHeight="1" x14ac:dyDescent="0.25">
      <c r="I2039" s="6"/>
      <c r="J2039" s="60"/>
      <c r="K2039" s="60"/>
      <c r="L2039" s="60"/>
      <c r="M2039" s="60"/>
    </row>
    <row r="2040" spans="9:13" ht="15" customHeight="1" x14ac:dyDescent="0.25">
      <c r="I2040" s="6"/>
      <c r="J2040" s="60"/>
      <c r="K2040" s="60"/>
      <c r="L2040" s="60"/>
      <c r="M2040" s="60"/>
    </row>
    <row r="2041" spans="9:13" ht="15" customHeight="1" x14ac:dyDescent="0.25">
      <c r="I2041" s="6"/>
      <c r="J2041" s="60"/>
      <c r="K2041" s="60"/>
      <c r="L2041" s="60"/>
      <c r="M2041" s="60"/>
    </row>
    <row r="2042" spans="9:13" ht="15" customHeight="1" x14ac:dyDescent="0.25">
      <c r="I2042" s="6"/>
      <c r="J2042" s="60"/>
      <c r="K2042" s="60"/>
      <c r="L2042" s="60"/>
      <c r="M2042" s="60"/>
    </row>
    <row r="2043" spans="9:13" ht="15" customHeight="1" x14ac:dyDescent="0.25">
      <c r="I2043" s="6"/>
      <c r="J2043" s="60"/>
      <c r="K2043" s="60"/>
      <c r="L2043" s="60"/>
      <c r="M2043" s="60"/>
    </row>
    <row r="2044" spans="9:13" ht="15" customHeight="1" x14ac:dyDescent="0.25">
      <c r="I2044" s="6"/>
      <c r="J2044" s="60"/>
      <c r="K2044" s="60"/>
      <c r="L2044" s="60"/>
      <c r="M2044" s="60"/>
    </row>
    <row r="2045" spans="9:13" ht="15" customHeight="1" x14ac:dyDescent="0.25">
      <c r="I2045" s="6"/>
      <c r="J2045" s="60"/>
      <c r="K2045" s="60"/>
      <c r="L2045" s="60"/>
      <c r="M2045" s="60"/>
    </row>
    <row r="2046" spans="9:13" ht="15" customHeight="1" x14ac:dyDescent="0.25">
      <c r="I2046" s="6"/>
      <c r="J2046" s="60"/>
      <c r="K2046" s="60"/>
      <c r="L2046" s="60"/>
      <c r="M2046" s="60"/>
    </row>
    <row r="2047" spans="9:13" ht="15" customHeight="1" x14ac:dyDescent="0.25">
      <c r="I2047" s="6"/>
      <c r="J2047" s="60"/>
      <c r="K2047" s="60"/>
      <c r="L2047" s="60"/>
      <c r="M2047" s="60"/>
    </row>
    <row r="2048" spans="9:13" ht="15" customHeight="1" x14ac:dyDescent="0.25">
      <c r="I2048" s="6"/>
      <c r="J2048" s="60"/>
      <c r="K2048" s="60"/>
      <c r="L2048" s="60"/>
      <c r="M2048" s="60"/>
    </row>
    <row r="2049" spans="9:13" ht="15" customHeight="1" x14ac:dyDescent="0.25">
      <c r="I2049" s="6"/>
      <c r="J2049" s="60"/>
      <c r="K2049" s="60"/>
      <c r="L2049" s="60"/>
      <c r="M2049" s="60"/>
    </row>
    <row r="2050" spans="9:13" ht="15" customHeight="1" x14ac:dyDescent="0.25">
      <c r="I2050" s="6"/>
      <c r="J2050" s="60"/>
      <c r="K2050" s="60"/>
      <c r="L2050" s="60"/>
      <c r="M2050" s="60"/>
    </row>
    <row r="2051" spans="9:13" ht="15" customHeight="1" x14ac:dyDescent="0.25">
      <c r="I2051" s="6"/>
      <c r="J2051" s="60"/>
      <c r="K2051" s="60"/>
      <c r="L2051" s="60"/>
      <c r="M2051" s="60"/>
    </row>
    <row r="2052" spans="9:13" ht="15" customHeight="1" x14ac:dyDescent="0.25">
      <c r="I2052" s="6"/>
      <c r="J2052" s="60"/>
      <c r="K2052" s="61"/>
      <c r="L2052" s="61"/>
      <c r="M2052" s="61"/>
    </row>
    <row r="2053" spans="9:13" ht="15" customHeight="1" x14ac:dyDescent="0.25">
      <c r="I2053" s="6"/>
      <c r="J2053" s="59"/>
      <c r="K2053" s="60"/>
      <c r="L2053" s="60"/>
      <c r="M2053" s="59"/>
    </row>
    <row r="2054" spans="9:13" ht="15" customHeight="1" x14ac:dyDescent="0.25">
      <c r="I2054" s="6"/>
      <c r="J2054" s="55"/>
      <c r="K2054" s="60"/>
      <c r="L2054" s="60"/>
      <c r="M2054" s="59"/>
    </row>
    <row r="2055" spans="9:13" ht="15" customHeight="1" x14ac:dyDescent="0.25">
      <c r="I2055" s="6"/>
      <c r="J2055" s="55"/>
      <c r="K2055" s="59"/>
      <c r="L2055" s="60"/>
      <c r="M2055" s="59"/>
    </row>
    <row r="2056" spans="9:13" ht="15" customHeight="1" x14ac:dyDescent="0.25">
      <c r="I2056" s="6"/>
      <c r="J2056" s="66"/>
      <c r="K2056" s="59"/>
      <c r="L2056" s="59"/>
      <c r="M2056" s="59"/>
    </row>
    <row r="2057" spans="9:13" ht="15" customHeight="1" x14ac:dyDescent="0.25">
      <c r="I2057" s="6"/>
      <c r="J2057" s="55"/>
      <c r="K2057" s="60"/>
      <c r="L2057" s="60"/>
      <c r="M2057" s="60"/>
    </row>
    <row r="2058" spans="9:13" ht="15" customHeight="1" x14ac:dyDescent="0.25">
      <c r="I2058" s="6"/>
      <c r="J2058" s="60"/>
      <c r="K2058" s="60"/>
      <c r="L2058" s="60"/>
      <c r="M2058" s="60"/>
    </row>
    <row r="2059" spans="9:13" ht="15" customHeight="1" x14ac:dyDescent="0.25">
      <c r="I2059" s="6"/>
      <c r="J2059" s="60"/>
      <c r="K2059" s="60"/>
      <c r="L2059" s="60"/>
      <c r="M2059" s="60"/>
    </row>
    <row r="2060" spans="9:13" ht="15" customHeight="1" x14ac:dyDescent="0.25">
      <c r="I2060" s="6"/>
      <c r="J2060" s="60"/>
      <c r="K2060" s="60"/>
      <c r="L2060" s="60"/>
      <c r="M2060" s="60"/>
    </row>
    <row r="2061" spans="9:13" ht="15" customHeight="1" x14ac:dyDescent="0.25">
      <c r="I2061" s="6"/>
      <c r="J2061" s="60"/>
      <c r="K2061" s="60"/>
      <c r="L2061" s="60"/>
      <c r="M2061" s="60"/>
    </row>
    <row r="2062" spans="9:13" ht="15" customHeight="1" x14ac:dyDescent="0.25">
      <c r="I2062" s="6"/>
      <c r="J2062" s="60"/>
      <c r="K2062" s="60"/>
      <c r="L2062" s="60"/>
      <c r="M2062" s="60"/>
    </row>
    <row r="2063" spans="9:13" ht="15" customHeight="1" x14ac:dyDescent="0.25">
      <c r="I2063" s="6"/>
      <c r="J2063" s="60"/>
      <c r="K2063" s="60"/>
      <c r="L2063" s="60"/>
      <c r="M2063" s="60"/>
    </row>
    <row r="2064" spans="9:13" ht="15" customHeight="1" x14ac:dyDescent="0.25">
      <c r="I2064" s="6"/>
      <c r="J2064" s="60"/>
      <c r="K2064" s="61"/>
      <c r="L2064" s="61"/>
      <c r="M2064" s="61"/>
    </row>
    <row r="2065" spans="9:13" ht="15" customHeight="1" x14ac:dyDescent="0.25">
      <c r="I2065" s="6"/>
      <c r="J2065" s="59"/>
      <c r="K2065" s="60"/>
      <c r="L2065" s="60"/>
      <c r="M2065" s="59"/>
    </row>
    <row r="2066" spans="9:13" ht="15" customHeight="1" x14ac:dyDescent="0.25">
      <c r="I2066" s="6"/>
      <c r="J2066" s="55"/>
      <c r="K2066" s="60"/>
      <c r="L2066" s="60"/>
      <c r="M2066" s="59"/>
    </row>
    <row r="2067" spans="9:13" ht="15" customHeight="1" x14ac:dyDescent="0.25">
      <c r="I2067" s="6"/>
      <c r="J2067" s="55"/>
      <c r="K2067" s="59"/>
      <c r="L2067" s="60"/>
      <c r="M2067" s="59"/>
    </row>
    <row r="2068" spans="9:13" ht="15" customHeight="1" x14ac:dyDescent="0.25">
      <c r="I2068" s="6"/>
      <c r="J2068" s="66"/>
      <c r="K2068" s="59"/>
      <c r="L2068" s="59"/>
      <c r="M2068" s="59"/>
    </row>
    <row r="2069" spans="9:13" ht="15" customHeight="1" x14ac:dyDescent="0.25">
      <c r="I2069" s="6"/>
      <c r="J2069" s="55"/>
      <c r="K2069" s="60"/>
      <c r="L2069" s="60"/>
      <c r="M2069" s="60"/>
    </row>
    <row r="2070" spans="9:13" ht="15" customHeight="1" x14ac:dyDescent="0.25">
      <c r="I2070" s="6"/>
      <c r="J2070" s="60"/>
      <c r="K2070" s="60"/>
      <c r="L2070" s="60"/>
      <c r="M2070" s="60"/>
    </row>
    <row r="2071" spans="9:13" ht="15" customHeight="1" x14ac:dyDescent="0.25">
      <c r="I2071" s="6"/>
      <c r="J2071" s="60"/>
      <c r="K2071" s="60"/>
      <c r="L2071" s="60"/>
      <c r="M2071" s="60"/>
    </row>
    <row r="2072" spans="9:13" ht="15" customHeight="1" x14ac:dyDescent="0.25">
      <c r="I2072" s="6"/>
      <c r="J2072" s="60"/>
      <c r="K2072" s="61"/>
      <c r="L2072" s="61"/>
      <c r="M2072" s="61"/>
    </row>
    <row r="2073" spans="9:13" ht="15" customHeight="1" x14ac:dyDescent="0.25">
      <c r="I2073" s="6"/>
      <c r="J2073" s="62"/>
      <c r="K2073" s="60"/>
      <c r="L2073" s="60"/>
      <c r="M2073" s="62"/>
    </row>
    <row r="2074" spans="9:13" ht="15" customHeight="1" x14ac:dyDescent="0.25">
      <c r="I2074" s="6"/>
      <c r="J2074" s="55"/>
      <c r="K2074" s="60"/>
      <c r="L2074" s="60"/>
      <c r="M2074" s="62"/>
    </row>
    <row r="2075" spans="9:13" ht="15" customHeight="1" x14ac:dyDescent="0.25">
      <c r="I2075" s="6"/>
      <c r="J2075" s="55"/>
      <c r="K2075" s="62"/>
      <c r="L2075" s="60"/>
      <c r="M2075" s="62"/>
    </row>
    <row r="2076" spans="9:13" ht="15" customHeight="1" x14ac:dyDescent="0.25">
      <c r="I2076" s="6"/>
      <c r="J2076" s="57"/>
      <c r="K2076" s="61"/>
      <c r="L2076" s="61"/>
      <c r="M2076" s="61"/>
    </row>
    <row r="2077" spans="9:13" ht="15" customHeight="1" x14ac:dyDescent="0.25">
      <c r="I2077" s="6"/>
      <c r="J2077" s="62"/>
      <c r="K2077" s="60"/>
      <c r="L2077" s="60"/>
      <c r="M2077" s="62"/>
    </row>
    <row r="2078" spans="9:13" ht="15" customHeight="1" x14ac:dyDescent="0.25">
      <c r="I2078" s="6"/>
      <c r="J2078" s="55"/>
      <c r="K2078" s="60"/>
      <c r="L2078" s="60"/>
      <c r="M2078" s="62"/>
    </row>
    <row r="2079" spans="9:13" ht="15" customHeight="1" x14ac:dyDescent="0.25">
      <c r="I2079" s="6"/>
      <c r="J2079" s="55"/>
      <c r="K2079" s="62"/>
      <c r="L2079" s="60"/>
      <c r="M2079" s="62"/>
    </row>
    <row r="2080" spans="9:13" ht="15" customHeight="1" x14ac:dyDescent="0.25">
      <c r="I2080" s="6"/>
      <c r="J2080" s="57"/>
      <c r="K2080" s="62"/>
      <c r="L2080" s="62"/>
      <c r="M2080" s="62"/>
    </row>
    <row r="2081" spans="9:13" ht="15" customHeight="1" x14ac:dyDescent="0.25">
      <c r="I2081" s="6"/>
      <c r="J2081" s="55"/>
      <c r="K2081" s="60"/>
      <c r="L2081" s="60"/>
      <c r="M2081" s="60"/>
    </row>
    <row r="2082" spans="9:13" ht="15" customHeight="1" x14ac:dyDescent="0.25">
      <c r="I2082" s="6"/>
      <c r="J2082" s="60"/>
      <c r="K2082" s="60"/>
      <c r="L2082" s="60"/>
      <c r="M2082" s="60"/>
    </row>
    <row r="2083" spans="9:13" ht="15" customHeight="1" x14ac:dyDescent="0.25">
      <c r="I2083" s="6"/>
      <c r="J2083" s="60"/>
      <c r="K2083" s="60"/>
      <c r="L2083" s="60"/>
      <c r="M2083" s="60"/>
    </row>
    <row r="2084" spans="9:13" ht="15" customHeight="1" x14ac:dyDescent="0.25">
      <c r="I2084" s="6"/>
      <c r="J2084" s="60"/>
      <c r="K2084" s="60"/>
      <c r="L2084" s="60"/>
      <c r="M2084" s="60"/>
    </row>
    <row r="2085" spans="9:13" ht="15" customHeight="1" x14ac:dyDescent="0.25">
      <c r="I2085" s="6"/>
      <c r="J2085" s="60"/>
      <c r="K2085" s="60"/>
      <c r="L2085" s="60"/>
      <c r="M2085" s="60"/>
    </row>
    <row r="2086" spans="9:13" ht="15" customHeight="1" x14ac:dyDescent="0.25">
      <c r="I2086" s="6"/>
      <c r="J2086" s="60"/>
      <c r="K2086" s="60"/>
      <c r="L2086" s="60"/>
      <c r="M2086" s="60"/>
    </row>
    <row r="2087" spans="9:13" ht="15" customHeight="1" x14ac:dyDescent="0.25">
      <c r="I2087" s="6"/>
      <c r="J2087" s="60"/>
      <c r="K2087" s="60"/>
      <c r="L2087" s="60"/>
      <c r="M2087" s="60"/>
    </row>
    <row r="2088" spans="9:13" ht="15" customHeight="1" x14ac:dyDescent="0.25">
      <c r="I2088" s="6"/>
      <c r="J2088" s="60"/>
      <c r="K2088" s="60"/>
      <c r="L2088" s="60"/>
      <c r="M2088" s="60"/>
    </row>
    <row r="2089" spans="9:13" ht="15" customHeight="1" x14ac:dyDescent="0.25">
      <c r="I2089" s="6"/>
      <c r="J2089" s="60"/>
      <c r="K2089" s="60"/>
      <c r="L2089" s="60"/>
      <c r="M2089" s="60"/>
    </row>
    <row r="2090" spans="9:13" ht="15" customHeight="1" x14ac:dyDescent="0.25">
      <c r="I2090" s="6"/>
      <c r="J2090" s="60"/>
      <c r="K2090" s="60"/>
      <c r="L2090" s="60"/>
      <c r="M2090" s="60"/>
    </row>
    <row r="2091" spans="9:13" ht="15" customHeight="1" x14ac:dyDescent="0.25">
      <c r="I2091" s="6"/>
      <c r="J2091" s="60"/>
      <c r="K2091" s="60"/>
      <c r="L2091" s="60"/>
      <c r="M2091" s="60"/>
    </row>
    <row r="2092" spans="9:13" ht="15" customHeight="1" x14ac:dyDescent="0.25">
      <c r="I2092" s="6"/>
      <c r="J2092" s="60"/>
      <c r="K2092" s="60"/>
      <c r="L2092" s="60"/>
      <c r="M2092" s="60"/>
    </row>
    <row r="2093" spans="9:13" ht="15" customHeight="1" x14ac:dyDescent="0.25">
      <c r="I2093" s="6"/>
      <c r="J2093" s="60"/>
      <c r="K2093" s="60"/>
      <c r="L2093" s="60"/>
      <c r="M2093" s="60"/>
    </row>
    <row r="2094" spans="9:13" ht="15" customHeight="1" x14ac:dyDescent="0.25">
      <c r="I2094" s="6"/>
      <c r="J2094" s="60"/>
      <c r="K2094" s="60"/>
      <c r="L2094" s="60"/>
      <c r="M2094" s="60"/>
    </row>
    <row r="2095" spans="9:13" ht="15" customHeight="1" x14ac:dyDescent="0.25">
      <c r="I2095" s="6"/>
      <c r="J2095" s="60"/>
      <c r="K2095" s="60"/>
      <c r="L2095" s="60"/>
      <c r="M2095" s="60"/>
    </row>
    <row r="2096" spans="9:13" ht="15" customHeight="1" x14ac:dyDescent="0.25">
      <c r="I2096" s="6"/>
      <c r="J2096" s="60"/>
      <c r="K2096" s="60"/>
      <c r="L2096" s="60"/>
      <c r="M2096" s="60"/>
    </row>
    <row r="2097" spans="9:13" ht="15" customHeight="1" x14ac:dyDescent="0.25">
      <c r="I2097" s="6"/>
      <c r="J2097" s="60"/>
      <c r="K2097" s="60"/>
      <c r="L2097" s="60"/>
      <c r="M2097" s="60"/>
    </row>
    <row r="2098" spans="9:13" ht="15" customHeight="1" x14ac:dyDescent="0.25">
      <c r="I2098" s="6"/>
      <c r="J2098" s="60"/>
      <c r="K2098" s="60"/>
      <c r="L2098" s="60"/>
      <c r="M2098" s="60"/>
    </row>
    <row r="2099" spans="9:13" ht="15" customHeight="1" x14ac:dyDescent="0.25">
      <c r="I2099" s="6"/>
      <c r="J2099" s="60"/>
      <c r="K2099" s="60"/>
      <c r="L2099" s="60"/>
      <c r="M2099" s="60"/>
    </row>
    <row r="2100" spans="9:13" ht="15" customHeight="1" x14ac:dyDescent="0.25">
      <c r="I2100" s="6"/>
      <c r="J2100" s="60"/>
      <c r="K2100" s="60"/>
      <c r="L2100" s="60"/>
      <c r="M2100" s="60"/>
    </row>
    <row r="2101" spans="9:13" ht="15" customHeight="1" x14ac:dyDescent="0.25">
      <c r="I2101" s="6"/>
      <c r="J2101" s="60"/>
      <c r="K2101" s="60"/>
      <c r="L2101" s="60"/>
      <c r="M2101" s="60"/>
    </row>
    <row r="2102" spans="9:13" ht="15" customHeight="1" x14ac:dyDescent="0.25">
      <c r="I2102" s="6"/>
      <c r="J2102" s="60"/>
      <c r="K2102" s="60"/>
      <c r="L2102" s="60"/>
      <c r="M2102" s="60"/>
    </row>
    <row r="2103" spans="9:13" ht="15" customHeight="1" x14ac:dyDescent="0.25">
      <c r="I2103" s="6"/>
      <c r="J2103" s="60"/>
      <c r="K2103" s="60"/>
      <c r="L2103" s="60"/>
      <c r="M2103" s="60"/>
    </row>
    <row r="2104" spans="9:13" ht="15" customHeight="1" x14ac:dyDescent="0.25">
      <c r="I2104" s="6"/>
      <c r="J2104" s="60"/>
      <c r="K2104" s="60"/>
      <c r="L2104" s="60"/>
      <c r="M2104" s="60"/>
    </row>
    <row r="2105" spans="9:13" ht="15" customHeight="1" x14ac:dyDescent="0.25">
      <c r="I2105" s="6"/>
      <c r="J2105" s="60"/>
      <c r="K2105" s="60"/>
      <c r="L2105" s="60"/>
      <c r="M2105" s="60"/>
    </row>
    <row r="2106" spans="9:13" ht="15" customHeight="1" x14ac:dyDescent="0.25">
      <c r="I2106" s="6"/>
      <c r="J2106" s="60"/>
      <c r="K2106" s="60"/>
      <c r="L2106" s="60"/>
      <c r="M2106" s="60"/>
    </row>
    <row r="2107" spans="9:13" ht="15" customHeight="1" x14ac:dyDescent="0.25">
      <c r="I2107" s="6"/>
      <c r="J2107" s="60"/>
      <c r="K2107" s="60"/>
      <c r="L2107" s="60"/>
      <c r="M2107" s="60"/>
    </row>
    <row r="2108" spans="9:13" ht="15" customHeight="1" x14ac:dyDescent="0.25">
      <c r="I2108" s="6"/>
      <c r="J2108" s="60"/>
      <c r="K2108" s="60"/>
      <c r="L2108" s="60"/>
      <c r="M2108" s="60"/>
    </row>
    <row r="2109" spans="9:13" ht="15" customHeight="1" x14ac:dyDescent="0.25">
      <c r="I2109" s="6"/>
      <c r="J2109" s="60"/>
      <c r="K2109" s="60"/>
      <c r="L2109" s="60"/>
      <c r="M2109" s="60"/>
    </row>
    <row r="2110" spans="9:13" ht="15" customHeight="1" x14ac:dyDescent="0.25">
      <c r="I2110" s="6"/>
      <c r="J2110" s="60"/>
      <c r="K2110" s="60"/>
      <c r="L2110" s="60"/>
      <c r="M2110" s="60"/>
    </row>
    <row r="2111" spans="9:13" ht="15" customHeight="1" x14ac:dyDescent="0.25">
      <c r="I2111" s="6"/>
      <c r="J2111" s="60"/>
      <c r="K2111" s="60"/>
      <c r="L2111" s="60"/>
      <c r="M2111" s="60"/>
    </row>
    <row r="2112" spans="9:13" ht="15" customHeight="1" x14ac:dyDescent="0.25">
      <c r="I2112" s="6"/>
      <c r="J2112" s="60"/>
      <c r="K2112" s="60"/>
      <c r="L2112" s="60"/>
      <c r="M2112" s="60"/>
    </row>
    <row r="2113" spans="9:13" ht="15" customHeight="1" x14ac:dyDescent="0.25">
      <c r="I2113" s="6"/>
      <c r="J2113" s="60"/>
      <c r="K2113" s="60"/>
      <c r="L2113" s="60"/>
      <c r="M2113" s="60"/>
    </row>
    <row r="2114" spans="9:13" ht="15" customHeight="1" x14ac:dyDescent="0.25">
      <c r="I2114" s="6"/>
      <c r="J2114" s="60"/>
      <c r="K2114" s="60"/>
      <c r="L2114" s="60"/>
      <c r="M2114" s="60"/>
    </row>
    <row r="2115" spans="9:13" ht="15" customHeight="1" x14ac:dyDescent="0.25">
      <c r="I2115" s="6"/>
      <c r="J2115" s="60"/>
      <c r="K2115" s="60"/>
      <c r="L2115" s="60"/>
      <c r="M2115" s="60"/>
    </row>
    <row r="2116" spans="9:13" ht="15" customHeight="1" x14ac:dyDescent="0.25">
      <c r="I2116" s="6"/>
      <c r="J2116" s="60"/>
      <c r="K2116" s="60"/>
      <c r="L2116" s="60"/>
      <c r="M2116" s="60"/>
    </row>
    <row r="2117" spans="9:13" ht="15" customHeight="1" x14ac:dyDescent="0.25">
      <c r="I2117" s="6"/>
      <c r="J2117" s="60"/>
      <c r="K2117" s="60"/>
      <c r="L2117" s="60"/>
      <c r="M2117" s="60"/>
    </row>
    <row r="2118" spans="9:13" ht="15" customHeight="1" x14ac:dyDescent="0.25">
      <c r="I2118" s="6"/>
      <c r="J2118" s="60"/>
      <c r="K2118" s="60"/>
      <c r="L2118" s="60"/>
      <c r="M2118" s="60"/>
    </row>
    <row r="2119" spans="9:13" ht="15" customHeight="1" x14ac:dyDescent="0.25">
      <c r="I2119" s="6"/>
      <c r="J2119" s="60"/>
      <c r="K2119" s="60"/>
      <c r="L2119" s="60"/>
      <c r="M2119" s="60"/>
    </row>
    <row r="2120" spans="9:13" ht="15" customHeight="1" x14ac:dyDescent="0.25">
      <c r="I2120" s="6"/>
      <c r="J2120" s="60"/>
      <c r="K2120" s="60"/>
      <c r="L2120" s="60"/>
      <c r="M2120" s="60"/>
    </row>
    <row r="2121" spans="9:13" ht="15" customHeight="1" x14ac:dyDescent="0.25">
      <c r="I2121" s="6"/>
      <c r="J2121" s="60"/>
      <c r="K2121" s="60"/>
      <c r="L2121" s="60"/>
      <c r="M2121" s="60"/>
    </row>
    <row r="2122" spans="9:13" ht="15" customHeight="1" x14ac:dyDescent="0.25">
      <c r="I2122" s="6"/>
      <c r="J2122" s="60"/>
      <c r="K2122" s="60"/>
      <c r="L2122" s="60"/>
      <c r="M2122" s="60"/>
    </row>
    <row r="2123" spans="9:13" ht="15" customHeight="1" x14ac:dyDescent="0.25">
      <c r="I2123" s="6"/>
      <c r="J2123" s="60"/>
      <c r="K2123" s="60"/>
      <c r="L2123" s="60"/>
      <c r="M2123" s="60"/>
    </row>
    <row r="2124" spans="9:13" ht="15" customHeight="1" x14ac:dyDescent="0.25">
      <c r="I2124" s="6"/>
      <c r="J2124" s="60"/>
      <c r="K2124" s="60"/>
      <c r="L2124" s="60"/>
      <c r="M2124" s="60"/>
    </row>
    <row r="2125" spans="9:13" ht="15" customHeight="1" x14ac:dyDescent="0.25">
      <c r="I2125" s="6"/>
      <c r="J2125" s="60"/>
      <c r="K2125" s="60"/>
      <c r="L2125" s="60"/>
      <c r="M2125" s="60"/>
    </row>
    <row r="2126" spans="9:13" ht="15" customHeight="1" x14ac:dyDescent="0.25">
      <c r="I2126" s="6"/>
      <c r="J2126" s="60"/>
      <c r="K2126" s="60"/>
      <c r="L2126" s="60"/>
      <c r="M2126" s="60"/>
    </row>
    <row r="2127" spans="9:13" ht="15" customHeight="1" x14ac:dyDescent="0.25">
      <c r="I2127" s="6"/>
      <c r="J2127" s="60"/>
      <c r="K2127" s="60"/>
      <c r="L2127" s="60"/>
      <c r="M2127" s="60"/>
    </row>
    <row r="2128" spans="9:13" ht="15" customHeight="1" x14ac:dyDescent="0.25">
      <c r="I2128" s="6"/>
      <c r="J2128" s="60"/>
      <c r="K2128" s="60"/>
      <c r="L2128" s="60"/>
      <c r="M2128" s="60"/>
    </row>
    <row r="2129" spans="9:13" ht="15" customHeight="1" x14ac:dyDescent="0.25">
      <c r="I2129" s="6"/>
      <c r="J2129" s="60"/>
      <c r="K2129" s="60"/>
      <c r="L2129" s="60"/>
      <c r="M2129" s="60"/>
    </row>
    <row r="2130" spans="9:13" ht="15" customHeight="1" x14ac:dyDescent="0.25">
      <c r="I2130" s="6"/>
      <c r="J2130" s="60"/>
      <c r="K2130" s="60"/>
      <c r="L2130" s="60"/>
      <c r="M2130" s="60"/>
    </row>
    <row r="2131" spans="9:13" ht="15" customHeight="1" x14ac:dyDescent="0.25">
      <c r="I2131" s="6"/>
      <c r="J2131" s="60"/>
      <c r="K2131" s="60"/>
      <c r="L2131" s="60"/>
      <c r="M2131" s="60"/>
    </row>
    <row r="2132" spans="9:13" ht="15" customHeight="1" x14ac:dyDescent="0.25">
      <c r="I2132" s="6"/>
      <c r="J2132" s="60"/>
      <c r="K2132" s="60"/>
      <c r="L2132" s="60"/>
      <c r="M2132" s="60"/>
    </row>
    <row r="2133" spans="9:13" ht="15" customHeight="1" x14ac:dyDescent="0.25">
      <c r="I2133" s="6"/>
      <c r="J2133" s="60"/>
      <c r="K2133" s="60"/>
      <c r="L2133" s="60"/>
      <c r="M2133" s="60"/>
    </row>
    <row r="2134" spans="9:13" ht="15" customHeight="1" x14ac:dyDescent="0.25">
      <c r="I2134" s="6"/>
      <c r="J2134" s="60"/>
      <c r="K2134" s="60"/>
      <c r="L2134" s="60"/>
      <c r="M2134" s="60"/>
    </row>
    <row r="2135" spans="9:13" ht="15" customHeight="1" x14ac:dyDescent="0.25">
      <c r="I2135" s="6"/>
      <c r="J2135" s="60"/>
      <c r="K2135" s="60"/>
      <c r="L2135" s="60"/>
      <c r="M2135" s="60"/>
    </row>
    <row r="2136" spans="9:13" ht="15" customHeight="1" x14ac:dyDescent="0.25">
      <c r="I2136" s="6"/>
      <c r="J2136" s="60"/>
      <c r="K2136" s="60"/>
      <c r="L2136" s="60"/>
      <c r="M2136" s="60"/>
    </row>
    <row r="2137" spans="9:13" ht="15" customHeight="1" x14ac:dyDescent="0.25">
      <c r="I2137" s="6"/>
      <c r="J2137" s="60"/>
      <c r="K2137" s="60"/>
      <c r="L2137" s="60"/>
      <c r="M2137" s="60"/>
    </row>
    <row r="2138" spans="9:13" ht="15" customHeight="1" x14ac:dyDescent="0.25">
      <c r="I2138" s="6"/>
      <c r="J2138" s="60"/>
      <c r="K2138" s="60"/>
      <c r="L2138" s="60"/>
      <c r="M2138" s="60"/>
    </row>
    <row r="2139" spans="9:13" ht="15" customHeight="1" x14ac:dyDescent="0.25">
      <c r="I2139" s="6"/>
      <c r="J2139" s="60"/>
      <c r="K2139" s="60"/>
      <c r="L2139" s="60"/>
      <c r="M2139" s="60"/>
    </row>
    <row r="2140" spans="9:13" ht="15" customHeight="1" x14ac:dyDescent="0.25">
      <c r="I2140" s="6"/>
      <c r="J2140" s="60"/>
      <c r="K2140" s="61"/>
      <c r="L2140" s="61"/>
      <c r="M2140" s="61"/>
    </row>
    <row r="2141" spans="9:13" ht="15" customHeight="1" x14ac:dyDescent="0.25">
      <c r="I2141" s="6"/>
      <c r="J2141" s="62"/>
      <c r="K2141" s="60"/>
      <c r="L2141" s="60"/>
      <c r="M2141" s="62"/>
    </row>
    <row r="2142" spans="9:13" ht="15" customHeight="1" x14ac:dyDescent="0.25">
      <c r="I2142" s="6"/>
      <c r="J2142" s="55"/>
      <c r="K2142" s="60"/>
      <c r="L2142" s="60"/>
      <c r="M2142" s="62"/>
    </row>
    <row r="2143" spans="9:13" ht="15" customHeight="1" x14ac:dyDescent="0.25">
      <c r="I2143" s="6"/>
      <c r="J2143" s="55"/>
      <c r="K2143" s="62"/>
      <c r="L2143" s="60"/>
      <c r="M2143" s="62"/>
    </row>
    <row r="2144" spans="9:13" ht="15" customHeight="1" x14ac:dyDescent="0.25">
      <c r="I2144" s="6"/>
      <c r="J2144" s="57"/>
      <c r="K2144" s="61"/>
      <c r="L2144" s="61"/>
      <c r="M2144" s="61"/>
    </row>
    <row r="2145" spans="9:13" ht="15" customHeight="1" x14ac:dyDescent="0.25">
      <c r="I2145" s="6"/>
      <c r="J2145" s="59"/>
      <c r="K2145" s="60"/>
      <c r="L2145" s="60"/>
      <c r="M2145" s="59"/>
    </row>
    <row r="2146" spans="9:13" ht="15" customHeight="1" x14ac:dyDescent="0.25">
      <c r="I2146" s="6"/>
      <c r="J2146" s="55"/>
      <c r="K2146" s="60"/>
      <c r="L2146" s="60"/>
      <c r="M2146" s="59"/>
    </row>
    <row r="2147" spans="9:13" ht="15" customHeight="1" x14ac:dyDescent="0.25">
      <c r="I2147" s="6"/>
      <c r="J2147" s="55"/>
      <c r="K2147" s="59"/>
      <c r="L2147" s="60"/>
      <c r="M2147" s="59"/>
    </row>
    <row r="2148" spans="9:13" ht="15" customHeight="1" x14ac:dyDescent="0.25">
      <c r="I2148" s="6"/>
      <c r="J2148" s="66"/>
      <c r="K2148" s="59"/>
      <c r="L2148" s="59"/>
      <c r="M2148" s="59"/>
    </row>
    <row r="2149" spans="9:13" ht="15" customHeight="1" x14ac:dyDescent="0.25">
      <c r="I2149" s="6"/>
      <c r="J2149" s="55"/>
      <c r="K2149" s="60"/>
      <c r="L2149" s="60"/>
      <c r="M2149" s="60"/>
    </row>
    <row r="2150" spans="9:13" ht="15" customHeight="1" x14ac:dyDescent="0.25">
      <c r="I2150" s="6"/>
      <c r="J2150" s="60"/>
      <c r="K2150" s="60"/>
      <c r="L2150" s="60"/>
      <c r="M2150" s="60"/>
    </row>
    <row r="2151" spans="9:13" ht="15" customHeight="1" x14ac:dyDescent="0.25">
      <c r="I2151" s="6"/>
      <c r="J2151" s="60"/>
      <c r="K2151" s="60"/>
      <c r="L2151" s="60"/>
      <c r="M2151" s="60"/>
    </row>
    <row r="2152" spans="9:13" ht="15" customHeight="1" x14ac:dyDescent="0.25">
      <c r="I2152" s="6"/>
      <c r="J2152" s="60"/>
      <c r="K2152" s="60"/>
      <c r="L2152" s="60"/>
      <c r="M2152" s="60"/>
    </row>
    <row r="2153" spans="9:13" ht="15" customHeight="1" x14ac:dyDescent="0.25">
      <c r="I2153" s="6"/>
      <c r="J2153" s="60"/>
      <c r="K2153" s="60"/>
      <c r="L2153" s="60"/>
      <c r="M2153" s="60"/>
    </row>
    <row r="2154" spans="9:13" ht="15" customHeight="1" x14ac:dyDescent="0.25">
      <c r="I2154" s="6"/>
      <c r="J2154" s="60"/>
      <c r="K2154" s="60"/>
      <c r="L2154" s="60"/>
      <c r="M2154" s="60"/>
    </row>
    <row r="2155" spans="9:13" ht="15" customHeight="1" x14ac:dyDescent="0.25">
      <c r="I2155" s="6"/>
      <c r="J2155" s="60"/>
      <c r="K2155" s="60"/>
      <c r="L2155" s="60"/>
      <c r="M2155" s="60"/>
    </row>
    <row r="2156" spans="9:13" ht="15" customHeight="1" x14ac:dyDescent="0.25">
      <c r="I2156" s="6"/>
      <c r="J2156" s="60"/>
      <c r="K2156" s="60"/>
      <c r="L2156" s="60"/>
      <c r="M2156" s="60"/>
    </row>
    <row r="2157" spans="9:13" ht="15" customHeight="1" x14ac:dyDescent="0.25">
      <c r="I2157" s="6"/>
      <c r="J2157" s="60"/>
      <c r="K2157" s="60"/>
      <c r="L2157" s="60"/>
      <c r="M2157" s="60"/>
    </row>
    <row r="2158" spans="9:13" ht="15" customHeight="1" x14ac:dyDescent="0.25">
      <c r="I2158" s="6"/>
      <c r="J2158" s="60"/>
      <c r="K2158" s="60"/>
      <c r="L2158" s="60"/>
      <c r="M2158" s="60"/>
    </row>
    <row r="2159" spans="9:13" ht="15" customHeight="1" x14ac:dyDescent="0.25">
      <c r="I2159" s="3"/>
      <c r="J2159" s="60"/>
      <c r="K2159" s="60"/>
      <c r="L2159" s="60"/>
      <c r="M2159" s="60"/>
    </row>
    <row r="2160" spans="9:13" ht="15" customHeight="1" x14ac:dyDescent="0.25">
      <c r="I2160" s="3"/>
      <c r="J2160" s="60"/>
      <c r="K2160" s="60"/>
      <c r="L2160" s="60"/>
      <c r="M2160" s="60"/>
    </row>
    <row r="2161" spans="9:13" ht="15" customHeight="1" x14ac:dyDescent="0.25">
      <c r="I2161" s="6"/>
      <c r="J2161" s="60"/>
      <c r="K2161" s="60"/>
      <c r="L2161" s="60"/>
      <c r="M2161" s="60"/>
    </row>
    <row r="2162" spans="9:13" ht="15" customHeight="1" x14ac:dyDescent="0.25">
      <c r="I2162" s="6"/>
      <c r="J2162" s="60"/>
      <c r="K2162" s="60"/>
      <c r="L2162" s="60"/>
      <c r="M2162" s="60"/>
    </row>
    <row r="2163" spans="9:13" ht="15" customHeight="1" x14ac:dyDescent="0.25">
      <c r="I2163" s="6"/>
      <c r="J2163" s="60"/>
      <c r="K2163" s="60"/>
      <c r="L2163" s="60"/>
      <c r="M2163" s="60"/>
    </row>
    <row r="2164" spans="9:13" ht="15" customHeight="1" x14ac:dyDescent="0.25">
      <c r="I2164" s="6"/>
      <c r="J2164" s="60"/>
      <c r="K2164" s="61"/>
      <c r="L2164" s="61"/>
      <c r="M2164" s="61"/>
    </row>
    <row r="2165" spans="9:13" ht="15" customHeight="1" x14ac:dyDescent="0.25">
      <c r="I2165" s="6"/>
      <c r="J2165" s="59"/>
      <c r="K2165" s="60"/>
      <c r="L2165" s="60"/>
      <c r="M2165" s="59"/>
    </row>
    <row r="2166" spans="9:13" ht="15" customHeight="1" x14ac:dyDescent="0.25">
      <c r="I2166" s="6"/>
      <c r="J2166" s="55"/>
      <c r="K2166" s="60"/>
      <c r="L2166" s="60"/>
      <c r="M2166" s="59"/>
    </row>
    <row r="2167" spans="9:13" ht="15" customHeight="1" x14ac:dyDescent="0.25">
      <c r="I2167" s="6"/>
      <c r="J2167" s="55"/>
      <c r="K2167" s="59"/>
      <c r="L2167" s="60"/>
      <c r="M2167" s="59"/>
    </row>
    <row r="2168" spans="9:13" ht="15" customHeight="1" x14ac:dyDescent="0.25">
      <c r="I2168" s="6"/>
      <c r="J2168" s="66"/>
      <c r="K2168" s="59"/>
      <c r="L2168" s="59"/>
      <c r="M2168" s="59"/>
    </row>
    <row r="2169" spans="9:13" ht="15" customHeight="1" x14ac:dyDescent="0.25">
      <c r="I2169" s="6"/>
      <c r="J2169" s="55"/>
      <c r="K2169" s="60"/>
      <c r="L2169" s="60"/>
      <c r="M2169" s="60"/>
    </row>
    <row r="2170" spans="9:13" ht="15" customHeight="1" x14ac:dyDescent="0.25">
      <c r="I2170" s="6"/>
      <c r="J2170" s="60"/>
      <c r="K2170" s="60"/>
      <c r="L2170" s="60"/>
      <c r="M2170" s="60"/>
    </row>
    <row r="2171" spans="9:13" ht="15" customHeight="1" x14ac:dyDescent="0.25">
      <c r="I2171" s="6"/>
      <c r="J2171" s="60"/>
      <c r="K2171" s="60"/>
      <c r="L2171" s="60"/>
      <c r="M2171" s="60"/>
    </row>
    <row r="2172" spans="9:13" ht="15" customHeight="1" x14ac:dyDescent="0.25">
      <c r="I2172" s="6"/>
      <c r="J2172" s="60"/>
      <c r="K2172" s="60"/>
      <c r="L2172" s="60"/>
      <c r="M2172" s="60"/>
    </row>
    <row r="2173" spans="9:13" ht="15" customHeight="1" x14ac:dyDescent="0.25">
      <c r="I2173" s="6"/>
      <c r="J2173" s="60"/>
      <c r="K2173" s="60"/>
      <c r="L2173" s="60"/>
      <c r="M2173" s="60"/>
    </row>
    <row r="2174" spans="9:13" ht="15" customHeight="1" x14ac:dyDescent="0.25">
      <c r="I2174" s="6"/>
      <c r="J2174" s="60"/>
      <c r="K2174" s="60"/>
      <c r="L2174" s="60"/>
      <c r="M2174" s="60"/>
    </row>
    <row r="2175" spans="9:13" ht="15" customHeight="1" x14ac:dyDescent="0.25">
      <c r="I2175" s="6"/>
      <c r="J2175" s="60"/>
      <c r="K2175" s="60"/>
      <c r="L2175" s="60"/>
      <c r="M2175" s="60"/>
    </row>
    <row r="2176" spans="9:13" ht="15" customHeight="1" x14ac:dyDescent="0.25">
      <c r="I2176" s="6"/>
      <c r="J2176" s="60"/>
      <c r="K2176" s="60"/>
      <c r="L2176" s="60"/>
      <c r="M2176" s="60"/>
    </row>
    <row r="2177" spans="9:13" ht="15" customHeight="1" x14ac:dyDescent="0.25">
      <c r="I2177" s="6"/>
      <c r="J2177" s="60"/>
      <c r="K2177" s="60"/>
      <c r="L2177" s="60"/>
      <c r="M2177" s="60"/>
    </row>
    <row r="2178" spans="9:13" ht="15" customHeight="1" x14ac:dyDescent="0.25">
      <c r="I2178" s="6"/>
      <c r="J2178" s="60"/>
      <c r="K2178" s="60"/>
      <c r="L2178" s="60"/>
      <c r="M2178" s="60"/>
    </row>
    <row r="2179" spans="9:13" ht="15" customHeight="1" x14ac:dyDescent="0.25">
      <c r="I2179" s="6"/>
      <c r="J2179" s="60"/>
      <c r="K2179" s="60"/>
      <c r="L2179" s="60"/>
      <c r="M2179" s="60"/>
    </row>
    <row r="2180" spans="9:13" ht="15" customHeight="1" x14ac:dyDescent="0.25">
      <c r="I2180" s="6"/>
      <c r="J2180" s="60"/>
      <c r="K2180" s="60"/>
      <c r="L2180" s="60"/>
      <c r="M2180" s="60"/>
    </row>
    <row r="2181" spans="9:13" ht="15" customHeight="1" x14ac:dyDescent="0.25">
      <c r="I2181" s="6"/>
      <c r="J2181" s="60"/>
      <c r="K2181" s="60"/>
      <c r="L2181" s="60"/>
      <c r="M2181" s="60"/>
    </row>
    <row r="2182" spans="9:13" ht="15" customHeight="1" x14ac:dyDescent="0.25">
      <c r="I2182" s="6"/>
      <c r="J2182" s="60"/>
      <c r="K2182" s="60"/>
      <c r="L2182" s="60"/>
      <c r="M2182" s="60"/>
    </row>
    <row r="2183" spans="9:13" ht="15" customHeight="1" x14ac:dyDescent="0.25">
      <c r="I2183" s="6"/>
      <c r="J2183" s="60"/>
      <c r="K2183" s="60"/>
      <c r="L2183" s="60"/>
      <c r="M2183" s="60"/>
    </row>
    <row r="2184" spans="9:13" ht="15" customHeight="1" x14ac:dyDescent="0.25">
      <c r="I2184" s="6"/>
      <c r="J2184" s="60"/>
      <c r="K2184" s="60"/>
      <c r="L2184" s="60"/>
      <c r="M2184" s="60"/>
    </row>
    <row r="2185" spans="9:13" ht="15" customHeight="1" x14ac:dyDescent="0.25">
      <c r="I2185" s="6"/>
      <c r="J2185" s="60"/>
      <c r="K2185" s="60"/>
      <c r="L2185" s="60"/>
      <c r="M2185" s="60"/>
    </row>
    <row r="2186" spans="9:13" ht="15" customHeight="1" x14ac:dyDescent="0.25">
      <c r="I2186" s="6"/>
      <c r="J2186" s="60"/>
      <c r="K2186" s="60"/>
      <c r="L2186" s="60"/>
      <c r="M2186" s="60"/>
    </row>
    <row r="2187" spans="9:13" ht="15" customHeight="1" x14ac:dyDescent="0.25">
      <c r="I2187" s="6"/>
      <c r="J2187" s="60"/>
      <c r="K2187" s="60"/>
      <c r="L2187" s="60"/>
      <c r="M2187" s="60"/>
    </row>
    <row r="2188" spans="9:13" ht="15" customHeight="1" x14ac:dyDescent="0.25">
      <c r="I2188" s="6"/>
      <c r="J2188" s="60"/>
      <c r="K2188" s="60"/>
      <c r="L2188" s="60"/>
      <c r="M2188" s="60"/>
    </row>
    <row r="2189" spans="9:13" ht="15" customHeight="1" x14ac:dyDescent="0.25">
      <c r="I2189" s="6"/>
      <c r="J2189" s="60"/>
      <c r="K2189" s="60"/>
      <c r="L2189" s="60"/>
      <c r="M2189" s="60"/>
    </row>
    <row r="2190" spans="9:13" ht="15" customHeight="1" x14ac:dyDescent="0.25">
      <c r="I2190" s="6"/>
      <c r="J2190" s="60"/>
      <c r="K2190" s="60"/>
      <c r="L2190" s="60"/>
      <c r="M2190" s="60"/>
    </row>
    <row r="2191" spans="9:13" ht="15" customHeight="1" x14ac:dyDescent="0.25">
      <c r="I2191" s="6"/>
      <c r="J2191" s="60"/>
      <c r="K2191" s="60"/>
      <c r="L2191" s="60"/>
      <c r="M2191" s="60"/>
    </row>
    <row r="2192" spans="9:13" ht="15" customHeight="1" x14ac:dyDescent="0.25">
      <c r="I2192" s="6"/>
      <c r="J2192" s="60"/>
      <c r="K2192" s="60"/>
      <c r="L2192" s="60"/>
      <c r="M2192" s="60"/>
    </row>
    <row r="2193" spans="9:13" ht="15" customHeight="1" x14ac:dyDescent="0.25">
      <c r="I2193" s="6"/>
      <c r="J2193" s="60"/>
      <c r="K2193" s="60"/>
      <c r="L2193" s="60"/>
      <c r="M2193" s="60"/>
    </row>
    <row r="2194" spans="9:13" ht="15" customHeight="1" x14ac:dyDescent="0.25">
      <c r="I2194" s="6"/>
      <c r="J2194" s="60"/>
      <c r="K2194" s="60"/>
      <c r="L2194" s="60"/>
      <c r="M2194" s="60"/>
    </row>
    <row r="2195" spans="9:13" ht="15" customHeight="1" x14ac:dyDescent="0.25">
      <c r="I2195" s="6"/>
      <c r="J2195" s="60"/>
      <c r="K2195" s="60"/>
      <c r="L2195" s="60"/>
      <c r="M2195" s="60"/>
    </row>
    <row r="2196" spans="9:13" ht="15" customHeight="1" x14ac:dyDescent="0.25">
      <c r="I2196" s="6"/>
      <c r="J2196" s="60"/>
      <c r="K2196" s="60"/>
      <c r="L2196" s="60"/>
      <c r="M2196" s="60"/>
    </row>
    <row r="2197" spans="9:13" ht="15" customHeight="1" x14ac:dyDescent="0.25">
      <c r="I2197" s="6"/>
      <c r="J2197" s="60"/>
      <c r="K2197" s="60"/>
      <c r="L2197" s="60"/>
      <c r="M2197" s="60"/>
    </row>
    <row r="2198" spans="9:13" ht="15" customHeight="1" x14ac:dyDescent="0.25">
      <c r="I2198" s="6"/>
      <c r="J2198" s="60"/>
      <c r="K2198" s="60"/>
      <c r="L2198" s="60"/>
      <c r="M2198" s="60"/>
    </row>
    <row r="2199" spans="9:13" ht="15" customHeight="1" x14ac:dyDescent="0.25">
      <c r="I2199" s="6"/>
      <c r="J2199" s="60"/>
      <c r="K2199" s="60"/>
      <c r="L2199" s="60"/>
      <c r="M2199" s="60"/>
    </row>
    <row r="2200" spans="9:13" ht="15" customHeight="1" x14ac:dyDescent="0.25">
      <c r="I2200" s="6"/>
      <c r="J2200" s="60"/>
      <c r="K2200" s="60"/>
      <c r="L2200" s="60"/>
      <c r="M2200" s="60"/>
    </row>
    <row r="2201" spans="9:13" ht="15" customHeight="1" x14ac:dyDescent="0.25">
      <c r="I2201" s="6"/>
      <c r="J2201" s="60"/>
      <c r="K2201" s="60"/>
      <c r="L2201" s="60"/>
      <c r="M2201" s="60"/>
    </row>
    <row r="2202" spans="9:13" ht="15" customHeight="1" x14ac:dyDescent="0.25">
      <c r="I2202" s="6"/>
      <c r="J2202" s="60"/>
      <c r="K2202" s="60"/>
      <c r="L2202" s="60"/>
      <c r="M2202" s="60"/>
    </row>
    <row r="2203" spans="9:13" ht="15" customHeight="1" x14ac:dyDescent="0.25">
      <c r="I2203" s="6"/>
      <c r="J2203" s="60"/>
      <c r="K2203" s="60"/>
      <c r="L2203" s="60"/>
      <c r="M2203" s="60"/>
    </row>
    <row r="2204" spans="9:13" ht="15" customHeight="1" x14ac:dyDescent="0.25">
      <c r="I2204" s="6"/>
      <c r="J2204" s="60"/>
      <c r="K2204" s="60"/>
      <c r="L2204" s="60"/>
      <c r="M2204" s="60"/>
    </row>
    <row r="2205" spans="9:13" ht="15" customHeight="1" x14ac:dyDescent="0.25">
      <c r="I2205" s="6"/>
      <c r="J2205" s="60"/>
      <c r="K2205" s="60"/>
      <c r="L2205" s="60"/>
      <c r="M2205" s="60"/>
    </row>
    <row r="2206" spans="9:13" ht="15" customHeight="1" x14ac:dyDescent="0.25">
      <c r="I2206" s="6"/>
      <c r="J2206" s="60"/>
      <c r="K2206" s="60"/>
      <c r="L2206" s="60"/>
      <c r="M2206" s="60"/>
    </row>
    <row r="2207" spans="9:13" ht="15" customHeight="1" x14ac:dyDescent="0.25">
      <c r="I2207" s="6"/>
      <c r="J2207" s="60"/>
      <c r="K2207" s="60"/>
      <c r="L2207" s="60"/>
      <c r="M2207" s="60"/>
    </row>
    <row r="2208" spans="9:13" ht="15" customHeight="1" x14ac:dyDescent="0.25">
      <c r="I2208" s="6"/>
      <c r="J2208" s="60"/>
      <c r="K2208" s="60"/>
      <c r="L2208" s="60"/>
      <c r="M2208" s="60"/>
    </row>
    <row r="2209" spans="9:13" ht="15" customHeight="1" x14ac:dyDescent="0.25">
      <c r="I2209" s="6"/>
      <c r="J2209" s="60"/>
      <c r="K2209" s="60"/>
      <c r="L2209" s="60"/>
      <c r="M2209" s="60"/>
    </row>
    <row r="2210" spans="9:13" ht="15" customHeight="1" x14ac:dyDescent="0.25">
      <c r="I2210" s="6"/>
      <c r="J2210" s="60"/>
      <c r="K2210" s="60"/>
      <c r="L2210" s="60"/>
      <c r="M2210" s="60"/>
    </row>
    <row r="2211" spans="9:13" ht="15" customHeight="1" x14ac:dyDescent="0.25">
      <c r="I2211" s="6"/>
      <c r="J2211" s="60"/>
      <c r="K2211" s="60"/>
      <c r="L2211" s="60"/>
      <c r="M2211" s="60"/>
    </row>
    <row r="2212" spans="9:13" ht="15" customHeight="1" x14ac:dyDescent="0.25">
      <c r="I2212" s="6"/>
      <c r="J2212" s="60"/>
      <c r="K2212" s="60"/>
      <c r="L2212" s="60"/>
      <c r="M2212" s="60"/>
    </row>
    <row r="2213" spans="9:13" ht="15" customHeight="1" x14ac:dyDescent="0.25">
      <c r="I2213" s="6"/>
      <c r="J2213" s="60"/>
      <c r="K2213" s="60"/>
      <c r="L2213" s="60"/>
      <c r="M2213" s="60"/>
    </row>
    <row r="2214" spans="9:13" ht="15" customHeight="1" x14ac:dyDescent="0.25">
      <c r="I2214" s="6"/>
      <c r="J2214" s="60"/>
      <c r="K2214" s="60"/>
      <c r="L2214" s="60"/>
      <c r="M2214" s="60"/>
    </row>
    <row r="2215" spans="9:13" ht="15" customHeight="1" x14ac:dyDescent="0.25">
      <c r="I2215" s="6"/>
      <c r="J2215" s="60"/>
      <c r="K2215" s="60"/>
      <c r="L2215" s="60"/>
      <c r="M2215" s="60"/>
    </row>
    <row r="2216" spans="9:13" ht="15" customHeight="1" x14ac:dyDescent="0.25">
      <c r="I2216" s="6"/>
      <c r="J2216" s="60"/>
      <c r="K2216" s="60"/>
      <c r="L2216" s="60"/>
      <c r="M2216" s="60"/>
    </row>
    <row r="2217" spans="9:13" ht="15" customHeight="1" x14ac:dyDescent="0.25">
      <c r="I2217" s="6"/>
      <c r="J2217" s="60"/>
      <c r="K2217" s="60"/>
      <c r="L2217" s="60"/>
      <c r="M2217" s="60"/>
    </row>
    <row r="2218" spans="9:13" ht="15" customHeight="1" x14ac:dyDescent="0.25">
      <c r="I2218" s="6"/>
      <c r="J2218" s="60"/>
      <c r="K2218" s="60"/>
      <c r="L2218" s="60"/>
      <c r="M2218" s="60"/>
    </row>
    <row r="2219" spans="9:13" ht="15" customHeight="1" x14ac:dyDescent="0.25">
      <c r="I2219" s="6"/>
      <c r="J2219" s="60"/>
      <c r="K2219" s="60"/>
      <c r="L2219" s="60"/>
      <c r="M2219" s="60"/>
    </row>
    <row r="2220" spans="9:13" ht="15" customHeight="1" x14ac:dyDescent="0.25">
      <c r="I2220" s="6"/>
      <c r="J2220" s="60"/>
      <c r="K2220" s="60"/>
      <c r="L2220" s="60"/>
      <c r="M2220" s="60"/>
    </row>
    <row r="2221" spans="9:13" ht="15" customHeight="1" x14ac:dyDescent="0.25">
      <c r="I2221" s="6"/>
      <c r="J2221" s="60"/>
      <c r="K2221" s="60"/>
      <c r="L2221" s="60"/>
      <c r="M2221" s="60"/>
    </row>
    <row r="2222" spans="9:13" ht="15" customHeight="1" x14ac:dyDescent="0.25">
      <c r="I2222" s="6"/>
      <c r="J2222" s="60"/>
      <c r="K2222" s="60"/>
      <c r="L2222" s="60"/>
      <c r="M2222" s="60"/>
    </row>
    <row r="2223" spans="9:13" ht="15" customHeight="1" x14ac:dyDescent="0.25">
      <c r="I2223" s="6"/>
      <c r="J2223" s="60"/>
      <c r="K2223" s="60"/>
      <c r="L2223" s="60"/>
      <c r="M2223" s="60"/>
    </row>
    <row r="2224" spans="9:13" ht="15" customHeight="1" x14ac:dyDescent="0.25">
      <c r="I2224" s="6"/>
      <c r="J2224" s="60"/>
      <c r="K2224" s="60"/>
      <c r="L2224" s="60"/>
      <c r="M2224" s="60"/>
    </row>
    <row r="2225" spans="9:13" ht="15" customHeight="1" x14ac:dyDescent="0.25">
      <c r="I2225" s="6"/>
      <c r="J2225" s="60"/>
      <c r="K2225" s="60"/>
      <c r="L2225" s="60"/>
      <c r="M2225" s="60"/>
    </row>
    <row r="2226" spans="9:13" ht="15" customHeight="1" x14ac:dyDescent="0.25">
      <c r="I2226" s="6"/>
      <c r="J2226" s="60"/>
      <c r="K2226" s="60"/>
      <c r="L2226" s="60"/>
      <c r="M2226" s="60"/>
    </row>
    <row r="2227" spans="9:13" ht="15" customHeight="1" x14ac:dyDescent="0.25">
      <c r="I2227" s="6"/>
      <c r="J2227" s="60"/>
      <c r="K2227" s="60"/>
      <c r="L2227" s="60"/>
      <c r="M2227" s="60"/>
    </row>
    <row r="2228" spans="9:13" ht="15" customHeight="1" x14ac:dyDescent="0.25">
      <c r="I2228" s="6"/>
      <c r="J2228" s="60"/>
      <c r="K2228" s="60"/>
      <c r="L2228" s="60"/>
      <c r="M2228" s="60"/>
    </row>
    <row r="2229" spans="9:13" ht="15" customHeight="1" x14ac:dyDescent="0.25">
      <c r="I2229" s="6"/>
      <c r="J2229" s="60"/>
      <c r="K2229" s="60"/>
      <c r="L2229" s="60"/>
      <c r="M2229" s="60"/>
    </row>
    <row r="2230" spans="9:13" ht="15" customHeight="1" x14ac:dyDescent="0.25">
      <c r="I2230" s="6"/>
      <c r="J2230" s="60"/>
      <c r="K2230" s="60"/>
      <c r="L2230" s="60"/>
      <c r="M2230" s="60"/>
    </row>
    <row r="2231" spans="9:13" ht="15" customHeight="1" x14ac:dyDescent="0.25">
      <c r="I2231" s="6"/>
      <c r="J2231" s="60"/>
      <c r="K2231" s="60"/>
      <c r="L2231" s="60"/>
      <c r="M2231" s="60"/>
    </row>
    <row r="2232" spans="9:13" ht="15" customHeight="1" x14ac:dyDescent="0.25">
      <c r="I2232" s="6"/>
      <c r="J2232" s="60"/>
      <c r="K2232" s="60"/>
      <c r="L2232" s="60"/>
      <c r="M2232" s="60"/>
    </row>
    <row r="2233" spans="9:13" ht="15" customHeight="1" x14ac:dyDescent="0.25">
      <c r="I2233" s="6"/>
      <c r="J2233" s="60"/>
      <c r="K2233" s="60"/>
      <c r="L2233" s="60"/>
      <c r="M2233" s="60"/>
    </row>
    <row r="2234" spans="9:13" ht="15" customHeight="1" x14ac:dyDescent="0.25">
      <c r="I2234" s="6"/>
      <c r="J2234" s="60"/>
      <c r="K2234" s="60"/>
      <c r="L2234" s="60"/>
      <c r="M2234" s="60"/>
    </row>
    <row r="2235" spans="9:13" ht="15" customHeight="1" x14ac:dyDescent="0.25">
      <c r="I2235" s="6"/>
      <c r="J2235" s="60"/>
      <c r="K2235" s="60"/>
      <c r="L2235" s="60"/>
      <c r="M2235" s="60"/>
    </row>
    <row r="2236" spans="9:13" ht="15" customHeight="1" x14ac:dyDescent="0.25">
      <c r="I2236" s="6"/>
      <c r="J2236" s="60"/>
      <c r="K2236" s="60"/>
      <c r="L2236" s="60"/>
      <c r="M2236" s="60"/>
    </row>
    <row r="2237" spans="9:13" ht="15" customHeight="1" x14ac:dyDescent="0.25">
      <c r="I2237" s="6"/>
      <c r="J2237" s="60"/>
      <c r="K2237" s="60"/>
      <c r="L2237" s="60"/>
      <c r="M2237" s="60"/>
    </row>
    <row r="2238" spans="9:13" ht="15" customHeight="1" x14ac:dyDescent="0.25">
      <c r="I2238" s="6"/>
      <c r="J2238" s="60"/>
      <c r="K2238" s="60"/>
      <c r="L2238" s="60"/>
      <c r="M2238" s="60"/>
    </row>
    <row r="2239" spans="9:13" ht="15" customHeight="1" x14ac:dyDescent="0.25">
      <c r="I2239" s="6"/>
      <c r="J2239" s="60"/>
      <c r="K2239" s="60"/>
      <c r="L2239" s="60"/>
      <c r="M2239" s="60"/>
    </row>
    <row r="2240" spans="9:13" ht="15" customHeight="1" x14ac:dyDescent="0.25">
      <c r="I2240" s="6"/>
      <c r="J2240" s="60"/>
      <c r="K2240" s="60"/>
      <c r="L2240" s="60"/>
      <c r="M2240" s="60"/>
    </row>
    <row r="2241" spans="9:13" ht="15" customHeight="1" x14ac:dyDescent="0.25">
      <c r="I2241" s="6"/>
      <c r="J2241" s="60"/>
      <c r="K2241" s="60"/>
      <c r="L2241" s="60"/>
      <c r="M2241" s="60"/>
    </row>
    <row r="2242" spans="9:13" ht="15" customHeight="1" x14ac:dyDescent="0.25">
      <c r="I2242" s="6"/>
      <c r="J2242" s="60"/>
      <c r="K2242" s="60"/>
      <c r="L2242" s="60"/>
      <c r="M2242" s="60"/>
    </row>
    <row r="2243" spans="9:13" ht="15" customHeight="1" x14ac:dyDescent="0.25">
      <c r="I2243" s="6"/>
      <c r="J2243" s="60"/>
      <c r="K2243" s="60"/>
      <c r="L2243" s="60"/>
      <c r="M2243" s="60"/>
    </row>
    <row r="2244" spans="9:13" ht="15" customHeight="1" x14ac:dyDescent="0.25">
      <c r="I2244" s="6"/>
      <c r="J2244" s="60"/>
      <c r="K2244" s="60"/>
      <c r="L2244" s="60"/>
      <c r="M2244" s="60"/>
    </row>
    <row r="2245" spans="9:13" ht="15" customHeight="1" x14ac:dyDescent="0.25">
      <c r="I2245" s="6"/>
      <c r="J2245" s="60"/>
      <c r="K2245" s="60"/>
      <c r="L2245" s="60"/>
      <c r="M2245" s="60"/>
    </row>
    <row r="2246" spans="9:13" ht="15" customHeight="1" x14ac:dyDescent="0.25">
      <c r="I2246" s="6"/>
      <c r="J2246" s="60"/>
      <c r="K2246" s="60"/>
      <c r="L2246" s="60"/>
      <c r="M2246" s="60"/>
    </row>
    <row r="2247" spans="9:13" ht="15" customHeight="1" x14ac:dyDescent="0.25">
      <c r="I2247" s="6"/>
      <c r="J2247" s="60"/>
      <c r="K2247" s="60"/>
      <c r="L2247" s="60"/>
      <c r="M2247" s="60"/>
    </row>
    <row r="2248" spans="9:13" ht="15" customHeight="1" x14ac:dyDescent="0.25">
      <c r="I2248" s="6"/>
      <c r="J2248" s="60"/>
      <c r="K2248" s="60"/>
      <c r="L2248" s="60"/>
      <c r="M2248" s="60"/>
    </row>
    <row r="2249" spans="9:13" ht="15" customHeight="1" x14ac:dyDescent="0.25">
      <c r="I2249" s="6"/>
      <c r="J2249" s="60"/>
      <c r="K2249" s="60"/>
      <c r="L2249" s="60"/>
      <c r="M2249" s="60"/>
    </row>
    <row r="2250" spans="9:13" ht="15" customHeight="1" x14ac:dyDescent="0.25">
      <c r="I2250" s="6"/>
      <c r="J2250" s="60"/>
      <c r="K2250" s="60"/>
      <c r="L2250" s="60"/>
      <c r="M2250" s="60"/>
    </row>
    <row r="2251" spans="9:13" ht="15" customHeight="1" x14ac:dyDescent="0.25">
      <c r="I2251" s="6"/>
      <c r="J2251" s="60"/>
      <c r="K2251" s="60"/>
      <c r="L2251" s="60"/>
      <c r="M2251" s="60"/>
    </row>
    <row r="2252" spans="9:13" ht="15" customHeight="1" x14ac:dyDescent="0.25">
      <c r="I2252" s="6"/>
      <c r="J2252" s="60"/>
      <c r="K2252" s="60"/>
      <c r="L2252" s="60"/>
      <c r="M2252" s="60"/>
    </row>
    <row r="2253" spans="9:13" ht="15" customHeight="1" x14ac:dyDescent="0.25">
      <c r="I2253" s="6"/>
      <c r="J2253" s="60"/>
      <c r="K2253" s="60"/>
      <c r="L2253" s="60"/>
      <c r="M2253" s="60"/>
    </row>
    <row r="2254" spans="9:13" ht="15" customHeight="1" x14ac:dyDescent="0.25">
      <c r="I2254" s="6"/>
      <c r="J2254" s="60"/>
      <c r="K2254" s="60"/>
      <c r="L2254" s="60"/>
      <c r="M2254" s="60"/>
    </row>
    <row r="2255" spans="9:13" ht="15" customHeight="1" x14ac:dyDescent="0.25">
      <c r="I2255" s="6"/>
      <c r="J2255" s="60"/>
      <c r="K2255" s="60"/>
      <c r="L2255" s="60"/>
      <c r="M2255" s="60"/>
    </row>
    <row r="2256" spans="9:13" ht="15" customHeight="1" x14ac:dyDescent="0.25">
      <c r="I2256" s="6"/>
      <c r="J2256" s="60"/>
      <c r="K2256" s="60"/>
      <c r="L2256" s="60"/>
      <c r="M2256" s="60"/>
    </row>
    <row r="2257" spans="9:13" ht="15" customHeight="1" x14ac:dyDescent="0.25">
      <c r="I2257" s="6"/>
      <c r="J2257" s="60"/>
      <c r="K2257" s="60"/>
      <c r="L2257" s="60"/>
      <c r="M2257" s="60"/>
    </row>
    <row r="2258" spans="9:13" ht="15" customHeight="1" x14ac:dyDescent="0.25">
      <c r="I2258" s="6"/>
      <c r="J2258" s="60"/>
      <c r="K2258" s="60"/>
      <c r="L2258" s="60"/>
      <c r="M2258" s="60"/>
    </row>
    <row r="2259" spans="9:13" ht="15" customHeight="1" x14ac:dyDescent="0.25">
      <c r="I2259" s="3"/>
      <c r="J2259" s="60"/>
      <c r="K2259" s="60"/>
      <c r="L2259" s="60"/>
      <c r="M2259" s="60"/>
    </row>
    <row r="2260" spans="9:13" ht="15" customHeight="1" x14ac:dyDescent="0.25">
      <c r="I2260" s="3"/>
      <c r="J2260" s="60"/>
      <c r="K2260" s="60"/>
      <c r="L2260" s="60"/>
      <c r="M2260" s="60"/>
    </row>
    <row r="2261" spans="9:13" ht="15" customHeight="1" x14ac:dyDescent="0.25">
      <c r="I2261" s="6"/>
      <c r="J2261" s="60"/>
      <c r="K2261" s="60"/>
      <c r="L2261" s="60"/>
      <c r="M2261" s="60"/>
    </row>
    <row r="2262" spans="9:13" ht="15" customHeight="1" x14ac:dyDescent="0.25">
      <c r="I2262" s="6"/>
      <c r="J2262" s="60"/>
      <c r="K2262" s="60"/>
      <c r="L2262" s="60"/>
      <c r="M2262" s="60"/>
    </row>
    <row r="2263" spans="9:13" ht="15" customHeight="1" x14ac:dyDescent="0.25">
      <c r="I2263" s="6"/>
      <c r="J2263" s="60"/>
      <c r="K2263" s="60"/>
      <c r="L2263" s="60"/>
      <c r="M2263" s="60"/>
    </row>
    <row r="2264" spans="9:13" ht="15" customHeight="1" x14ac:dyDescent="0.25">
      <c r="I2264" s="6"/>
      <c r="J2264" s="60"/>
      <c r="K2264" s="61"/>
      <c r="L2264" s="61"/>
      <c r="M2264" s="61"/>
    </row>
    <row r="2265" spans="9:13" ht="15" customHeight="1" x14ac:dyDescent="0.25">
      <c r="I2265" s="6"/>
      <c r="J2265" s="59"/>
      <c r="K2265" s="60"/>
      <c r="L2265" s="60"/>
      <c r="M2265" s="59"/>
    </row>
    <row r="2266" spans="9:13" ht="15" customHeight="1" x14ac:dyDescent="0.25">
      <c r="I2266" s="6"/>
      <c r="J2266" s="55"/>
      <c r="K2266" s="60"/>
      <c r="L2266" s="60"/>
      <c r="M2266" s="59"/>
    </row>
    <row r="2267" spans="9:13" ht="15" customHeight="1" x14ac:dyDescent="0.25">
      <c r="I2267" s="6"/>
      <c r="J2267" s="55"/>
      <c r="K2267" s="59"/>
      <c r="L2267" s="60"/>
      <c r="M2267" s="59"/>
    </row>
    <row r="2268" spans="9:13" ht="15" customHeight="1" x14ac:dyDescent="0.25">
      <c r="I2268" s="6"/>
      <c r="J2268" s="66"/>
      <c r="K2268" s="59"/>
      <c r="L2268" s="59"/>
      <c r="M2268" s="59"/>
    </row>
    <row r="2269" spans="9:13" ht="15" customHeight="1" x14ac:dyDescent="0.25">
      <c r="I2269" s="6"/>
      <c r="J2269" s="55"/>
      <c r="K2269" s="60"/>
      <c r="L2269" s="60"/>
      <c r="M2269" s="60"/>
    </row>
    <row r="2270" spans="9:13" ht="15" customHeight="1" x14ac:dyDescent="0.25">
      <c r="I2270" s="6"/>
      <c r="J2270" s="60"/>
      <c r="K2270" s="60"/>
      <c r="L2270" s="60"/>
      <c r="M2270" s="60"/>
    </row>
    <row r="2271" spans="9:13" ht="15" customHeight="1" x14ac:dyDescent="0.25">
      <c r="I2271" s="6"/>
      <c r="J2271" s="60"/>
      <c r="K2271" s="60"/>
      <c r="L2271" s="60"/>
      <c r="M2271" s="60"/>
    </row>
    <row r="2272" spans="9:13" ht="15" customHeight="1" x14ac:dyDescent="0.25">
      <c r="I2272" s="6"/>
      <c r="J2272" s="60"/>
      <c r="K2272" s="60"/>
      <c r="L2272" s="60"/>
      <c r="M2272" s="60"/>
    </row>
    <row r="2273" spans="9:13" ht="15" customHeight="1" x14ac:dyDescent="0.25">
      <c r="I2273" s="6"/>
      <c r="J2273" s="60"/>
      <c r="K2273" s="60"/>
      <c r="L2273" s="60"/>
      <c r="M2273" s="60"/>
    </row>
    <row r="2274" spans="9:13" ht="15" customHeight="1" x14ac:dyDescent="0.25">
      <c r="I2274" s="6"/>
      <c r="J2274" s="60"/>
      <c r="K2274" s="60"/>
      <c r="L2274" s="60"/>
      <c r="M2274" s="60"/>
    </row>
    <row r="2275" spans="9:13" ht="15" customHeight="1" x14ac:dyDescent="0.25">
      <c r="I2275" s="6"/>
      <c r="J2275" s="60"/>
      <c r="K2275" s="60"/>
      <c r="L2275" s="60"/>
      <c r="M2275" s="60"/>
    </row>
    <row r="2276" spans="9:13" ht="15" customHeight="1" x14ac:dyDescent="0.25">
      <c r="I2276" s="6"/>
      <c r="J2276" s="60"/>
      <c r="K2276" s="60"/>
      <c r="L2276" s="60"/>
      <c r="M2276" s="60"/>
    </row>
    <row r="2277" spans="9:13" ht="15" customHeight="1" x14ac:dyDescent="0.25">
      <c r="I2277" s="6"/>
      <c r="J2277" s="60"/>
      <c r="K2277" s="60"/>
      <c r="L2277" s="60"/>
      <c r="M2277" s="60"/>
    </row>
    <row r="2278" spans="9:13" ht="15" customHeight="1" x14ac:dyDescent="0.25">
      <c r="I2278" s="6"/>
      <c r="J2278" s="60"/>
      <c r="K2278" s="60"/>
      <c r="L2278" s="60"/>
      <c r="M2278" s="60"/>
    </row>
    <row r="2279" spans="9:13" ht="15" customHeight="1" x14ac:dyDescent="0.25">
      <c r="I2279" s="6"/>
      <c r="J2279" s="60"/>
      <c r="K2279" s="60"/>
      <c r="L2279" s="60"/>
      <c r="M2279" s="60"/>
    </row>
    <row r="2280" spans="9:13" ht="15" customHeight="1" x14ac:dyDescent="0.25">
      <c r="I2280" s="6"/>
      <c r="J2280" s="60"/>
      <c r="K2280" s="60"/>
      <c r="L2280" s="60"/>
      <c r="M2280" s="60"/>
    </row>
    <row r="2281" spans="9:13" ht="15" customHeight="1" x14ac:dyDescent="0.25">
      <c r="I2281" s="6"/>
      <c r="J2281" s="60"/>
      <c r="K2281" s="60"/>
      <c r="L2281" s="60"/>
      <c r="M2281" s="60"/>
    </row>
    <row r="2282" spans="9:13" ht="15" customHeight="1" x14ac:dyDescent="0.25">
      <c r="I2282" s="6"/>
      <c r="J2282" s="60"/>
      <c r="K2282" s="60"/>
      <c r="L2282" s="60"/>
      <c r="M2282" s="60"/>
    </row>
    <row r="2283" spans="9:13" ht="15" customHeight="1" x14ac:dyDescent="0.25">
      <c r="I2283" s="6"/>
      <c r="J2283" s="60"/>
      <c r="K2283" s="60"/>
      <c r="L2283" s="60"/>
      <c r="M2283" s="60"/>
    </row>
    <row r="2284" spans="9:13" ht="15" customHeight="1" x14ac:dyDescent="0.25">
      <c r="I2284" s="6"/>
      <c r="J2284" s="60"/>
      <c r="K2284" s="60"/>
      <c r="L2284" s="60"/>
      <c r="M2284" s="60"/>
    </row>
    <row r="2285" spans="9:13" ht="15" customHeight="1" x14ac:dyDescent="0.25">
      <c r="I2285" s="6"/>
      <c r="J2285" s="60"/>
      <c r="K2285" s="60"/>
      <c r="L2285" s="60"/>
      <c r="M2285" s="60"/>
    </row>
    <row r="2286" spans="9:13" ht="15" customHeight="1" x14ac:dyDescent="0.25">
      <c r="I2286" s="6"/>
      <c r="J2286" s="60"/>
      <c r="K2286" s="60"/>
      <c r="L2286" s="60"/>
      <c r="M2286" s="60"/>
    </row>
    <row r="2287" spans="9:13" ht="15" customHeight="1" x14ac:dyDescent="0.25">
      <c r="I2287" s="6"/>
      <c r="J2287" s="60"/>
      <c r="K2287" s="60"/>
      <c r="L2287" s="60"/>
      <c r="M2287" s="60"/>
    </row>
    <row r="2288" spans="9:13" ht="15" customHeight="1" x14ac:dyDescent="0.25">
      <c r="I2288" s="6"/>
      <c r="J2288" s="60"/>
      <c r="K2288" s="60"/>
      <c r="L2288" s="60"/>
      <c r="M2288" s="60"/>
    </row>
    <row r="2289" spans="9:13" ht="15" customHeight="1" x14ac:dyDescent="0.25">
      <c r="I2289" s="6"/>
      <c r="J2289" s="60"/>
      <c r="K2289" s="60"/>
      <c r="L2289" s="60"/>
      <c r="M2289" s="60"/>
    </row>
    <row r="2290" spans="9:13" ht="15" customHeight="1" x14ac:dyDescent="0.25">
      <c r="I2290" s="6"/>
      <c r="J2290" s="60"/>
      <c r="K2290" s="60"/>
      <c r="L2290" s="60"/>
      <c r="M2290" s="60"/>
    </row>
    <row r="2291" spans="9:13" ht="15" customHeight="1" x14ac:dyDescent="0.25">
      <c r="I2291" s="6"/>
      <c r="J2291" s="60"/>
      <c r="K2291" s="60"/>
      <c r="L2291" s="60"/>
      <c r="M2291" s="60"/>
    </row>
    <row r="2292" spans="9:13" ht="15" customHeight="1" x14ac:dyDescent="0.25">
      <c r="I2292" s="6"/>
      <c r="J2292" s="60"/>
      <c r="K2292" s="60"/>
      <c r="L2292" s="60"/>
      <c r="M2292" s="60"/>
    </row>
    <row r="2293" spans="9:13" ht="15" customHeight="1" x14ac:dyDescent="0.25">
      <c r="I2293" s="6"/>
      <c r="J2293" s="60"/>
      <c r="K2293" s="60"/>
      <c r="L2293" s="60"/>
      <c r="M2293" s="60"/>
    </row>
    <row r="2294" spans="9:13" ht="15" customHeight="1" x14ac:dyDescent="0.25">
      <c r="I2294" s="6"/>
      <c r="J2294" s="60"/>
      <c r="K2294" s="60"/>
      <c r="L2294" s="60"/>
      <c r="M2294" s="60"/>
    </row>
    <row r="2295" spans="9:13" ht="15" customHeight="1" x14ac:dyDescent="0.25">
      <c r="I2295" s="6"/>
      <c r="J2295" s="60"/>
      <c r="K2295" s="60"/>
      <c r="L2295" s="60"/>
      <c r="M2295" s="60"/>
    </row>
    <row r="2296" spans="9:13" ht="15" customHeight="1" x14ac:dyDescent="0.25">
      <c r="I2296" s="6"/>
      <c r="J2296" s="60"/>
      <c r="K2296" s="60"/>
      <c r="L2296" s="60"/>
      <c r="M2296" s="60"/>
    </row>
    <row r="2297" spans="9:13" ht="15" customHeight="1" x14ac:dyDescent="0.25">
      <c r="I2297" s="6"/>
      <c r="J2297" s="60"/>
      <c r="K2297" s="60"/>
      <c r="L2297" s="60"/>
      <c r="M2297" s="60"/>
    </row>
    <row r="2298" spans="9:13" ht="15" customHeight="1" x14ac:dyDescent="0.25">
      <c r="I2298" s="6"/>
      <c r="J2298" s="60"/>
      <c r="K2298" s="60"/>
      <c r="L2298" s="60"/>
      <c r="M2298" s="60"/>
    </row>
    <row r="2299" spans="9:13" ht="15" customHeight="1" x14ac:dyDescent="0.25">
      <c r="I2299" s="6"/>
      <c r="J2299" s="60"/>
      <c r="K2299" s="60"/>
      <c r="L2299" s="60"/>
      <c r="M2299" s="60"/>
    </row>
    <row r="2300" spans="9:13" ht="15" customHeight="1" x14ac:dyDescent="0.25">
      <c r="I2300" s="6"/>
      <c r="J2300" s="60"/>
      <c r="K2300" s="60"/>
      <c r="L2300" s="60"/>
      <c r="M2300" s="60"/>
    </row>
    <row r="2301" spans="9:13" ht="15" customHeight="1" x14ac:dyDescent="0.25">
      <c r="I2301" s="6"/>
      <c r="J2301" s="60"/>
      <c r="K2301" s="60"/>
      <c r="L2301" s="60"/>
      <c r="M2301" s="60"/>
    </row>
    <row r="2302" spans="9:13" ht="15" customHeight="1" x14ac:dyDescent="0.25">
      <c r="I2302" s="6"/>
      <c r="J2302" s="60"/>
      <c r="K2302" s="60"/>
      <c r="L2302" s="60"/>
      <c r="M2302" s="60"/>
    </row>
    <row r="2303" spans="9:13" ht="15" customHeight="1" x14ac:dyDescent="0.25">
      <c r="I2303" s="6"/>
      <c r="J2303" s="60"/>
      <c r="K2303" s="60"/>
      <c r="L2303" s="60"/>
      <c r="M2303" s="60"/>
    </row>
    <row r="2304" spans="9:13" ht="15" customHeight="1" x14ac:dyDescent="0.25">
      <c r="I2304" s="6"/>
      <c r="J2304" s="60"/>
      <c r="K2304" s="60"/>
      <c r="L2304" s="60"/>
      <c r="M2304" s="60"/>
    </row>
    <row r="2305" spans="9:13" ht="15" customHeight="1" x14ac:dyDescent="0.25">
      <c r="I2305" s="6"/>
      <c r="J2305" s="60"/>
      <c r="K2305" s="60"/>
      <c r="L2305" s="60"/>
      <c r="M2305" s="60"/>
    </row>
    <row r="2306" spans="9:13" ht="15" customHeight="1" x14ac:dyDescent="0.25">
      <c r="I2306" s="6"/>
      <c r="J2306" s="60"/>
      <c r="K2306" s="60"/>
      <c r="L2306" s="60"/>
      <c r="M2306" s="60"/>
    </row>
    <row r="2307" spans="9:13" ht="15" customHeight="1" x14ac:dyDescent="0.25">
      <c r="I2307" s="6"/>
      <c r="J2307" s="60"/>
      <c r="K2307" s="60"/>
      <c r="L2307" s="60"/>
      <c r="M2307" s="60"/>
    </row>
    <row r="2308" spans="9:13" ht="15" customHeight="1" x14ac:dyDescent="0.25">
      <c r="I2308" s="6"/>
      <c r="J2308" s="60"/>
      <c r="K2308" s="60"/>
      <c r="L2308" s="60"/>
      <c r="M2308" s="60"/>
    </row>
    <row r="2309" spans="9:13" ht="15" customHeight="1" x14ac:dyDescent="0.25">
      <c r="I2309" s="6"/>
      <c r="J2309" s="60"/>
      <c r="K2309" s="60"/>
      <c r="L2309" s="60"/>
      <c r="M2309" s="60"/>
    </row>
    <row r="2310" spans="9:13" ht="15" customHeight="1" x14ac:dyDescent="0.25">
      <c r="I2310" s="6"/>
      <c r="J2310" s="60"/>
      <c r="K2310" s="60"/>
      <c r="L2310" s="60"/>
      <c r="M2310" s="60"/>
    </row>
    <row r="2311" spans="9:13" ht="15" customHeight="1" x14ac:dyDescent="0.25">
      <c r="I2311" s="6"/>
      <c r="J2311" s="60"/>
      <c r="K2311" s="60"/>
      <c r="L2311" s="60"/>
      <c r="M2311" s="60"/>
    </row>
    <row r="2312" spans="9:13" ht="15" customHeight="1" x14ac:dyDescent="0.25">
      <c r="I2312" s="6"/>
      <c r="J2312" s="60"/>
      <c r="K2312" s="60"/>
      <c r="L2312" s="60"/>
      <c r="M2312" s="60"/>
    </row>
    <row r="2313" spans="9:13" ht="15" customHeight="1" x14ac:dyDescent="0.25">
      <c r="I2313" s="6"/>
      <c r="J2313" s="60"/>
      <c r="K2313" s="60"/>
      <c r="L2313" s="60"/>
      <c r="M2313" s="60"/>
    </row>
    <row r="2314" spans="9:13" ht="15" customHeight="1" x14ac:dyDescent="0.25">
      <c r="I2314" s="6"/>
      <c r="J2314" s="60"/>
      <c r="K2314" s="60"/>
      <c r="L2314" s="60"/>
      <c r="M2314" s="60"/>
    </row>
    <row r="2315" spans="9:13" ht="15" customHeight="1" x14ac:dyDescent="0.25">
      <c r="I2315" s="6"/>
      <c r="J2315" s="60"/>
      <c r="K2315" s="60"/>
      <c r="L2315" s="60"/>
      <c r="M2315" s="60"/>
    </row>
    <row r="2316" spans="9:13" ht="15" customHeight="1" x14ac:dyDescent="0.25">
      <c r="I2316" s="6"/>
      <c r="J2316" s="60"/>
      <c r="K2316" s="60"/>
      <c r="L2316" s="60"/>
      <c r="M2316" s="60"/>
    </row>
    <row r="2317" spans="9:13" ht="15" customHeight="1" x14ac:dyDescent="0.25">
      <c r="I2317" s="6"/>
      <c r="J2317" s="60"/>
      <c r="K2317" s="60"/>
      <c r="L2317" s="60"/>
      <c r="M2317" s="60"/>
    </row>
    <row r="2318" spans="9:13" ht="15" customHeight="1" x14ac:dyDescent="0.25">
      <c r="I2318" s="6"/>
      <c r="J2318" s="60"/>
      <c r="K2318" s="60"/>
      <c r="L2318" s="60"/>
      <c r="M2318" s="60"/>
    </row>
    <row r="2319" spans="9:13" ht="15" customHeight="1" x14ac:dyDescent="0.25">
      <c r="I2319" s="6"/>
      <c r="J2319" s="60"/>
      <c r="K2319" s="60"/>
      <c r="L2319" s="60"/>
      <c r="M2319" s="60"/>
    </row>
    <row r="2320" spans="9:13" ht="15" customHeight="1" x14ac:dyDescent="0.25">
      <c r="I2320" s="6"/>
      <c r="J2320" s="60"/>
      <c r="K2320" s="60"/>
      <c r="L2320" s="60"/>
      <c r="M2320" s="60"/>
    </row>
    <row r="2321" spans="9:13" ht="15" customHeight="1" x14ac:dyDescent="0.25">
      <c r="I2321" s="6"/>
      <c r="J2321" s="60"/>
      <c r="K2321" s="60"/>
      <c r="L2321" s="60"/>
      <c r="M2321" s="60"/>
    </row>
    <row r="2322" spans="9:13" ht="15" customHeight="1" x14ac:dyDescent="0.25">
      <c r="I2322" s="6"/>
      <c r="J2322" s="60"/>
      <c r="K2322" s="60"/>
      <c r="L2322" s="60"/>
      <c r="M2322" s="60"/>
    </row>
    <row r="2323" spans="9:13" ht="15" customHeight="1" x14ac:dyDescent="0.25">
      <c r="I2323" s="6"/>
      <c r="J2323" s="60"/>
      <c r="K2323" s="60"/>
      <c r="L2323" s="60"/>
      <c r="M2323" s="60"/>
    </row>
    <row r="2324" spans="9:13" ht="15" customHeight="1" x14ac:dyDescent="0.25">
      <c r="I2324" s="6"/>
      <c r="J2324" s="60"/>
      <c r="K2324" s="60"/>
      <c r="L2324" s="60"/>
      <c r="M2324" s="60"/>
    </row>
    <row r="2325" spans="9:13" ht="15" customHeight="1" x14ac:dyDescent="0.25">
      <c r="I2325" s="6"/>
      <c r="J2325" s="60"/>
      <c r="K2325" s="60"/>
      <c r="L2325" s="60"/>
      <c r="M2325" s="60"/>
    </row>
    <row r="2326" spans="9:13" ht="15" customHeight="1" x14ac:dyDescent="0.25">
      <c r="I2326" s="6"/>
      <c r="J2326" s="60"/>
      <c r="K2326" s="60"/>
      <c r="L2326" s="60"/>
      <c r="M2326" s="60"/>
    </row>
    <row r="2327" spans="9:13" ht="15" customHeight="1" x14ac:dyDescent="0.25">
      <c r="I2327" s="6"/>
      <c r="J2327" s="60"/>
      <c r="K2327" s="60"/>
      <c r="L2327" s="60"/>
      <c r="M2327" s="60"/>
    </row>
    <row r="2328" spans="9:13" ht="15" customHeight="1" x14ac:dyDescent="0.25">
      <c r="I2328" s="6"/>
      <c r="J2328" s="60"/>
      <c r="K2328" s="60"/>
      <c r="L2328" s="60"/>
      <c r="M2328" s="60"/>
    </row>
    <row r="2329" spans="9:13" ht="15" customHeight="1" x14ac:dyDescent="0.25">
      <c r="I2329" s="6"/>
      <c r="J2329" s="60"/>
      <c r="K2329" s="60"/>
      <c r="L2329" s="60"/>
      <c r="M2329" s="60"/>
    </row>
    <row r="2330" spans="9:13" ht="15" customHeight="1" x14ac:dyDescent="0.25">
      <c r="I2330" s="6"/>
      <c r="J2330" s="60"/>
      <c r="K2330" s="60"/>
      <c r="L2330" s="60"/>
      <c r="M2330" s="60"/>
    </row>
    <row r="2331" spans="9:13" ht="15" customHeight="1" x14ac:dyDescent="0.25">
      <c r="I2331" s="6"/>
      <c r="J2331" s="60"/>
      <c r="K2331" s="60"/>
      <c r="L2331" s="60"/>
      <c r="M2331" s="60"/>
    </row>
    <row r="2332" spans="9:13" ht="15" customHeight="1" x14ac:dyDescent="0.25">
      <c r="I2332" s="6"/>
      <c r="J2332" s="60"/>
      <c r="K2332" s="60"/>
      <c r="L2332" s="60"/>
      <c r="M2332" s="60"/>
    </row>
    <row r="2333" spans="9:13" ht="15" customHeight="1" x14ac:dyDescent="0.25">
      <c r="I2333" s="6"/>
      <c r="J2333" s="60"/>
      <c r="K2333" s="60"/>
      <c r="L2333" s="60"/>
      <c r="M2333" s="60"/>
    </row>
    <row r="2334" spans="9:13" ht="15" customHeight="1" x14ac:dyDescent="0.25">
      <c r="I2334" s="6"/>
      <c r="J2334" s="60"/>
      <c r="K2334" s="60"/>
      <c r="L2334" s="60"/>
      <c r="M2334" s="60"/>
    </row>
    <row r="2335" spans="9:13" ht="15" customHeight="1" x14ac:dyDescent="0.25">
      <c r="I2335" s="6"/>
      <c r="J2335" s="60"/>
      <c r="K2335" s="60"/>
      <c r="L2335" s="60"/>
      <c r="M2335" s="60"/>
    </row>
    <row r="2336" spans="9:13" ht="15" customHeight="1" x14ac:dyDescent="0.25">
      <c r="I2336" s="6"/>
      <c r="J2336" s="60"/>
      <c r="K2336" s="60"/>
      <c r="L2336" s="60"/>
      <c r="M2336" s="60"/>
    </row>
    <row r="2337" spans="9:13" ht="15" customHeight="1" x14ac:dyDescent="0.25">
      <c r="I2337" s="6"/>
      <c r="J2337" s="60"/>
      <c r="K2337" s="60"/>
      <c r="L2337" s="60"/>
      <c r="M2337" s="60"/>
    </row>
    <row r="2338" spans="9:13" ht="15" customHeight="1" x14ac:dyDescent="0.25">
      <c r="I2338" s="6"/>
      <c r="J2338" s="60"/>
      <c r="K2338" s="60"/>
      <c r="L2338" s="60"/>
      <c r="M2338" s="60"/>
    </row>
    <row r="2339" spans="9:13" ht="15" customHeight="1" x14ac:dyDescent="0.25">
      <c r="I2339" s="6"/>
      <c r="J2339" s="60"/>
      <c r="K2339" s="60"/>
      <c r="L2339" s="60"/>
      <c r="M2339" s="60"/>
    </row>
    <row r="2340" spans="9:13" ht="15" customHeight="1" x14ac:dyDescent="0.25">
      <c r="I2340" s="6"/>
      <c r="J2340" s="60"/>
      <c r="K2340" s="60"/>
      <c r="L2340" s="60"/>
      <c r="M2340" s="60"/>
    </row>
    <row r="2341" spans="9:13" ht="15" customHeight="1" x14ac:dyDescent="0.25">
      <c r="I2341" s="6"/>
      <c r="J2341" s="60"/>
      <c r="K2341" s="60"/>
      <c r="L2341" s="60"/>
      <c r="M2341" s="60"/>
    </row>
    <row r="2342" spans="9:13" ht="15" customHeight="1" x14ac:dyDescent="0.25">
      <c r="I2342" s="6"/>
      <c r="J2342" s="60"/>
      <c r="K2342" s="60"/>
      <c r="L2342" s="60"/>
      <c r="M2342" s="60"/>
    </row>
    <row r="2343" spans="9:13" ht="15" customHeight="1" x14ac:dyDescent="0.25">
      <c r="I2343" s="6"/>
      <c r="J2343" s="60"/>
      <c r="K2343" s="60"/>
      <c r="L2343" s="60"/>
      <c r="M2343" s="60"/>
    </row>
    <row r="2344" spans="9:13" ht="15" customHeight="1" x14ac:dyDescent="0.25">
      <c r="I2344" s="6"/>
      <c r="J2344" s="60"/>
      <c r="K2344" s="60"/>
      <c r="L2344" s="60"/>
      <c r="M2344" s="60"/>
    </row>
    <row r="2345" spans="9:13" ht="15" customHeight="1" x14ac:dyDescent="0.25">
      <c r="I2345" s="6"/>
      <c r="J2345" s="60"/>
      <c r="K2345" s="60"/>
      <c r="L2345" s="60"/>
      <c r="M2345" s="60"/>
    </row>
    <row r="2346" spans="9:13" ht="15" customHeight="1" x14ac:dyDescent="0.25">
      <c r="I2346" s="6"/>
      <c r="J2346" s="60"/>
      <c r="K2346" s="60"/>
      <c r="L2346" s="60"/>
      <c r="M2346" s="60"/>
    </row>
    <row r="2347" spans="9:13" ht="15" customHeight="1" x14ac:dyDescent="0.25">
      <c r="I2347" s="6"/>
      <c r="J2347" s="60"/>
      <c r="K2347" s="60"/>
      <c r="L2347" s="60"/>
      <c r="M2347" s="60"/>
    </row>
    <row r="2348" spans="9:13" ht="15" customHeight="1" x14ac:dyDescent="0.25">
      <c r="I2348" s="6"/>
      <c r="J2348" s="60"/>
      <c r="K2348" s="60"/>
      <c r="L2348" s="60"/>
      <c r="M2348" s="60"/>
    </row>
    <row r="2349" spans="9:13" ht="15" customHeight="1" x14ac:dyDescent="0.25">
      <c r="I2349" s="6"/>
      <c r="J2349" s="60"/>
      <c r="K2349" s="60"/>
      <c r="L2349" s="60"/>
      <c r="M2349" s="60"/>
    </row>
    <row r="2350" spans="9:13" ht="15" customHeight="1" x14ac:dyDescent="0.25">
      <c r="I2350" s="6"/>
      <c r="J2350" s="60"/>
      <c r="K2350" s="60"/>
      <c r="L2350" s="60"/>
      <c r="M2350" s="60"/>
    </row>
    <row r="2351" spans="9:13" ht="15" customHeight="1" x14ac:dyDescent="0.25">
      <c r="I2351" s="3"/>
      <c r="J2351" s="60"/>
      <c r="K2351" s="60"/>
      <c r="L2351" s="60"/>
      <c r="M2351" s="60"/>
    </row>
    <row r="2352" spans="9:13" ht="15" customHeight="1" x14ac:dyDescent="0.25">
      <c r="I2352" s="3"/>
      <c r="J2352" s="60"/>
      <c r="K2352" s="60"/>
      <c r="L2352" s="60"/>
      <c r="M2352" s="60"/>
    </row>
    <row r="2353" spans="9:13" ht="15" customHeight="1" x14ac:dyDescent="0.25">
      <c r="I2353" s="6"/>
      <c r="J2353" s="60"/>
      <c r="K2353" s="60"/>
      <c r="L2353" s="60"/>
      <c r="M2353" s="60"/>
    </row>
    <row r="2354" spans="9:13" ht="15" customHeight="1" x14ac:dyDescent="0.25">
      <c r="I2354" s="6"/>
      <c r="J2354" s="60"/>
      <c r="K2354" s="60"/>
      <c r="L2354" s="60"/>
      <c r="M2354" s="60"/>
    </row>
    <row r="2355" spans="9:13" ht="15" customHeight="1" x14ac:dyDescent="0.25">
      <c r="I2355" s="6"/>
      <c r="J2355" s="60"/>
      <c r="K2355" s="60"/>
      <c r="L2355" s="60"/>
      <c r="M2355" s="60"/>
    </row>
    <row r="2356" spans="9:13" ht="15" customHeight="1" x14ac:dyDescent="0.25">
      <c r="I2356" s="6"/>
      <c r="J2356" s="60"/>
      <c r="K2356" s="61"/>
      <c r="L2356" s="61"/>
      <c r="M2356" s="61"/>
    </row>
    <row r="2357" spans="9:13" ht="15" customHeight="1" x14ac:dyDescent="0.25">
      <c r="I2357" s="6"/>
      <c r="J2357" s="59"/>
      <c r="K2357" s="60"/>
      <c r="L2357" s="60"/>
      <c r="M2357" s="59"/>
    </row>
    <row r="2358" spans="9:13" ht="15" customHeight="1" x14ac:dyDescent="0.25">
      <c r="I2358" s="6"/>
      <c r="J2358" s="55"/>
      <c r="K2358" s="60"/>
      <c r="L2358" s="60"/>
      <c r="M2358" s="59"/>
    </row>
    <row r="2359" spans="9:13" ht="15" customHeight="1" x14ac:dyDescent="0.25">
      <c r="I2359" s="6"/>
      <c r="J2359" s="55"/>
      <c r="K2359" s="59"/>
      <c r="L2359" s="60"/>
      <c r="M2359" s="59"/>
    </row>
    <row r="2360" spans="9:13" ht="15" customHeight="1" x14ac:dyDescent="0.25">
      <c r="I2360" s="6"/>
      <c r="J2360" s="66"/>
      <c r="K2360" s="59"/>
      <c r="L2360" s="59"/>
      <c r="M2360" s="59"/>
    </row>
    <row r="2361" spans="9:13" ht="15" customHeight="1" x14ac:dyDescent="0.25">
      <c r="I2361" s="6"/>
      <c r="J2361" s="55"/>
      <c r="K2361" s="60"/>
      <c r="L2361" s="60"/>
      <c r="M2361" s="60"/>
    </row>
    <row r="2362" spans="9:13" ht="15" customHeight="1" x14ac:dyDescent="0.25">
      <c r="I2362" s="6"/>
      <c r="J2362" s="60"/>
      <c r="K2362" s="60"/>
      <c r="L2362" s="60"/>
      <c r="M2362" s="60"/>
    </row>
    <row r="2363" spans="9:13" ht="15" customHeight="1" x14ac:dyDescent="0.25">
      <c r="I2363" s="6"/>
      <c r="J2363" s="60"/>
      <c r="K2363" s="60"/>
      <c r="L2363" s="60"/>
      <c r="M2363" s="60"/>
    </row>
    <row r="2364" spans="9:13" ht="15" customHeight="1" x14ac:dyDescent="0.25">
      <c r="I2364" s="6"/>
      <c r="J2364" s="60"/>
      <c r="K2364" s="60"/>
      <c r="L2364" s="60"/>
      <c r="M2364" s="60"/>
    </row>
    <row r="2365" spans="9:13" ht="15" customHeight="1" x14ac:dyDescent="0.25">
      <c r="I2365" s="6"/>
      <c r="J2365" s="60"/>
      <c r="K2365" s="60"/>
      <c r="L2365" s="60"/>
      <c r="M2365" s="60"/>
    </row>
    <row r="2366" spans="9:13" ht="15" customHeight="1" x14ac:dyDescent="0.25">
      <c r="I2366" s="6"/>
      <c r="J2366" s="60"/>
      <c r="K2366" s="60"/>
      <c r="L2366" s="60"/>
      <c r="M2366" s="60"/>
    </row>
    <row r="2367" spans="9:13" ht="15" customHeight="1" x14ac:dyDescent="0.25">
      <c r="I2367" s="6"/>
      <c r="J2367" s="60"/>
      <c r="K2367" s="60"/>
      <c r="L2367" s="60"/>
      <c r="M2367" s="60"/>
    </row>
    <row r="2368" spans="9:13" ht="15" customHeight="1" x14ac:dyDescent="0.25">
      <c r="I2368" s="6"/>
      <c r="J2368" s="60"/>
      <c r="K2368" s="60"/>
      <c r="L2368" s="60"/>
      <c r="M2368" s="60"/>
    </row>
    <row r="2369" spans="9:13" ht="15" customHeight="1" x14ac:dyDescent="0.25">
      <c r="I2369" s="6"/>
      <c r="J2369" s="60"/>
      <c r="K2369" s="60"/>
      <c r="L2369" s="60"/>
      <c r="M2369" s="60"/>
    </row>
    <row r="2370" spans="9:13" ht="15" customHeight="1" x14ac:dyDescent="0.25">
      <c r="I2370" s="6"/>
      <c r="J2370" s="60"/>
      <c r="K2370" s="60"/>
      <c r="L2370" s="60"/>
      <c r="M2370" s="60"/>
    </row>
    <row r="2371" spans="9:13" ht="15" customHeight="1" x14ac:dyDescent="0.25">
      <c r="I2371" s="6"/>
      <c r="J2371" s="60"/>
      <c r="K2371" s="60"/>
      <c r="L2371" s="60"/>
      <c r="M2371" s="60"/>
    </row>
    <row r="2372" spans="9:13" ht="15" customHeight="1" x14ac:dyDescent="0.25">
      <c r="I2372" s="6"/>
      <c r="J2372" s="60"/>
      <c r="K2372" s="60"/>
      <c r="L2372" s="60"/>
      <c r="M2372" s="60"/>
    </row>
    <row r="2373" spans="9:13" ht="15" customHeight="1" x14ac:dyDescent="0.25">
      <c r="I2373" s="6"/>
      <c r="J2373" s="60"/>
      <c r="K2373" s="60"/>
      <c r="L2373" s="60"/>
      <c r="M2373" s="60"/>
    </row>
    <row r="2374" spans="9:13" ht="15" customHeight="1" x14ac:dyDescent="0.25">
      <c r="I2374" s="6"/>
      <c r="J2374" s="60"/>
      <c r="K2374" s="60"/>
      <c r="L2374" s="60"/>
      <c r="M2374" s="60"/>
    </row>
    <row r="2375" spans="9:13" ht="15" customHeight="1" x14ac:dyDescent="0.25">
      <c r="I2375" s="6"/>
      <c r="J2375" s="60"/>
      <c r="K2375" s="60"/>
      <c r="L2375" s="60"/>
      <c r="M2375" s="60"/>
    </row>
    <row r="2376" spans="9:13" ht="15" customHeight="1" x14ac:dyDescent="0.25">
      <c r="I2376" s="6"/>
      <c r="J2376" s="60"/>
      <c r="K2376" s="60"/>
      <c r="L2376" s="60"/>
      <c r="M2376" s="60"/>
    </row>
    <row r="2377" spans="9:13" ht="15" customHeight="1" x14ac:dyDescent="0.25">
      <c r="I2377" s="6"/>
      <c r="J2377" s="60"/>
      <c r="K2377" s="60"/>
      <c r="L2377" s="60"/>
      <c r="M2377" s="60"/>
    </row>
    <row r="2378" spans="9:13" ht="15" customHeight="1" x14ac:dyDescent="0.25">
      <c r="I2378" s="6"/>
      <c r="J2378" s="60"/>
      <c r="K2378" s="60"/>
      <c r="L2378" s="60"/>
      <c r="M2378" s="60"/>
    </row>
    <row r="2379" spans="9:13" ht="15" customHeight="1" x14ac:dyDescent="0.25">
      <c r="I2379" s="6"/>
      <c r="J2379" s="60"/>
      <c r="K2379" s="60"/>
      <c r="L2379" s="60"/>
      <c r="M2379" s="60"/>
    </row>
    <row r="2380" spans="9:13" ht="15" customHeight="1" x14ac:dyDescent="0.25">
      <c r="I2380" s="6"/>
      <c r="J2380" s="60"/>
      <c r="K2380" s="60"/>
      <c r="L2380" s="60"/>
      <c r="M2380" s="60"/>
    </row>
    <row r="2381" spans="9:13" ht="15" customHeight="1" x14ac:dyDescent="0.25">
      <c r="I2381" s="6"/>
      <c r="J2381" s="60"/>
      <c r="K2381" s="60"/>
      <c r="L2381" s="60"/>
      <c r="M2381" s="60"/>
    </row>
    <row r="2382" spans="9:13" ht="15" customHeight="1" x14ac:dyDescent="0.25">
      <c r="I2382" s="6"/>
      <c r="J2382" s="60"/>
      <c r="K2382" s="60"/>
      <c r="L2382" s="60"/>
      <c r="M2382" s="60"/>
    </row>
    <row r="2383" spans="9:13" ht="15" customHeight="1" x14ac:dyDescent="0.25">
      <c r="I2383" s="6"/>
      <c r="J2383" s="60"/>
      <c r="K2383" s="60"/>
      <c r="L2383" s="60"/>
      <c r="M2383" s="60"/>
    </row>
    <row r="2384" spans="9:13" ht="15" customHeight="1" x14ac:dyDescent="0.25">
      <c r="I2384" s="6"/>
      <c r="J2384" s="60"/>
      <c r="K2384" s="60"/>
      <c r="L2384" s="60"/>
      <c r="M2384" s="60"/>
    </row>
    <row r="2385" spans="9:13" ht="15" customHeight="1" x14ac:dyDescent="0.25">
      <c r="I2385" s="6"/>
      <c r="J2385" s="60"/>
      <c r="K2385" s="60"/>
      <c r="L2385" s="60"/>
      <c r="M2385" s="60"/>
    </row>
    <row r="2386" spans="9:13" ht="15" customHeight="1" x14ac:dyDescent="0.25">
      <c r="I2386" s="6"/>
      <c r="J2386" s="60"/>
      <c r="K2386" s="60"/>
      <c r="L2386" s="60"/>
      <c r="M2386" s="60"/>
    </row>
    <row r="2387" spans="9:13" ht="15" customHeight="1" x14ac:dyDescent="0.25">
      <c r="I2387" s="6"/>
      <c r="J2387" s="60"/>
      <c r="K2387" s="60"/>
      <c r="L2387" s="60"/>
      <c r="M2387" s="60"/>
    </row>
    <row r="2388" spans="9:13" ht="15" customHeight="1" x14ac:dyDescent="0.25">
      <c r="I2388" s="6"/>
      <c r="J2388" s="60"/>
      <c r="K2388" s="60"/>
      <c r="L2388" s="60"/>
      <c r="M2388" s="60"/>
    </row>
    <row r="2389" spans="9:13" ht="15" customHeight="1" x14ac:dyDescent="0.25">
      <c r="I2389" s="6"/>
      <c r="J2389" s="60"/>
      <c r="K2389" s="60"/>
      <c r="L2389" s="60"/>
      <c r="M2389" s="60"/>
    </row>
    <row r="2390" spans="9:13" ht="15" customHeight="1" x14ac:dyDescent="0.25">
      <c r="I2390" s="6"/>
      <c r="J2390" s="60"/>
      <c r="K2390" s="60"/>
      <c r="L2390" s="60"/>
      <c r="M2390" s="60"/>
    </row>
    <row r="2391" spans="9:13" ht="15" customHeight="1" x14ac:dyDescent="0.25">
      <c r="I2391" s="6"/>
      <c r="J2391" s="60"/>
      <c r="K2391" s="60"/>
      <c r="L2391" s="60"/>
      <c r="M2391" s="60"/>
    </row>
    <row r="2392" spans="9:13" ht="15" customHeight="1" x14ac:dyDescent="0.25">
      <c r="I2392" s="6"/>
      <c r="J2392" s="60"/>
      <c r="K2392" s="60"/>
      <c r="L2392" s="60"/>
      <c r="M2392" s="60"/>
    </row>
    <row r="2393" spans="9:13" ht="15" customHeight="1" x14ac:dyDescent="0.25">
      <c r="I2393" s="6"/>
      <c r="J2393" s="60"/>
      <c r="K2393" s="60"/>
      <c r="L2393" s="60"/>
      <c r="M2393" s="60"/>
    </row>
    <row r="2394" spans="9:13" ht="15" customHeight="1" x14ac:dyDescent="0.25">
      <c r="I2394" s="6"/>
      <c r="J2394" s="60"/>
      <c r="K2394" s="60"/>
      <c r="L2394" s="60"/>
      <c r="M2394" s="60"/>
    </row>
    <row r="2395" spans="9:13" ht="15" customHeight="1" x14ac:dyDescent="0.25">
      <c r="I2395" s="6"/>
      <c r="J2395" s="60"/>
      <c r="K2395" s="60"/>
      <c r="L2395" s="60"/>
      <c r="M2395" s="60"/>
    </row>
    <row r="2396" spans="9:13" ht="15" customHeight="1" x14ac:dyDescent="0.25">
      <c r="I2396" s="6"/>
      <c r="J2396" s="60"/>
      <c r="K2396" s="60"/>
      <c r="L2396" s="60"/>
      <c r="M2396" s="60"/>
    </row>
    <row r="2397" spans="9:13" ht="15" customHeight="1" x14ac:dyDescent="0.25">
      <c r="I2397" s="6"/>
      <c r="J2397" s="60"/>
      <c r="K2397" s="60"/>
      <c r="L2397" s="60"/>
      <c r="M2397" s="60"/>
    </row>
    <row r="2398" spans="9:13" ht="15" customHeight="1" x14ac:dyDescent="0.25">
      <c r="I2398" s="6"/>
      <c r="J2398" s="60"/>
      <c r="K2398" s="60"/>
      <c r="L2398" s="60"/>
      <c r="M2398" s="60"/>
    </row>
    <row r="2399" spans="9:13" ht="15" customHeight="1" x14ac:dyDescent="0.25">
      <c r="I2399" s="6"/>
      <c r="J2399" s="60"/>
      <c r="K2399" s="60"/>
      <c r="L2399" s="60"/>
      <c r="M2399" s="60"/>
    </row>
    <row r="2400" spans="9:13" ht="15" customHeight="1" x14ac:dyDescent="0.25">
      <c r="I2400" s="6"/>
      <c r="J2400" s="60"/>
      <c r="K2400" s="60"/>
      <c r="L2400" s="60"/>
      <c r="M2400" s="60"/>
    </row>
    <row r="2401" spans="9:13" ht="15" customHeight="1" x14ac:dyDescent="0.25">
      <c r="I2401" s="6"/>
      <c r="J2401" s="60"/>
      <c r="K2401" s="60"/>
      <c r="L2401" s="60"/>
      <c r="M2401" s="60"/>
    </row>
    <row r="2402" spans="9:13" ht="15" customHeight="1" x14ac:dyDescent="0.25">
      <c r="I2402" s="6"/>
      <c r="J2402" s="60"/>
      <c r="K2402" s="60"/>
      <c r="L2402" s="60"/>
      <c r="M2402" s="60"/>
    </row>
    <row r="2403" spans="9:13" ht="15" customHeight="1" x14ac:dyDescent="0.25">
      <c r="I2403" s="6"/>
      <c r="J2403" s="60"/>
      <c r="K2403" s="60"/>
      <c r="L2403" s="60"/>
      <c r="M2403" s="60"/>
    </row>
    <row r="2404" spans="9:13" ht="15" customHeight="1" x14ac:dyDescent="0.25">
      <c r="I2404" s="6"/>
      <c r="J2404" s="60"/>
      <c r="K2404" s="60"/>
      <c r="L2404" s="60"/>
      <c r="M2404" s="60"/>
    </row>
    <row r="2405" spans="9:13" ht="15" customHeight="1" x14ac:dyDescent="0.25">
      <c r="I2405" s="6"/>
      <c r="J2405" s="60"/>
      <c r="K2405" s="60"/>
      <c r="L2405" s="60"/>
      <c r="M2405" s="60"/>
    </row>
    <row r="2406" spans="9:13" ht="15" customHeight="1" x14ac:dyDescent="0.25">
      <c r="I2406" s="6"/>
      <c r="J2406" s="60"/>
      <c r="K2406" s="60"/>
      <c r="L2406" s="60"/>
      <c r="M2406" s="60"/>
    </row>
    <row r="2407" spans="9:13" ht="15" customHeight="1" x14ac:dyDescent="0.25">
      <c r="I2407" s="6"/>
      <c r="J2407" s="60"/>
      <c r="K2407" s="60"/>
      <c r="L2407" s="60"/>
      <c r="M2407" s="60"/>
    </row>
    <row r="2408" spans="9:13" ht="15" customHeight="1" x14ac:dyDescent="0.25">
      <c r="I2408" s="6"/>
      <c r="J2408" s="60"/>
      <c r="K2408" s="60"/>
      <c r="L2408" s="60"/>
      <c r="M2408" s="60"/>
    </row>
    <row r="2409" spans="9:13" ht="15" customHeight="1" x14ac:dyDescent="0.25">
      <c r="I2409" s="6"/>
      <c r="J2409" s="60"/>
      <c r="K2409" s="60"/>
      <c r="L2409" s="60"/>
      <c r="M2409" s="60"/>
    </row>
    <row r="2410" spans="9:13" ht="15" customHeight="1" x14ac:dyDescent="0.25">
      <c r="I2410" s="6"/>
      <c r="J2410" s="60"/>
      <c r="K2410" s="60"/>
      <c r="L2410" s="60"/>
      <c r="M2410" s="60"/>
    </row>
    <row r="2411" spans="9:13" ht="15" customHeight="1" x14ac:dyDescent="0.25">
      <c r="I2411" s="6"/>
      <c r="J2411" s="60"/>
      <c r="K2411" s="60"/>
      <c r="L2411" s="60"/>
      <c r="M2411" s="60"/>
    </row>
    <row r="2412" spans="9:13" ht="15" customHeight="1" x14ac:dyDescent="0.25">
      <c r="I2412" s="6"/>
      <c r="J2412" s="60"/>
      <c r="K2412" s="60"/>
      <c r="L2412" s="60"/>
      <c r="M2412" s="60"/>
    </row>
    <row r="2413" spans="9:13" ht="15" customHeight="1" x14ac:dyDescent="0.25">
      <c r="I2413" s="6"/>
      <c r="J2413" s="60"/>
      <c r="K2413" s="60"/>
      <c r="L2413" s="60"/>
      <c r="M2413" s="60"/>
    </row>
    <row r="2414" spans="9:13" ht="15" customHeight="1" x14ac:dyDescent="0.25">
      <c r="I2414" s="6"/>
      <c r="J2414" s="60"/>
      <c r="K2414" s="60"/>
      <c r="L2414" s="60"/>
      <c r="M2414" s="60"/>
    </row>
    <row r="2415" spans="9:13" ht="15" customHeight="1" x14ac:dyDescent="0.25">
      <c r="I2415" s="6"/>
      <c r="J2415" s="60"/>
      <c r="K2415" s="60"/>
      <c r="L2415" s="60"/>
      <c r="M2415" s="60"/>
    </row>
    <row r="2416" spans="9:13" ht="15" customHeight="1" x14ac:dyDescent="0.25">
      <c r="I2416" s="6"/>
      <c r="J2416" s="60"/>
      <c r="K2416" s="60"/>
      <c r="L2416" s="60"/>
      <c r="M2416" s="60"/>
    </row>
    <row r="2417" spans="9:13" ht="15" customHeight="1" x14ac:dyDescent="0.25">
      <c r="I2417" s="6"/>
      <c r="J2417" s="60"/>
      <c r="K2417" s="60"/>
      <c r="L2417" s="60"/>
      <c r="M2417" s="60"/>
    </row>
    <row r="2418" spans="9:13" ht="15" customHeight="1" x14ac:dyDescent="0.25">
      <c r="I2418" s="6"/>
      <c r="J2418" s="60"/>
      <c r="K2418" s="60"/>
      <c r="L2418" s="60"/>
      <c r="M2418" s="60"/>
    </row>
    <row r="2419" spans="9:13" ht="15" customHeight="1" x14ac:dyDescent="0.25">
      <c r="I2419" s="6"/>
      <c r="J2419" s="60"/>
      <c r="K2419" s="60"/>
      <c r="L2419" s="60"/>
      <c r="M2419" s="60"/>
    </row>
    <row r="2420" spans="9:13" ht="15" customHeight="1" x14ac:dyDescent="0.25">
      <c r="I2420" s="3"/>
      <c r="J2420" s="60"/>
      <c r="K2420" s="60"/>
      <c r="L2420" s="60"/>
      <c r="M2420" s="60"/>
    </row>
    <row r="2421" spans="9:13" ht="15" customHeight="1" x14ac:dyDescent="0.25">
      <c r="J2421" s="60"/>
      <c r="K2421" s="60"/>
      <c r="L2421" s="60"/>
      <c r="M2421" s="60"/>
    </row>
    <row r="2422" spans="9:13" x14ac:dyDescent="0.25">
      <c r="J2422" s="60"/>
      <c r="K2422" s="60"/>
      <c r="L2422" s="60"/>
      <c r="M2422" s="60"/>
    </row>
    <row r="2423" spans="9:13" x14ac:dyDescent="0.25">
      <c r="J2423" s="60"/>
      <c r="K2423" s="60"/>
      <c r="L2423" s="60"/>
      <c r="M2423" s="60"/>
    </row>
    <row r="2424" spans="9:13" x14ac:dyDescent="0.25">
      <c r="J2424" s="60"/>
      <c r="K2424" s="60"/>
      <c r="L2424" s="60"/>
      <c r="M2424" s="60"/>
    </row>
    <row r="2425" spans="9:13" x14ac:dyDescent="0.25">
      <c r="J2425" s="60"/>
      <c r="K2425" s="61"/>
      <c r="L2425" s="61"/>
      <c r="M2425" s="61"/>
    </row>
    <row r="2426" spans="9:13" x14ac:dyDescent="0.25">
      <c r="J2426" s="59"/>
      <c r="K2426" s="60"/>
      <c r="L2426" s="60"/>
      <c r="M2426" s="59"/>
    </row>
    <row r="2427" spans="9:13" x14ac:dyDescent="0.25">
      <c r="J2427" s="55"/>
      <c r="K2427" s="60"/>
      <c r="L2427" s="60"/>
      <c r="M2427" s="59"/>
    </row>
    <row r="2428" spans="9:13" x14ac:dyDescent="0.25">
      <c r="J2428" s="55"/>
      <c r="K2428" s="59"/>
      <c r="L2428" s="60"/>
      <c r="M2428" s="59"/>
    </row>
    <row r="2429" spans="9:13" x14ac:dyDescent="0.25">
      <c r="J2429" s="66"/>
      <c r="K2429" s="59"/>
      <c r="L2429" s="59"/>
      <c r="M2429" s="59"/>
    </row>
    <row r="2430" spans="9:13" x14ac:dyDescent="0.25">
      <c r="J2430" s="55"/>
    </row>
  </sheetData>
  <autoFilter ref="A1:H1757" xr:uid="{00000000-0009-0000-0000-000000000000}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60"/>
  <sheetViews>
    <sheetView tabSelected="1" zoomScale="55" zoomScaleNormal="55" workbookViewId="0">
      <pane xSplit="3" ySplit="2" topLeftCell="Y114" activePane="bottomRight" state="frozenSplit"/>
      <selection activeCell="I523" activeCellId="4" sqref="J514 G528 J514 G528 I523"/>
      <selection pane="topRight" activeCell="I523" activeCellId="4" sqref="J514 G528 J514 G528 I523"/>
      <selection pane="bottomLeft" activeCell="I523" activeCellId="4" sqref="J514 G528 J514 G528 I523"/>
      <selection pane="bottomRight" activeCell="BP142" sqref="BP142"/>
    </sheetView>
  </sheetViews>
  <sheetFormatPr defaultRowHeight="15" customHeight="1" x14ac:dyDescent="0.2"/>
  <cols>
    <col min="1" max="1" width="5" style="11" customWidth="1"/>
    <col min="2" max="2" width="35.7109375" style="11" customWidth="1"/>
    <col min="3" max="3" width="4.5703125" style="11" customWidth="1"/>
    <col min="4" max="4" width="6.42578125" style="11" customWidth="1"/>
    <col min="5" max="5" width="7.28515625" style="11" customWidth="1"/>
    <col min="6" max="6" width="6.28515625" style="11" customWidth="1"/>
    <col min="7" max="7" width="6.7109375" style="11" customWidth="1"/>
    <col min="8" max="8" width="5.85546875" style="11" customWidth="1"/>
    <col min="9" max="9" width="7.140625" style="11" customWidth="1"/>
    <col min="10" max="10" width="5.7109375" style="11" customWidth="1"/>
    <col min="11" max="11" width="7.140625" style="11" customWidth="1"/>
    <col min="12" max="12" width="5.7109375" style="11" customWidth="1"/>
    <col min="13" max="13" width="7.5703125" style="11" customWidth="1"/>
    <col min="14" max="14" width="5.7109375" style="11" customWidth="1"/>
    <col min="15" max="15" width="7.42578125" style="11" customWidth="1"/>
    <col min="16" max="16" width="6.140625" style="11" customWidth="1"/>
    <col min="17" max="17" width="8.28515625" style="11" customWidth="1"/>
    <col min="18" max="18" width="5.7109375" style="11" customWidth="1"/>
    <col min="19" max="19" width="6.7109375" style="11" customWidth="1"/>
    <col min="20" max="20" width="5.7109375" style="11" customWidth="1"/>
    <col min="21" max="21" width="7" style="11" customWidth="1"/>
    <col min="22" max="22" width="5.7109375" style="11" customWidth="1"/>
    <col min="23" max="23" width="7.42578125" style="11" customWidth="1"/>
    <col min="24" max="24" width="5.7109375" style="11" customWidth="1"/>
    <col min="25" max="25" width="7.28515625" style="11" customWidth="1"/>
    <col min="26" max="26" width="5.7109375" style="11" customWidth="1"/>
    <col min="27" max="27" width="8.28515625" style="11" customWidth="1"/>
    <col min="28" max="28" width="5.7109375" style="11" customWidth="1"/>
    <col min="29" max="29" width="6.7109375" style="11" customWidth="1"/>
    <col min="30" max="30" width="5.7109375" style="11" customWidth="1"/>
    <col min="31" max="31" width="7" style="11" customWidth="1"/>
    <col min="32" max="32" width="5.7109375" style="11" customWidth="1"/>
    <col min="33" max="33" width="7.85546875" style="11" customWidth="1"/>
    <col min="34" max="34" width="5.7109375" style="11" customWidth="1"/>
    <col min="35" max="35" width="7.7109375" style="11" customWidth="1"/>
    <col min="36" max="36" width="5.7109375" style="11" customWidth="1"/>
    <col min="37" max="37" width="7.140625" style="11" customWidth="1"/>
    <col min="38" max="38" width="5.7109375" style="11" customWidth="1"/>
    <col min="39" max="39" width="6.7109375" style="11" customWidth="1"/>
    <col min="40" max="40" width="5.7109375" style="11" customWidth="1"/>
    <col min="41" max="41" width="7" style="11" customWidth="1"/>
    <col min="42" max="42" width="5.7109375" style="11" customWidth="1"/>
    <col min="43" max="43" width="7.28515625" style="11" customWidth="1"/>
    <col min="44" max="44" width="5.7109375" style="11" customWidth="1"/>
    <col min="45" max="45" width="7.140625" style="11" customWidth="1"/>
    <col min="46" max="46" width="5.7109375" style="11" customWidth="1"/>
    <col min="47" max="47" width="7" style="11" customWidth="1"/>
    <col min="48" max="48" width="5.7109375" style="11" customWidth="1"/>
    <col min="49" max="49" width="7.5703125" style="11" customWidth="1"/>
    <col min="50" max="50" width="5.7109375" style="11" customWidth="1"/>
    <col min="51" max="51" width="7.42578125" style="11" customWidth="1"/>
    <col min="52" max="52" width="5.7109375" style="11" customWidth="1"/>
    <col min="53" max="53" width="7.5703125" style="11" customWidth="1"/>
    <col min="54" max="54" width="5.7109375" style="11" customWidth="1"/>
    <col min="55" max="55" width="7.42578125" style="11" customWidth="1"/>
    <col min="56" max="56" width="5.7109375" style="11" customWidth="1"/>
    <col min="57" max="57" width="7" style="11" customWidth="1"/>
    <col min="58" max="58" width="5.7109375" style="11" customWidth="1"/>
    <col min="59" max="59" width="7.140625" style="11" customWidth="1"/>
    <col min="60" max="60" width="5.7109375" style="11" customWidth="1"/>
    <col min="61" max="61" width="6.7109375" style="11" customWidth="1"/>
    <col min="62" max="62" width="5.7109375" style="11" customWidth="1"/>
    <col min="63" max="63" width="7.5703125" style="11" customWidth="1"/>
    <col min="64" max="64" width="5.7109375" style="11" customWidth="1"/>
    <col min="65" max="65" width="7" style="11" customWidth="1"/>
    <col min="66" max="66" width="9.140625" style="20" customWidth="1"/>
    <col min="67" max="16384" width="9.140625" style="11"/>
  </cols>
  <sheetData>
    <row r="1" spans="1:67" ht="15" customHeight="1" x14ac:dyDescent="0.2">
      <c r="A1" s="9"/>
      <c r="B1" s="10" t="s">
        <v>0</v>
      </c>
      <c r="C1" s="10"/>
      <c r="D1" s="110">
        <v>45536</v>
      </c>
      <c r="E1" s="110"/>
      <c r="F1" s="110">
        <v>45537</v>
      </c>
      <c r="G1" s="110"/>
      <c r="H1" s="110">
        <v>45538</v>
      </c>
      <c r="I1" s="110"/>
      <c r="J1" s="110">
        <v>45539</v>
      </c>
      <c r="K1" s="110"/>
      <c r="L1" s="110">
        <v>45540</v>
      </c>
      <c r="M1" s="110"/>
      <c r="N1" s="110">
        <v>45541</v>
      </c>
      <c r="O1" s="110"/>
      <c r="P1" s="110">
        <v>45542</v>
      </c>
      <c r="Q1" s="110"/>
      <c r="R1" s="110">
        <v>45543</v>
      </c>
      <c r="S1" s="110"/>
      <c r="T1" s="110">
        <v>45544</v>
      </c>
      <c r="U1" s="110"/>
      <c r="V1" s="110">
        <v>45545</v>
      </c>
      <c r="W1" s="110"/>
      <c r="X1" s="110">
        <v>45546</v>
      </c>
      <c r="Y1" s="110"/>
      <c r="Z1" s="110">
        <v>45547</v>
      </c>
      <c r="AA1" s="110"/>
      <c r="AB1" s="110">
        <v>45548</v>
      </c>
      <c r="AC1" s="110"/>
      <c r="AD1" s="110">
        <v>45549</v>
      </c>
      <c r="AE1" s="110"/>
      <c r="AF1" s="110">
        <v>45550</v>
      </c>
      <c r="AG1" s="110"/>
      <c r="AH1" s="110">
        <v>45551</v>
      </c>
      <c r="AI1" s="110"/>
      <c r="AJ1" s="110">
        <v>45552</v>
      </c>
      <c r="AK1" s="110"/>
      <c r="AL1" s="110">
        <v>45553</v>
      </c>
      <c r="AM1" s="110"/>
      <c r="AN1" s="110">
        <v>45554</v>
      </c>
      <c r="AO1" s="110"/>
      <c r="AP1" s="110">
        <v>45555</v>
      </c>
      <c r="AQ1" s="110"/>
      <c r="AR1" s="110">
        <v>45556</v>
      </c>
      <c r="AS1" s="110"/>
      <c r="AT1" s="110">
        <v>45557</v>
      </c>
      <c r="AU1" s="110"/>
      <c r="AV1" s="110">
        <v>45558</v>
      </c>
      <c r="AW1" s="110"/>
      <c r="AX1" s="110">
        <v>45559</v>
      </c>
      <c r="AY1" s="110"/>
      <c r="AZ1" s="110">
        <v>45560</v>
      </c>
      <c r="BA1" s="110"/>
      <c r="BB1" s="110">
        <v>45561</v>
      </c>
      <c r="BC1" s="110"/>
      <c r="BD1" s="110">
        <v>45562</v>
      </c>
      <c r="BE1" s="110"/>
      <c r="BF1" s="110">
        <v>45563</v>
      </c>
      <c r="BG1" s="110"/>
      <c r="BH1" s="110">
        <v>45564</v>
      </c>
      <c r="BI1" s="110"/>
      <c r="BJ1" s="110">
        <v>45565</v>
      </c>
      <c r="BK1" s="110"/>
      <c r="BL1" s="110"/>
      <c r="BM1" s="110"/>
      <c r="BN1" s="111" t="s">
        <v>1</v>
      </c>
      <c r="BO1" s="111"/>
    </row>
    <row r="2" spans="1:67" ht="15" customHeight="1" x14ac:dyDescent="0.2">
      <c r="A2" s="9"/>
      <c r="B2" s="12"/>
      <c r="C2" s="12"/>
      <c r="D2" s="13" t="s">
        <v>2</v>
      </c>
      <c r="E2" s="13" t="s">
        <v>3</v>
      </c>
      <c r="F2" s="13" t="s">
        <v>2</v>
      </c>
      <c r="G2" s="13" t="s">
        <v>3</v>
      </c>
      <c r="H2" s="13" t="s">
        <v>2</v>
      </c>
      <c r="I2" s="13" t="s">
        <v>3</v>
      </c>
      <c r="J2" s="13" t="s">
        <v>2</v>
      </c>
      <c r="K2" s="13" t="s">
        <v>3</v>
      </c>
      <c r="L2" s="13" t="s">
        <v>2</v>
      </c>
      <c r="M2" s="13" t="s">
        <v>3</v>
      </c>
      <c r="N2" s="13" t="s">
        <v>2</v>
      </c>
      <c r="O2" s="13" t="s">
        <v>3</v>
      </c>
      <c r="P2" s="13" t="s">
        <v>2</v>
      </c>
      <c r="Q2" s="13" t="s">
        <v>3</v>
      </c>
      <c r="R2" s="13" t="s">
        <v>2</v>
      </c>
      <c r="S2" s="13" t="s">
        <v>3</v>
      </c>
      <c r="T2" s="13" t="s">
        <v>2</v>
      </c>
      <c r="U2" s="13" t="s">
        <v>3</v>
      </c>
      <c r="V2" s="13" t="s">
        <v>2</v>
      </c>
      <c r="W2" s="13" t="s">
        <v>3</v>
      </c>
      <c r="X2" s="13" t="s">
        <v>2</v>
      </c>
      <c r="Y2" s="13" t="s">
        <v>3</v>
      </c>
      <c r="Z2" s="13" t="s">
        <v>2</v>
      </c>
      <c r="AA2" s="13" t="s">
        <v>3</v>
      </c>
      <c r="AB2" s="13" t="s">
        <v>2</v>
      </c>
      <c r="AC2" s="13" t="s">
        <v>3</v>
      </c>
      <c r="AD2" s="13" t="s">
        <v>2</v>
      </c>
      <c r="AE2" s="13" t="s">
        <v>3</v>
      </c>
      <c r="AF2" s="13" t="s">
        <v>2</v>
      </c>
      <c r="AG2" s="13" t="s">
        <v>3</v>
      </c>
      <c r="AH2" s="13" t="s">
        <v>2</v>
      </c>
      <c r="AI2" s="13" t="s">
        <v>3</v>
      </c>
      <c r="AJ2" s="13" t="s">
        <v>2</v>
      </c>
      <c r="AK2" s="13" t="s">
        <v>3</v>
      </c>
      <c r="AL2" s="13" t="s">
        <v>2</v>
      </c>
      <c r="AM2" s="13" t="s">
        <v>3</v>
      </c>
      <c r="AN2" s="13" t="s">
        <v>2</v>
      </c>
      <c r="AO2" s="13" t="s">
        <v>3</v>
      </c>
      <c r="AP2" s="13" t="s">
        <v>2</v>
      </c>
      <c r="AQ2" s="13" t="s">
        <v>3</v>
      </c>
      <c r="AR2" s="13" t="s">
        <v>2</v>
      </c>
      <c r="AS2" s="13" t="s">
        <v>3</v>
      </c>
      <c r="AT2" s="13" t="s">
        <v>2</v>
      </c>
      <c r="AU2" s="13" t="s">
        <v>3</v>
      </c>
      <c r="AV2" s="13" t="s">
        <v>2</v>
      </c>
      <c r="AW2" s="13" t="s">
        <v>3</v>
      </c>
      <c r="AX2" s="13" t="s">
        <v>2</v>
      </c>
      <c r="AY2" s="13" t="s">
        <v>3</v>
      </c>
      <c r="AZ2" s="13" t="s">
        <v>2</v>
      </c>
      <c r="BA2" s="13" t="s">
        <v>3</v>
      </c>
      <c r="BB2" s="13" t="s">
        <v>2</v>
      </c>
      <c r="BC2" s="13" t="s">
        <v>3</v>
      </c>
      <c r="BD2" s="13" t="s">
        <v>2</v>
      </c>
      <c r="BE2" s="13" t="s">
        <v>3</v>
      </c>
      <c r="BF2" s="13" t="s">
        <v>2</v>
      </c>
      <c r="BG2" s="13" t="s">
        <v>3</v>
      </c>
      <c r="BH2" s="13" t="s">
        <v>2</v>
      </c>
      <c r="BI2" s="13" t="s">
        <v>3</v>
      </c>
      <c r="BJ2" s="13" t="s">
        <v>2</v>
      </c>
      <c r="BK2" s="13" t="s">
        <v>3</v>
      </c>
      <c r="BL2" s="13" t="s">
        <v>2</v>
      </c>
      <c r="BM2" s="13" t="s">
        <v>3</v>
      </c>
      <c r="BN2" s="13" t="s">
        <v>3</v>
      </c>
      <c r="BO2" s="13" t="s">
        <v>4</v>
      </c>
    </row>
    <row r="3" spans="1:67" ht="15" customHeight="1" x14ac:dyDescent="0.25">
      <c r="A3" s="14" t="s">
        <v>5</v>
      </c>
      <c r="B3" s="7" t="s">
        <v>6</v>
      </c>
      <c r="C3" s="15">
        <v>4</v>
      </c>
      <c r="D3" s="11">
        <v>30</v>
      </c>
      <c r="E3" s="11">
        <f>D3*$C3</f>
        <v>120</v>
      </c>
      <c r="F3" s="11">
        <v>19</v>
      </c>
      <c r="G3" s="11">
        <f>F3*$C3</f>
        <v>76</v>
      </c>
      <c r="H3" s="11">
        <v>18</v>
      </c>
      <c r="I3" s="11">
        <f>H3*$C3</f>
        <v>72</v>
      </c>
      <c r="J3" s="11">
        <v>11</v>
      </c>
      <c r="K3" s="11">
        <f>J3*$C3</f>
        <v>44</v>
      </c>
      <c r="L3" s="11">
        <v>10</v>
      </c>
      <c r="M3" s="11">
        <f>L3*$C3</f>
        <v>40</v>
      </c>
      <c r="N3" s="11">
        <v>10</v>
      </c>
      <c r="O3" s="11">
        <f>N3*$C3</f>
        <v>40</v>
      </c>
      <c r="P3" s="11">
        <v>17</v>
      </c>
      <c r="Q3" s="11">
        <f>P3*$C3</f>
        <v>68</v>
      </c>
      <c r="R3" s="11">
        <v>16</v>
      </c>
      <c r="S3" s="11">
        <f>R3*$C3</f>
        <v>64</v>
      </c>
      <c r="T3" s="11">
        <v>18</v>
      </c>
      <c r="U3" s="11">
        <f>T3*$C3</f>
        <v>72</v>
      </c>
      <c r="V3" s="11">
        <v>22</v>
      </c>
      <c r="W3" s="11">
        <f>V3*$C3</f>
        <v>88</v>
      </c>
      <c r="X3" s="11">
        <v>7</v>
      </c>
      <c r="Y3" s="11">
        <f>X3*$C3</f>
        <v>28</v>
      </c>
      <c r="Z3" s="11">
        <v>13</v>
      </c>
      <c r="AA3" s="11">
        <f>Z3*$C3</f>
        <v>52</v>
      </c>
      <c r="AB3" s="11">
        <v>13</v>
      </c>
      <c r="AC3" s="11">
        <f>AB3*$C3</f>
        <v>52</v>
      </c>
      <c r="AD3" s="11">
        <v>18</v>
      </c>
      <c r="AE3" s="11">
        <f>AD3*$C3</f>
        <v>72</v>
      </c>
      <c r="AF3" s="11">
        <v>24</v>
      </c>
      <c r="AG3" s="11">
        <f>AF3*$C3</f>
        <v>96</v>
      </c>
      <c r="AH3" s="11">
        <v>19</v>
      </c>
      <c r="AI3" s="11">
        <f>AH3*$C3</f>
        <v>76</v>
      </c>
      <c r="AJ3" s="11">
        <v>12</v>
      </c>
      <c r="AK3" s="11">
        <f>AJ3*$C3</f>
        <v>48</v>
      </c>
      <c r="AL3" s="11">
        <v>13</v>
      </c>
      <c r="AM3" s="11">
        <f>AL3*$C3</f>
        <v>52</v>
      </c>
      <c r="AN3" s="11">
        <v>14</v>
      </c>
      <c r="AO3" s="11">
        <f>AN3*$C3</f>
        <v>56</v>
      </c>
      <c r="AP3" s="11">
        <v>9</v>
      </c>
      <c r="AQ3" s="11">
        <f>AP3*$C3</f>
        <v>36</v>
      </c>
      <c r="AR3" s="11">
        <v>18</v>
      </c>
      <c r="AS3" s="11">
        <f>AR3*$C3</f>
        <v>72</v>
      </c>
      <c r="AT3" s="11">
        <v>16</v>
      </c>
      <c r="AU3" s="11">
        <f>AT3*$C3</f>
        <v>64</v>
      </c>
      <c r="AV3" s="11">
        <v>7</v>
      </c>
      <c r="AW3" s="11">
        <f>AV3*$C3</f>
        <v>28</v>
      </c>
      <c r="AX3" s="11">
        <v>6</v>
      </c>
      <c r="AY3" s="11">
        <f>AX3*$C3</f>
        <v>24</v>
      </c>
      <c r="AZ3" s="11">
        <v>7</v>
      </c>
      <c r="BA3" s="11">
        <f>AZ3*$C3</f>
        <v>28</v>
      </c>
      <c r="BB3" s="11">
        <v>7</v>
      </c>
      <c r="BC3" s="11">
        <f>BB3*$C3</f>
        <v>28</v>
      </c>
      <c r="BD3" s="11">
        <v>18</v>
      </c>
      <c r="BE3" s="11">
        <f>BD3*$C3</f>
        <v>72</v>
      </c>
      <c r="BF3" s="11">
        <v>18</v>
      </c>
      <c r="BG3" s="11">
        <f>BF3*$C3</f>
        <v>72</v>
      </c>
      <c r="BH3" s="11">
        <v>17</v>
      </c>
      <c r="BI3" s="11">
        <f>BH3*$C3</f>
        <v>68</v>
      </c>
      <c r="BJ3" s="11">
        <v>14</v>
      </c>
      <c r="BK3" s="11">
        <f>BJ3*$C3</f>
        <v>56</v>
      </c>
      <c r="BM3" s="11">
        <f>BL3*$C3</f>
        <v>0</v>
      </c>
      <c r="BN3" s="16">
        <f>SUMIF(D$2:$BM2,BN$2,D3:BM3)</f>
        <v>1764</v>
      </c>
      <c r="BO3" s="16">
        <f t="shared" ref="BO3:BO12" si="0">BN3/4</f>
        <v>441</v>
      </c>
    </row>
    <row r="4" spans="1:67" ht="15" customHeight="1" x14ac:dyDescent="0.25">
      <c r="A4" s="14" t="s">
        <v>5</v>
      </c>
      <c r="B4" s="7" t="s">
        <v>7</v>
      </c>
      <c r="C4" s="15">
        <v>2</v>
      </c>
      <c r="D4" s="11">
        <v>8</v>
      </c>
      <c r="E4" s="11">
        <f>D4*$C4</f>
        <v>16</v>
      </c>
      <c r="F4" s="11">
        <v>8</v>
      </c>
      <c r="G4" s="11">
        <f>F4*$C4</f>
        <v>16</v>
      </c>
      <c r="H4" s="11">
        <v>16</v>
      </c>
      <c r="I4" s="11">
        <f t="shared" ref="I4:I6" si="1">H4*$C4</f>
        <v>32</v>
      </c>
      <c r="J4" s="11">
        <v>10</v>
      </c>
      <c r="K4" s="11">
        <f>J4*$C4</f>
        <v>20</v>
      </c>
      <c r="L4" s="11">
        <v>13</v>
      </c>
      <c r="M4" s="11">
        <f>L4*$C4</f>
        <v>26</v>
      </c>
      <c r="N4" s="11">
        <v>9</v>
      </c>
      <c r="O4" s="11">
        <f>N4*$C4</f>
        <v>18</v>
      </c>
      <c r="P4" s="11">
        <v>8</v>
      </c>
      <c r="Q4" s="11">
        <f>P4*$C4</f>
        <v>16</v>
      </c>
      <c r="R4" s="11">
        <v>11</v>
      </c>
      <c r="S4" s="11">
        <f>R4*$C4</f>
        <v>22</v>
      </c>
      <c r="T4" s="11">
        <v>10</v>
      </c>
      <c r="U4" s="11">
        <f>T4*$C4</f>
        <v>20</v>
      </c>
      <c r="V4" s="11">
        <v>8</v>
      </c>
      <c r="W4" s="11">
        <f>V4*$C4</f>
        <v>16</v>
      </c>
      <c r="X4" s="11">
        <v>21</v>
      </c>
      <c r="Y4" s="11">
        <f>X4*$C4</f>
        <v>42</v>
      </c>
      <c r="Z4" s="11">
        <v>22</v>
      </c>
      <c r="AA4" s="11">
        <f>Z4*$C4</f>
        <v>44</v>
      </c>
      <c r="AB4" s="11">
        <v>12</v>
      </c>
      <c r="AC4" s="11">
        <f>AB4*$C4</f>
        <v>24</v>
      </c>
      <c r="AD4" s="11">
        <v>17</v>
      </c>
      <c r="AE4" s="11">
        <f>AD4*$C4</f>
        <v>34</v>
      </c>
      <c r="AF4" s="11">
        <v>17</v>
      </c>
      <c r="AG4" s="11">
        <f>AF4*$C4</f>
        <v>34</v>
      </c>
      <c r="AH4" s="11">
        <v>24</v>
      </c>
      <c r="AI4" s="11">
        <f>AH4*$C4</f>
        <v>48</v>
      </c>
      <c r="AJ4" s="11">
        <v>20</v>
      </c>
      <c r="AK4" s="11">
        <f>AJ4*$C4</f>
        <v>40</v>
      </c>
      <c r="AL4" s="11">
        <v>22</v>
      </c>
      <c r="AM4" s="11">
        <f>AL4*$C4</f>
        <v>44</v>
      </c>
      <c r="AN4" s="11">
        <v>13</v>
      </c>
      <c r="AO4" s="11">
        <f>AN4*$C4</f>
        <v>26</v>
      </c>
      <c r="AP4" s="11">
        <v>20</v>
      </c>
      <c r="AQ4" s="11">
        <f>AP4*$C4</f>
        <v>40</v>
      </c>
      <c r="AR4" s="11">
        <v>27</v>
      </c>
      <c r="AS4" s="11">
        <f>AR4*$C4</f>
        <v>54</v>
      </c>
      <c r="AT4" s="11">
        <v>14</v>
      </c>
      <c r="AU4" s="11">
        <f>AT4*$C4</f>
        <v>28</v>
      </c>
      <c r="AV4" s="11">
        <v>1</v>
      </c>
      <c r="AW4" s="11">
        <f>AV4*$C4</f>
        <v>2</v>
      </c>
      <c r="AX4" s="11">
        <v>8</v>
      </c>
      <c r="AY4" s="11">
        <f>AX4*$C4</f>
        <v>16</v>
      </c>
      <c r="AZ4" s="11">
        <v>3</v>
      </c>
      <c r="BA4" s="11">
        <f>AZ4*$C4</f>
        <v>6</v>
      </c>
      <c r="BB4" s="11">
        <v>13</v>
      </c>
      <c r="BC4" s="11">
        <f>BB4*$C4</f>
        <v>26</v>
      </c>
      <c r="BD4" s="11">
        <v>15</v>
      </c>
      <c r="BE4" s="11">
        <f>BD4*$C4</f>
        <v>30</v>
      </c>
      <c r="BF4" s="11">
        <v>13</v>
      </c>
      <c r="BG4" s="11">
        <f>BF4*$C4</f>
        <v>26</v>
      </c>
      <c r="BH4" s="11">
        <v>22</v>
      </c>
      <c r="BI4" s="11">
        <f>BH4*$C4</f>
        <v>44</v>
      </c>
      <c r="BJ4" s="11">
        <v>18</v>
      </c>
      <c r="BK4" s="11">
        <f>BJ4*$C4</f>
        <v>36</v>
      </c>
      <c r="BM4" s="11">
        <f>BL4*$C4</f>
        <v>0</v>
      </c>
      <c r="BN4" s="16">
        <f ca="1">SUMIF(D$2:$BM3,BN$2,D4:BM4)</f>
        <v>846</v>
      </c>
      <c r="BO4" s="16">
        <f t="shared" ca="1" si="0"/>
        <v>211.5</v>
      </c>
    </row>
    <row r="5" spans="1:67" ht="15" customHeight="1" x14ac:dyDescent="0.25">
      <c r="A5" s="14" t="s">
        <v>5</v>
      </c>
      <c r="B5" s="7" t="s">
        <v>8</v>
      </c>
      <c r="C5" s="15">
        <v>1</v>
      </c>
      <c r="D5" s="11">
        <v>8</v>
      </c>
      <c r="E5" s="11">
        <f>D5*$C5</f>
        <v>8</v>
      </c>
      <c r="F5" s="11">
        <v>3</v>
      </c>
      <c r="G5" s="11">
        <f>F5*$C5</f>
        <v>3</v>
      </c>
      <c r="H5" s="11">
        <v>1</v>
      </c>
      <c r="I5" s="11">
        <f>H5*$C5</f>
        <v>1</v>
      </c>
      <c r="J5" s="11">
        <v>2</v>
      </c>
      <c r="K5" s="11">
        <f>J5*$C5</f>
        <v>2</v>
      </c>
      <c r="L5" s="11">
        <v>3</v>
      </c>
      <c r="M5" s="11">
        <f>L5*$C5</f>
        <v>3</v>
      </c>
      <c r="N5" s="11">
        <v>3</v>
      </c>
      <c r="O5" s="11">
        <f>N5*$C5</f>
        <v>3</v>
      </c>
      <c r="P5" s="11">
        <v>3</v>
      </c>
      <c r="Q5" s="11">
        <f>P5*$C5</f>
        <v>3</v>
      </c>
      <c r="R5" s="11">
        <v>3</v>
      </c>
      <c r="S5" s="11">
        <f>R5*$C5</f>
        <v>3</v>
      </c>
      <c r="T5" s="11">
        <v>3</v>
      </c>
      <c r="U5" s="11">
        <f>T5*$C5</f>
        <v>3</v>
      </c>
      <c r="V5" s="11">
        <v>1</v>
      </c>
      <c r="W5" s="11">
        <f>V5*$C5</f>
        <v>1</v>
      </c>
      <c r="X5" s="11">
        <v>3</v>
      </c>
      <c r="Y5" s="11">
        <f>X5*$C5</f>
        <v>3</v>
      </c>
      <c r="Z5" s="11">
        <v>4</v>
      </c>
      <c r="AA5" s="11">
        <f>Z5*$C5</f>
        <v>4</v>
      </c>
      <c r="AB5" s="11">
        <v>6</v>
      </c>
      <c r="AC5" s="11">
        <f>AB5*$C5</f>
        <v>6</v>
      </c>
      <c r="AD5" s="11">
        <v>7</v>
      </c>
      <c r="AE5" s="11">
        <f>AD5*$C5</f>
        <v>7</v>
      </c>
      <c r="AF5" s="11">
        <v>8</v>
      </c>
      <c r="AG5" s="11">
        <f>AF5*$C5</f>
        <v>8</v>
      </c>
      <c r="AH5" s="11">
        <v>3</v>
      </c>
      <c r="AI5" s="11">
        <f>AH5*$C5</f>
        <v>3</v>
      </c>
      <c r="AJ5" s="11">
        <v>4</v>
      </c>
      <c r="AK5" s="11">
        <f>AJ5*$C5</f>
        <v>4</v>
      </c>
      <c r="AL5" s="11">
        <v>1</v>
      </c>
      <c r="AM5" s="11">
        <f>AL5*$C5</f>
        <v>1</v>
      </c>
      <c r="AN5" s="11">
        <v>2</v>
      </c>
      <c r="AO5" s="11">
        <f>AN5*$C5</f>
        <v>2</v>
      </c>
      <c r="AP5" s="11">
        <v>4</v>
      </c>
      <c r="AQ5" s="11">
        <f>AP5*$C5</f>
        <v>4</v>
      </c>
      <c r="AR5" s="11">
        <v>8</v>
      </c>
      <c r="AS5" s="11">
        <f>AR5*$C5</f>
        <v>8</v>
      </c>
      <c r="AT5" s="11">
        <v>12</v>
      </c>
      <c r="AU5" s="11">
        <f>AT5*$C5</f>
        <v>12</v>
      </c>
      <c r="AV5" s="11">
        <v>1</v>
      </c>
      <c r="AW5" s="11">
        <f>AV5*$C5</f>
        <v>1</v>
      </c>
      <c r="AX5" s="11">
        <v>2</v>
      </c>
      <c r="AY5" s="11">
        <f>AX5*$C5</f>
        <v>2</v>
      </c>
      <c r="AZ5" s="11">
        <v>7</v>
      </c>
      <c r="BA5" s="11">
        <f>AZ5*$C5</f>
        <v>7</v>
      </c>
      <c r="BB5" s="11">
        <v>5</v>
      </c>
      <c r="BC5" s="11">
        <f>BB5*$C5</f>
        <v>5</v>
      </c>
      <c r="BD5" s="11">
        <v>3</v>
      </c>
      <c r="BE5" s="11">
        <f>BD5*$C5</f>
        <v>3</v>
      </c>
      <c r="BF5" s="11">
        <v>3</v>
      </c>
      <c r="BG5" s="11">
        <f>BF5*$C5</f>
        <v>3</v>
      </c>
      <c r="BH5" s="11">
        <v>2</v>
      </c>
      <c r="BI5" s="11">
        <f>BH5*$C5</f>
        <v>2</v>
      </c>
      <c r="BJ5" s="11">
        <v>3</v>
      </c>
      <c r="BK5" s="11">
        <f>BJ5*$C5</f>
        <v>3</v>
      </c>
      <c r="BM5" s="11">
        <f>BL5*$C5</f>
        <v>0</v>
      </c>
      <c r="BN5" s="16">
        <f ca="1">SUMIF(D$2:$BM4,BN$2,D5:BM5)</f>
        <v>118</v>
      </c>
      <c r="BO5" s="16">
        <f t="shared" ca="1" si="0"/>
        <v>29.5</v>
      </c>
    </row>
    <row r="6" spans="1:67" ht="15" customHeight="1" x14ac:dyDescent="0.25">
      <c r="A6" s="14" t="s">
        <v>5</v>
      </c>
      <c r="B6" s="7" t="s">
        <v>9</v>
      </c>
      <c r="C6" s="15">
        <v>4</v>
      </c>
      <c r="D6" s="11">
        <v>11</v>
      </c>
      <c r="E6" s="11">
        <f t="shared" ref="E6:M77" si="2">D6*$C6</f>
        <v>44</v>
      </c>
      <c r="F6" s="11">
        <v>11</v>
      </c>
      <c r="G6" s="11">
        <f t="shared" si="2"/>
        <v>44</v>
      </c>
      <c r="H6" s="11">
        <v>6</v>
      </c>
      <c r="I6" s="11">
        <f t="shared" si="1"/>
        <v>24</v>
      </c>
      <c r="J6" s="11">
        <v>11</v>
      </c>
      <c r="K6" s="11">
        <f t="shared" si="2"/>
        <v>44</v>
      </c>
      <c r="L6" s="11">
        <v>14</v>
      </c>
      <c r="M6" s="11">
        <f t="shared" si="2"/>
        <v>56</v>
      </c>
      <c r="N6" s="11">
        <v>4</v>
      </c>
      <c r="O6" s="11">
        <f t="shared" ref="O6:BA22" si="3">N6*$C6</f>
        <v>16</v>
      </c>
      <c r="P6" s="11">
        <v>13</v>
      </c>
      <c r="Q6" s="11">
        <f t="shared" si="3"/>
        <v>52</v>
      </c>
      <c r="R6" s="11">
        <v>15</v>
      </c>
      <c r="S6" s="11">
        <f t="shared" si="3"/>
        <v>60</v>
      </c>
      <c r="T6" s="11">
        <v>15</v>
      </c>
      <c r="U6" s="11">
        <f t="shared" si="3"/>
        <v>60</v>
      </c>
      <c r="V6" s="11">
        <v>8</v>
      </c>
      <c r="W6" s="11">
        <f t="shared" si="3"/>
        <v>32</v>
      </c>
      <c r="X6" s="11">
        <v>12</v>
      </c>
      <c r="Y6" s="11">
        <f t="shared" si="3"/>
        <v>48</v>
      </c>
      <c r="Z6" s="11">
        <v>12</v>
      </c>
      <c r="AA6" s="11">
        <f t="shared" si="3"/>
        <v>48</v>
      </c>
      <c r="AB6" s="11">
        <v>13</v>
      </c>
      <c r="AC6" s="11">
        <f t="shared" si="3"/>
        <v>52</v>
      </c>
      <c r="AD6" s="11">
        <v>18</v>
      </c>
      <c r="AE6" s="11">
        <f t="shared" si="3"/>
        <v>72</v>
      </c>
      <c r="AF6" s="11">
        <v>13</v>
      </c>
      <c r="AG6" s="11">
        <f t="shared" si="3"/>
        <v>52</v>
      </c>
      <c r="AH6" s="11">
        <v>24</v>
      </c>
      <c r="AI6" s="11">
        <f t="shared" si="3"/>
        <v>96</v>
      </c>
      <c r="AJ6" s="11">
        <v>5</v>
      </c>
      <c r="AK6" s="11">
        <f t="shared" si="3"/>
        <v>20</v>
      </c>
      <c r="AL6" s="11">
        <v>10</v>
      </c>
      <c r="AM6" s="11">
        <f t="shared" si="3"/>
        <v>40</v>
      </c>
      <c r="AN6" s="11">
        <v>8</v>
      </c>
      <c r="AO6" s="11">
        <f t="shared" si="3"/>
        <v>32</v>
      </c>
      <c r="AP6" s="11">
        <v>6</v>
      </c>
      <c r="AQ6" s="11">
        <f t="shared" si="3"/>
        <v>24</v>
      </c>
      <c r="AR6" s="11">
        <v>10</v>
      </c>
      <c r="AS6" s="11">
        <f t="shared" si="3"/>
        <v>40</v>
      </c>
      <c r="AT6" s="11">
        <v>16</v>
      </c>
      <c r="AU6" s="11">
        <f t="shared" si="3"/>
        <v>64</v>
      </c>
      <c r="AV6" s="11">
        <v>4</v>
      </c>
      <c r="AW6" s="11">
        <f t="shared" si="3"/>
        <v>16</v>
      </c>
      <c r="AX6" s="11">
        <v>3</v>
      </c>
      <c r="AY6" s="11">
        <f t="shared" si="3"/>
        <v>12</v>
      </c>
      <c r="AZ6" s="11">
        <v>6</v>
      </c>
      <c r="BA6" s="11">
        <f t="shared" si="3"/>
        <v>24</v>
      </c>
      <c r="BB6" s="11">
        <v>4</v>
      </c>
      <c r="BC6" s="11">
        <f t="shared" ref="BC6:BM7" si="4">BB6*$C6</f>
        <v>16</v>
      </c>
      <c r="BD6" s="11">
        <v>9</v>
      </c>
      <c r="BE6" s="11">
        <f t="shared" si="4"/>
        <v>36</v>
      </c>
      <c r="BF6" s="11">
        <v>7</v>
      </c>
      <c r="BG6" s="11">
        <f t="shared" si="4"/>
        <v>28</v>
      </c>
      <c r="BH6" s="11">
        <v>12</v>
      </c>
      <c r="BI6" s="11">
        <f t="shared" si="4"/>
        <v>48</v>
      </c>
      <c r="BJ6" s="11">
        <v>7</v>
      </c>
      <c r="BK6" s="11">
        <f t="shared" si="4"/>
        <v>28</v>
      </c>
      <c r="BM6" s="11">
        <f t="shared" si="4"/>
        <v>0</v>
      </c>
      <c r="BN6" s="16">
        <f ca="1">SUMIF(D$2:$BM5,BN$2,D6:BM6)</f>
        <v>1228</v>
      </c>
      <c r="BO6" s="16">
        <f t="shared" ca="1" si="0"/>
        <v>307</v>
      </c>
    </row>
    <row r="7" spans="1:67" ht="15" customHeight="1" x14ac:dyDescent="0.25">
      <c r="A7" s="14" t="s">
        <v>5</v>
      </c>
      <c r="B7" s="7" t="s">
        <v>10</v>
      </c>
      <c r="C7" s="15">
        <v>2</v>
      </c>
      <c r="D7" s="11">
        <v>8</v>
      </c>
      <c r="E7" s="11">
        <f t="shared" si="2"/>
        <v>16</v>
      </c>
      <c r="F7" s="11">
        <v>7</v>
      </c>
      <c r="G7" s="11">
        <f t="shared" si="2"/>
        <v>14</v>
      </c>
      <c r="H7" s="11">
        <v>4</v>
      </c>
      <c r="I7" s="11">
        <f t="shared" si="2"/>
        <v>8</v>
      </c>
      <c r="J7" s="11">
        <v>6</v>
      </c>
      <c r="K7" s="11">
        <f t="shared" si="2"/>
        <v>12</v>
      </c>
      <c r="L7" s="11">
        <v>7</v>
      </c>
      <c r="M7" s="11">
        <f t="shared" si="2"/>
        <v>14</v>
      </c>
      <c r="N7" s="11">
        <v>3</v>
      </c>
      <c r="O7" s="11">
        <f t="shared" si="3"/>
        <v>6</v>
      </c>
      <c r="P7" s="11">
        <v>4</v>
      </c>
      <c r="Q7" s="11">
        <f t="shared" si="3"/>
        <v>8</v>
      </c>
      <c r="R7" s="11">
        <v>9</v>
      </c>
      <c r="S7" s="11">
        <f t="shared" si="3"/>
        <v>18</v>
      </c>
      <c r="T7" s="11">
        <v>6</v>
      </c>
      <c r="U7" s="11">
        <f t="shared" si="3"/>
        <v>12</v>
      </c>
      <c r="V7" s="11">
        <v>2</v>
      </c>
      <c r="W7" s="11">
        <f t="shared" si="3"/>
        <v>4</v>
      </c>
      <c r="X7" s="11">
        <v>13</v>
      </c>
      <c r="Y7" s="11">
        <f t="shared" si="3"/>
        <v>26</v>
      </c>
      <c r="Z7" s="11">
        <v>4</v>
      </c>
      <c r="AA7" s="11">
        <f t="shared" si="3"/>
        <v>8</v>
      </c>
      <c r="AB7" s="11">
        <v>3</v>
      </c>
      <c r="AC7" s="11">
        <f t="shared" si="3"/>
        <v>6</v>
      </c>
      <c r="AD7" s="11">
        <v>4</v>
      </c>
      <c r="AE7" s="11">
        <f t="shared" si="3"/>
        <v>8</v>
      </c>
      <c r="AF7" s="11">
        <v>4</v>
      </c>
      <c r="AG7" s="11">
        <f t="shared" si="3"/>
        <v>8</v>
      </c>
      <c r="AH7" s="11">
        <v>7</v>
      </c>
      <c r="AI7" s="11">
        <f t="shared" si="3"/>
        <v>14</v>
      </c>
      <c r="AJ7" s="11">
        <v>4</v>
      </c>
      <c r="AK7" s="11">
        <f t="shared" si="3"/>
        <v>8</v>
      </c>
      <c r="AL7" s="11">
        <v>1</v>
      </c>
      <c r="AM7" s="11">
        <f t="shared" si="3"/>
        <v>2</v>
      </c>
      <c r="AN7" s="11">
        <v>4</v>
      </c>
      <c r="AO7" s="11">
        <f t="shared" si="3"/>
        <v>8</v>
      </c>
      <c r="AP7" s="11">
        <v>3</v>
      </c>
      <c r="AQ7" s="11">
        <f t="shared" si="3"/>
        <v>6</v>
      </c>
      <c r="AR7" s="11">
        <v>9</v>
      </c>
      <c r="AS7" s="11">
        <f t="shared" si="3"/>
        <v>18</v>
      </c>
      <c r="AT7" s="11">
        <v>16</v>
      </c>
      <c r="AU7" s="11">
        <f t="shared" si="3"/>
        <v>32</v>
      </c>
      <c r="AV7" s="11">
        <v>2</v>
      </c>
      <c r="AW7" s="11">
        <f t="shared" si="3"/>
        <v>4</v>
      </c>
      <c r="AX7" s="11">
        <v>6</v>
      </c>
      <c r="AY7" s="11">
        <f t="shared" si="3"/>
        <v>12</v>
      </c>
      <c r="AZ7" s="11">
        <v>3</v>
      </c>
      <c r="BA7" s="11">
        <f t="shared" si="3"/>
        <v>6</v>
      </c>
      <c r="BB7" s="11">
        <v>5</v>
      </c>
      <c r="BC7" s="11">
        <f t="shared" si="4"/>
        <v>10</v>
      </c>
      <c r="BD7" s="11">
        <v>13</v>
      </c>
      <c r="BE7" s="11">
        <f t="shared" si="4"/>
        <v>26</v>
      </c>
      <c r="BF7" s="11">
        <v>13</v>
      </c>
      <c r="BG7" s="11">
        <f t="shared" si="4"/>
        <v>26</v>
      </c>
      <c r="BH7" s="11">
        <v>9</v>
      </c>
      <c r="BI7" s="11">
        <f t="shared" si="4"/>
        <v>18</v>
      </c>
      <c r="BJ7" s="11">
        <v>6</v>
      </c>
      <c r="BK7" s="11">
        <f t="shared" si="4"/>
        <v>12</v>
      </c>
      <c r="BM7" s="11">
        <f t="shared" si="4"/>
        <v>0</v>
      </c>
      <c r="BN7" s="16">
        <f ca="1">SUMIF(D$2:$BM6,BN$2,D7:BM7)</f>
        <v>370</v>
      </c>
      <c r="BO7" s="16">
        <f t="shared" ca="1" si="0"/>
        <v>92.5</v>
      </c>
    </row>
    <row r="8" spans="1:67" ht="15" customHeight="1" x14ac:dyDescent="0.25">
      <c r="A8" s="14" t="s">
        <v>5</v>
      </c>
      <c r="B8" s="7" t="s">
        <v>11</v>
      </c>
      <c r="C8" s="15">
        <v>1</v>
      </c>
      <c r="D8" s="11">
        <v>1</v>
      </c>
      <c r="E8" s="11">
        <f t="shared" si="2"/>
        <v>1</v>
      </c>
      <c r="F8" s="11">
        <v>4</v>
      </c>
      <c r="G8" s="11">
        <f t="shared" si="2"/>
        <v>4</v>
      </c>
      <c r="H8" s="11">
        <v>2</v>
      </c>
      <c r="I8" s="11">
        <f t="shared" si="2"/>
        <v>2</v>
      </c>
      <c r="K8" s="11">
        <f t="shared" si="2"/>
        <v>0</v>
      </c>
      <c r="L8" s="11">
        <v>6</v>
      </c>
      <c r="M8" s="11">
        <f t="shared" si="2"/>
        <v>6</v>
      </c>
      <c r="N8" s="11">
        <v>3</v>
      </c>
      <c r="O8" s="11">
        <f t="shared" si="3"/>
        <v>3</v>
      </c>
      <c r="P8" s="11">
        <v>14</v>
      </c>
      <c r="Q8" s="11">
        <f t="shared" si="3"/>
        <v>14</v>
      </c>
      <c r="R8" s="11">
        <v>7</v>
      </c>
      <c r="S8" s="11">
        <f t="shared" si="3"/>
        <v>7</v>
      </c>
      <c r="T8" s="11">
        <v>2</v>
      </c>
      <c r="U8" s="11">
        <f t="shared" si="3"/>
        <v>2</v>
      </c>
      <c r="V8" s="11">
        <v>1</v>
      </c>
      <c r="W8" s="11">
        <f t="shared" si="3"/>
        <v>1</v>
      </c>
      <c r="X8" s="11">
        <v>6</v>
      </c>
      <c r="Y8" s="11">
        <f t="shared" si="3"/>
        <v>6</v>
      </c>
      <c r="Z8" s="11">
        <v>2</v>
      </c>
      <c r="AA8" s="11">
        <f t="shared" si="3"/>
        <v>2</v>
      </c>
      <c r="AB8" s="11">
        <v>3</v>
      </c>
      <c r="AC8" s="11">
        <f t="shared" si="3"/>
        <v>3</v>
      </c>
      <c r="AD8" s="11">
        <v>6</v>
      </c>
      <c r="AE8" s="11">
        <f t="shared" si="3"/>
        <v>6</v>
      </c>
      <c r="AF8" s="11">
        <v>5</v>
      </c>
      <c r="AG8" s="11">
        <f t="shared" si="3"/>
        <v>5</v>
      </c>
      <c r="AH8" s="11">
        <v>5</v>
      </c>
      <c r="AI8" s="11">
        <f t="shared" si="3"/>
        <v>5</v>
      </c>
      <c r="AJ8" s="11">
        <v>6</v>
      </c>
      <c r="AK8" s="11">
        <f t="shared" si="3"/>
        <v>6</v>
      </c>
      <c r="AL8" s="11">
        <v>3</v>
      </c>
      <c r="AM8" s="11">
        <f t="shared" si="3"/>
        <v>3</v>
      </c>
      <c r="AN8" s="11">
        <v>3</v>
      </c>
      <c r="AO8" s="11">
        <f t="shared" si="3"/>
        <v>3</v>
      </c>
      <c r="AP8" s="11">
        <v>3</v>
      </c>
      <c r="AQ8" s="11">
        <f t="shared" si="3"/>
        <v>3</v>
      </c>
      <c r="AR8" s="11">
        <v>6</v>
      </c>
      <c r="AS8" s="11">
        <f t="shared" si="3"/>
        <v>6</v>
      </c>
      <c r="AT8" s="11">
        <v>3</v>
      </c>
      <c r="AU8" s="11">
        <f t="shared" si="3"/>
        <v>3</v>
      </c>
      <c r="AV8" s="11">
        <v>5</v>
      </c>
      <c r="AW8" s="11">
        <f t="shared" si="3"/>
        <v>5</v>
      </c>
      <c r="AY8" s="11">
        <f t="shared" si="3"/>
        <v>0</v>
      </c>
      <c r="AZ8" s="11">
        <v>4</v>
      </c>
      <c r="BA8" s="11">
        <f t="shared" ref="BA8:BM22" si="5">AZ8*$C8</f>
        <v>4</v>
      </c>
      <c r="BB8" s="11">
        <v>12</v>
      </c>
      <c r="BC8" s="11">
        <f t="shared" si="5"/>
        <v>12</v>
      </c>
      <c r="BD8" s="11">
        <v>5</v>
      </c>
      <c r="BE8" s="11">
        <f t="shared" si="5"/>
        <v>5</v>
      </c>
      <c r="BF8" s="11">
        <v>18</v>
      </c>
      <c r="BG8" s="11">
        <f t="shared" si="5"/>
        <v>18</v>
      </c>
      <c r="BH8" s="11">
        <v>3</v>
      </c>
      <c r="BI8" s="11">
        <f t="shared" si="5"/>
        <v>3</v>
      </c>
      <c r="BK8" s="11">
        <f t="shared" si="5"/>
        <v>0</v>
      </c>
      <c r="BM8" s="11">
        <f t="shared" si="5"/>
        <v>0</v>
      </c>
      <c r="BN8" s="16">
        <f ca="1">SUMIF(D$2:$BM7,BN$2,D8:BM8)</f>
        <v>138</v>
      </c>
      <c r="BO8" s="16">
        <f t="shared" ca="1" si="0"/>
        <v>34.5</v>
      </c>
    </row>
    <row r="9" spans="1:67" ht="15" customHeight="1" x14ac:dyDescent="0.25">
      <c r="A9" s="14" t="s">
        <v>5</v>
      </c>
      <c r="B9" s="7" t="s">
        <v>158</v>
      </c>
      <c r="C9" s="15">
        <v>0.33333000000000002</v>
      </c>
      <c r="D9" s="11">
        <v>7</v>
      </c>
      <c r="E9" s="11">
        <f t="shared" si="2"/>
        <v>2.33331</v>
      </c>
      <c r="G9" s="11">
        <f t="shared" si="2"/>
        <v>0</v>
      </c>
      <c r="H9" s="11">
        <v>1</v>
      </c>
      <c r="I9" s="11">
        <f t="shared" ref="I9" si="6">H9*$C9</f>
        <v>0.33333000000000002</v>
      </c>
      <c r="J9" s="11">
        <v>2</v>
      </c>
      <c r="K9" s="11">
        <f t="shared" ref="K9" si="7">J9*$C9</f>
        <v>0.66666000000000003</v>
      </c>
      <c r="M9" s="11">
        <f t="shared" ref="M9" si="8">L9*$C9</f>
        <v>0</v>
      </c>
      <c r="N9" s="11">
        <v>3</v>
      </c>
      <c r="O9" s="11">
        <f t="shared" si="3"/>
        <v>0.99999000000000005</v>
      </c>
      <c r="P9" s="11">
        <v>1</v>
      </c>
      <c r="Q9" s="11">
        <f t="shared" ref="Q9" si="9">P9*$C9</f>
        <v>0.33333000000000002</v>
      </c>
      <c r="R9" s="11">
        <v>2</v>
      </c>
      <c r="S9" s="11">
        <f t="shared" ref="S9" si="10">R9*$C9</f>
        <v>0.66666000000000003</v>
      </c>
      <c r="T9" s="11">
        <v>1</v>
      </c>
      <c r="U9" s="11">
        <f t="shared" ref="U9" si="11">T9*$C9</f>
        <v>0.33333000000000002</v>
      </c>
      <c r="V9" s="11">
        <v>1</v>
      </c>
      <c r="W9" s="11">
        <f t="shared" ref="W9" si="12">V9*$C9</f>
        <v>0.33333000000000002</v>
      </c>
      <c r="X9" s="11">
        <v>2</v>
      </c>
      <c r="Y9" s="11">
        <f t="shared" ref="Y9" si="13">X9*$C9</f>
        <v>0.66666000000000003</v>
      </c>
      <c r="AA9" s="11">
        <f t="shared" ref="AA9" si="14">Z9*$C9</f>
        <v>0</v>
      </c>
      <c r="AC9" s="11">
        <f t="shared" ref="AC9" si="15">AB9*$C9</f>
        <v>0</v>
      </c>
      <c r="AE9" s="11">
        <f t="shared" ref="AE9" si="16">AD9*$C9</f>
        <v>0</v>
      </c>
      <c r="AG9" s="11">
        <f t="shared" ref="AG9" si="17">AF9*$C9</f>
        <v>0</v>
      </c>
      <c r="AI9" s="11">
        <f t="shared" ref="AI9" si="18">AH9*$C9</f>
        <v>0</v>
      </c>
      <c r="AK9" s="11">
        <f t="shared" ref="AK9" si="19">AJ9*$C9</f>
        <v>0</v>
      </c>
      <c r="AM9" s="11">
        <f t="shared" ref="AM9" si="20">AL9*$C9</f>
        <v>0</v>
      </c>
      <c r="AO9" s="11">
        <f t="shared" ref="AO9" si="21">AN9*$C9</f>
        <v>0</v>
      </c>
      <c r="AQ9" s="11">
        <f t="shared" ref="AQ9" si="22">AP9*$C9</f>
        <v>0</v>
      </c>
      <c r="AS9" s="11">
        <f t="shared" ref="AS9" si="23">AR9*$C9</f>
        <v>0</v>
      </c>
      <c r="AU9" s="11">
        <f t="shared" ref="AU9" si="24">AT9*$C9</f>
        <v>0</v>
      </c>
      <c r="AW9" s="11">
        <f t="shared" ref="AW9" si="25">AV9*$C9</f>
        <v>0</v>
      </c>
      <c r="AY9" s="11">
        <f t="shared" ref="AY9" si="26">AX9*$C9</f>
        <v>0</v>
      </c>
      <c r="BA9" s="11">
        <f t="shared" si="5"/>
        <v>0</v>
      </c>
      <c r="BC9" s="11">
        <f t="shared" si="5"/>
        <v>0</v>
      </c>
      <c r="BE9" s="11">
        <f t="shared" si="5"/>
        <v>0</v>
      </c>
      <c r="BG9" s="11">
        <f t="shared" si="5"/>
        <v>0</v>
      </c>
      <c r="BI9" s="11">
        <f t="shared" si="5"/>
        <v>0</v>
      </c>
      <c r="BK9" s="11">
        <f t="shared" si="5"/>
        <v>0</v>
      </c>
      <c r="BM9" s="11">
        <f t="shared" si="5"/>
        <v>0</v>
      </c>
      <c r="BN9" s="16">
        <f ca="1">SUMIF(D$2:$BM8,BN$2,D9:BM9)</f>
        <v>6.6666000000000016</v>
      </c>
      <c r="BO9" s="16">
        <f t="shared" ca="1" si="0"/>
        <v>1.6666500000000004</v>
      </c>
    </row>
    <row r="10" spans="1:67" ht="15" customHeight="1" x14ac:dyDescent="0.25">
      <c r="A10" s="14" t="s">
        <v>5</v>
      </c>
      <c r="B10" s="7" t="s">
        <v>12</v>
      </c>
      <c r="C10" s="15">
        <v>4</v>
      </c>
      <c r="D10" s="11">
        <v>1</v>
      </c>
      <c r="E10" s="11">
        <f t="shared" si="2"/>
        <v>4</v>
      </c>
      <c r="G10" s="11">
        <f t="shared" si="2"/>
        <v>0</v>
      </c>
      <c r="I10" s="11">
        <f t="shared" si="2"/>
        <v>0</v>
      </c>
      <c r="K10" s="11">
        <f t="shared" si="2"/>
        <v>0</v>
      </c>
      <c r="M10" s="11">
        <f t="shared" si="2"/>
        <v>0</v>
      </c>
      <c r="N10" s="11">
        <v>2</v>
      </c>
      <c r="O10" s="11">
        <f>N10*$C10</f>
        <v>8</v>
      </c>
      <c r="P10" s="11">
        <v>2</v>
      </c>
      <c r="Q10" s="11">
        <f t="shared" si="3"/>
        <v>8</v>
      </c>
      <c r="R10" s="11">
        <v>1</v>
      </c>
      <c r="S10" s="11">
        <f t="shared" si="3"/>
        <v>4</v>
      </c>
      <c r="U10" s="11">
        <f t="shared" si="3"/>
        <v>0</v>
      </c>
      <c r="W10" s="11">
        <f t="shared" si="3"/>
        <v>0</v>
      </c>
      <c r="X10" s="11">
        <v>2</v>
      </c>
      <c r="Y10" s="11">
        <f t="shared" si="3"/>
        <v>8</v>
      </c>
      <c r="AA10" s="11">
        <f t="shared" si="3"/>
        <v>0</v>
      </c>
      <c r="AB10" s="11">
        <v>1</v>
      </c>
      <c r="AC10" s="11">
        <f t="shared" si="3"/>
        <v>4</v>
      </c>
      <c r="AD10" s="11">
        <v>1</v>
      </c>
      <c r="AE10" s="11">
        <f t="shared" si="3"/>
        <v>4</v>
      </c>
      <c r="AF10" s="11">
        <v>3</v>
      </c>
      <c r="AG10" s="11">
        <f t="shared" si="3"/>
        <v>12</v>
      </c>
      <c r="AI10" s="11">
        <f t="shared" si="3"/>
        <v>0</v>
      </c>
      <c r="AJ10" s="11">
        <v>1</v>
      </c>
      <c r="AK10" s="11">
        <f t="shared" si="3"/>
        <v>4</v>
      </c>
      <c r="AL10" s="11">
        <v>3</v>
      </c>
      <c r="AM10" s="11">
        <f t="shared" si="3"/>
        <v>12</v>
      </c>
      <c r="AN10" s="11">
        <v>1</v>
      </c>
      <c r="AO10" s="11">
        <f t="shared" si="3"/>
        <v>4</v>
      </c>
      <c r="AQ10" s="11">
        <f t="shared" si="3"/>
        <v>0</v>
      </c>
      <c r="AR10" s="11">
        <v>1</v>
      </c>
      <c r="AS10" s="11">
        <f t="shared" si="3"/>
        <v>4</v>
      </c>
      <c r="AT10" s="11">
        <v>1</v>
      </c>
      <c r="AU10" s="11">
        <f t="shared" si="3"/>
        <v>4</v>
      </c>
      <c r="AV10" s="11">
        <v>1</v>
      </c>
      <c r="AW10" s="11">
        <f t="shared" si="3"/>
        <v>4</v>
      </c>
      <c r="AY10" s="11">
        <f t="shared" si="3"/>
        <v>0</v>
      </c>
      <c r="AZ10" s="11">
        <v>5</v>
      </c>
      <c r="BA10" s="11">
        <f t="shared" si="5"/>
        <v>20</v>
      </c>
      <c r="BB10" s="11">
        <v>1</v>
      </c>
      <c r="BC10" s="11">
        <f t="shared" si="5"/>
        <v>4</v>
      </c>
      <c r="BE10" s="11">
        <f t="shared" si="5"/>
        <v>0</v>
      </c>
      <c r="BF10" s="11">
        <v>2</v>
      </c>
      <c r="BG10" s="11">
        <f t="shared" si="5"/>
        <v>8</v>
      </c>
      <c r="BH10" s="11">
        <v>3</v>
      </c>
      <c r="BI10" s="11">
        <f t="shared" si="5"/>
        <v>12</v>
      </c>
      <c r="BJ10" s="11">
        <v>1</v>
      </c>
      <c r="BK10" s="11">
        <f t="shared" si="5"/>
        <v>4</v>
      </c>
      <c r="BM10" s="11">
        <f t="shared" si="5"/>
        <v>0</v>
      </c>
      <c r="BN10" s="16">
        <f ca="1">SUMIF(D$2:$BM8,BN$2,D10:BM10)</f>
        <v>132</v>
      </c>
      <c r="BO10" s="16">
        <f t="shared" ca="1" si="0"/>
        <v>33</v>
      </c>
    </row>
    <row r="11" spans="1:67" ht="15" customHeight="1" x14ac:dyDescent="0.25">
      <c r="A11" s="14" t="s">
        <v>5</v>
      </c>
      <c r="B11" s="7" t="s">
        <v>13</v>
      </c>
      <c r="C11" s="15">
        <v>2</v>
      </c>
      <c r="D11" s="11">
        <v>3</v>
      </c>
      <c r="E11" s="11">
        <f t="shared" si="2"/>
        <v>6</v>
      </c>
      <c r="G11" s="11">
        <f t="shared" si="2"/>
        <v>0</v>
      </c>
      <c r="H11" s="11">
        <v>1</v>
      </c>
      <c r="I11" s="11">
        <f t="shared" si="2"/>
        <v>2</v>
      </c>
      <c r="K11" s="11">
        <f t="shared" si="2"/>
        <v>0</v>
      </c>
      <c r="M11" s="11">
        <f t="shared" si="2"/>
        <v>0</v>
      </c>
      <c r="O11" s="11">
        <f t="shared" si="3"/>
        <v>0</v>
      </c>
      <c r="P11" s="11">
        <v>3</v>
      </c>
      <c r="Q11" s="11">
        <f t="shared" si="3"/>
        <v>6</v>
      </c>
      <c r="R11" s="11">
        <v>3</v>
      </c>
      <c r="S11" s="11">
        <f t="shared" si="3"/>
        <v>6</v>
      </c>
      <c r="U11" s="11">
        <f t="shared" si="3"/>
        <v>0</v>
      </c>
      <c r="W11" s="11">
        <f t="shared" si="3"/>
        <v>0</v>
      </c>
      <c r="Y11" s="11">
        <f t="shared" si="3"/>
        <v>0</v>
      </c>
      <c r="AA11" s="11">
        <f t="shared" si="3"/>
        <v>0</v>
      </c>
      <c r="AB11" s="11">
        <v>1</v>
      </c>
      <c r="AC11" s="11">
        <f t="shared" si="3"/>
        <v>2</v>
      </c>
      <c r="AD11" s="11">
        <v>1</v>
      </c>
      <c r="AE11" s="11">
        <f t="shared" si="3"/>
        <v>2</v>
      </c>
      <c r="AF11" s="11">
        <v>5</v>
      </c>
      <c r="AG11" s="11">
        <f t="shared" si="3"/>
        <v>10</v>
      </c>
      <c r="AH11" s="11">
        <v>3</v>
      </c>
      <c r="AI11" s="11">
        <f t="shared" si="3"/>
        <v>6</v>
      </c>
      <c r="AK11" s="11">
        <f t="shared" si="3"/>
        <v>0</v>
      </c>
      <c r="AL11" s="11">
        <v>1</v>
      </c>
      <c r="AM11" s="11">
        <f t="shared" si="3"/>
        <v>2</v>
      </c>
      <c r="AO11" s="11">
        <f t="shared" si="3"/>
        <v>0</v>
      </c>
      <c r="AP11" s="11">
        <v>2</v>
      </c>
      <c r="AQ11" s="11">
        <f t="shared" si="3"/>
        <v>4</v>
      </c>
      <c r="AR11" s="11">
        <v>3</v>
      </c>
      <c r="AS11" s="11">
        <f t="shared" si="3"/>
        <v>6</v>
      </c>
      <c r="AT11" s="11">
        <v>1</v>
      </c>
      <c r="AU11" s="11">
        <f t="shared" si="3"/>
        <v>2</v>
      </c>
      <c r="AV11" s="11">
        <v>1</v>
      </c>
      <c r="AW11" s="11">
        <f t="shared" si="3"/>
        <v>2</v>
      </c>
      <c r="AX11" s="11">
        <v>1</v>
      </c>
      <c r="AY11" s="11">
        <f t="shared" si="3"/>
        <v>2</v>
      </c>
      <c r="AZ11" s="11">
        <v>2</v>
      </c>
      <c r="BA11" s="11">
        <f t="shared" si="5"/>
        <v>4</v>
      </c>
      <c r="BB11" s="11">
        <v>2</v>
      </c>
      <c r="BC11" s="11">
        <f t="shared" si="5"/>
        <v>4</v>
      </c>
      <c r="BD11" s="11">
        <v>2</v>
      </c>
      <c r="BE11" s="11">
        <f t="shared" si="5"/>
        <v>4</v>
      </c>
      <c r="BF11" s="11">
        <v>3</v>
      </c>
      <c r="BG11" s="11">
        <f t="shared" si="5"/>
        <v>6</v>
      </c>
      <c r="BH11" s="11">
        <v>4</v>
      </c>
      <c r="BI11" s="11">
        <f t="shared" si="5"/>
        <v>8</v>
      </c>
      <c r="BJ11" s="11">
        <v>4</v>
      </c>
      <c r="BK11" s="11">
        <f t="shared" si="5"/>
        <v>8</v>
      </c>
      <c r="BM11" s="11">
        <f t="shared" si="5"/>
        <v>0</v>
      </c>
      <c r="BN11" s="16">
        <f ca="1">SUMIF(D$2:$BM10,BN$2,D11:BM11)</f>
        <v>92</v>
      </c>
      <c r="BO11" s="16">
        <f t="shared" ca="1" si="0"/>
        <v>23</v>
      </c>
    </row>
    <row r="12" spans="1:67" ht="15" customHeight="1" x14ac:dyDescent="0.25">
      <c r="A12" s="14" t="s">
        <v>5</v>
      </c>
      <c r="B12" s="7" t="s">
        <v>14</v>
      </c>
      <c r="C12" s="15">
        <v>1</v>
      </c>
      <c r="E12" s="11">
        <f t="shared" si="2"/>
        <v>0</v>
      </c>
      <c r="G12" s="11">
        <f t="shared" si="2"/>
        <v>0</v>
      </c>
      <c r="H12" s="11">
        <v>1</v>
      </c>
      <c r="I12" s="11">
        <f t="shared" si="2"/>
        <v>1</v>
      </c>
      <c r="K12" s="11">
        <f t="shared" si="2"/>
        <v>0</v>
      </c>
      <c r="M12" s="11">
        <f t="shared" si="2"/>
        <v>0</v>
      </c>
      <c r="N12" s="11">
        <v>5</v>
      </c>
      <c r="O12" s="11">
        <f t="shared" si="3"/>
        <v>5</v>
      </c>
      <c r="P12" s="11">
        <v>2</v>
      </c>
      <c r="Q12" s="11">
        <f t="shared" si="3"/>
        <v>2</v>
      </c>
      <c r="R12" s="11">
        <v>2</v>
      </c>
      <c r="S12" s="11">
        <f t="shared" si="3"/>
        <v>2</v>
      </c>
      <c r="T12" s="11">
        <v>3</v>
      </c>
      <c r="U12" s="11">
        <f t="shared" si="3"/>
        <v>3</v>
      </c>
      <c r="W12" s="11">
        <f t="shared" si="3"/>
        <v>0</v>
      </c>
      <c r="Y12" s="11">
        <f t="shared" si="3"/>
        <v>0</v>
      </c>
      <c r="AA12" s="11">
        <f t="shared" si="3"/>
        <v>0</v>
      </c>
      <c r="AC12" s="11">
        <f t="shared" si="3"/>
        <v>0</v>
      </c>
      <c r="AD12" s="11">
        <v>4</v>
      </c>
      <c r="AE12" s="11">
        <f t="shared" si="3"/>
        <v>4</v>
      </c>
      <c r="AG12" s="11">
        <f t="shared" si="3"/>
        <v>0</v>
      </c>
      <c r="AH12" s="11">
        <v>2</v>
      </c>
      <c r="AI12" s="11">
        <f t="shared" si="3"/>
        <v>2</v>
      </c>
      <c r="AJ12" s="11">
        <v>4</v>
      </c>
      <c r="AK12" s="11">
        <f t="shared" si="3"/>
        <v>4</v>
      </c>
      <c r="AL12" s="11">
        <v>2</v>
      </c>
      <c r="AM12" s="11">
        <f t="shared" si="3"/>
        <v>2</v>
      </c>
      <c r="AN12" s="11">
        <v>1</v>
      </c>
      <c r="AO12" s="11">
        <f t="shared" si="3"/>
        <v>1</v>
      </c>
      <c r="AP12" s="11">
        <v>2</v>
      </c>
      <c r="AQ12" s="11">
        <f t="shared" si="3"/>
        <v>2</v>
      </c>
      <c r="AR12" s="11">
        <v>2</v>
      </c>
      <c r="AS12" s="11">
        <f t="shared" si="3"/>
        <v>2</v>
      </c>
      <c r="AT12" s="11">
        <v>4</v>
      </c>
      <c r="AU12" s="11">
        <f t="shared" si="3"/>
        <v>4</v>
      </c>
      <c r="AW12" s="11">
        <f t="shared" si="3"/>
        <v>0</v>
      </c>
      <c r="AX12" s="11">
        <v>1</v>
      </c>
      <c r="AY12" s="11">
        <f t="shared" si="3"/>
        <v>1</v>
      </c>
      <c r="AZ12" s="11">
        <v>1</v>
      </c>
      <c r="BA12" s="11">
        <f t="shared" si="5"/>
        <v>1</v>
      </c>
      <c r="BB12" s="11">
        <v>3</v>
      </c>
      <c r="BC12" s="11">
        <f t="shared" si="5"/>
        <v>3</v>
      </c>
      <c r="BD12" s="11">
        <v>1</v>
      </c>
      <c r="BE12" s="11">
        <f t="shared" si="5"/>
        <v>1</v>
      </c>
      <c r="BG12" s="11">
        <f t="shared" si="5"/>
        <v>0</v>
      </c>
      <c r="BH12" s="11">
        <v>4</v>
      </c>
      <c r="BI12" s="11">
        <f t="shared" si="5"/>
        <v>4</v>
      </c>
      <c r="BJ12" s="11">
        <v>8</v>
      </c>
      <c r="BK12" s="11">
        <f t="shared" si="5"/>
        <v>8</v>
      </c>
      <c r="BM12" s="11">
        <f t="shared" si="5"/>
        <v>0</v>
      </c>
      <c r="BN12" s="16">
        <f ca="1">SUMIF(D$2:$BM11,BN$2,D12:BM12)</f>
        <v>52</v>
      </c>
      <c r="BO12" s="16">
        <f t="shared" ca="1" si="0"/>
        <v>13</v>
      </c>
    </row>
    <row r="13" spans="1:67" ht="15" customHeight="1" x14ac:dyDescent="0.25">
      <c r="A13" s="14" t="s">
        <v>5</v>
      </c>
      <c r="B13" s="7" t="s">
        <v>137</v>
      </c>
      <c r="C13" s="15">
        <v>1</v>
      </c>
      <c r="D13" s="11">
        <v>4</v>
      </c>
      <c r="E13" s="11">
        <f t="shared" ref="E13:BM13" si="27">D13*$C13</f>
        <v>4</v>
      </c>
      <c r="G13" s="11">
        <f t="shared" si="27"/>
        <v>0</v>
      </c>
      <c r="I13" s="11">
        <f t="shared" si="27"/>
        <v>0</v>
      </c>
      <c r="K13" s="11">
        <f t="shared" si="27"/>
        <v>0</v>
      </c>
      <c r="M13" s="11">
        <f t="shared" si="27"/>
        <v>0</v>
      </c>
      <c r="O13" s="11">
        <f t="shared" si="27"/>
        <v>0</v>
      </c>
      <c r="Q13" s="11">
        <f t="shared" si="27"/>
        <v>0</v>
      </c>
      <c r="R13" s="11">
        <v>3</v>
      </c>
      <c r="S13" s="11">
        <f t="shared" si="27"/>
        <v>3</v>
      </c>
      <c r="U13" s="11">
        <f t="shared" si="27"/>
        <v>0</v>
      </c>
      <c r="W13" s="11">
        <f t="shared" si="27"/>
        <v>0</v>
      </c>
      <c r="Y13" s="11">
        <f t="shared" si="27"/>
        <v>0</v>
      </c>
      <c r="AA13" s="11">
        <f t="shared" si="27"/>
        <v>0</v>
      </c>
      <c r="AC13" s="11">
        <f t="shared" si="27"/>
        <v>0</v>
      </c>
      <c r="AE13" s="11">
        <f t="shared" si="27"/>
        <v>0</v>
      </c>
      <c r="AG13" s="11">
        <f t="shared" si="27"/>
        <v>0</v>
      </c>
      <c r="AH13" s="11">
        <v>2</v>
      </c>
      <c r="AI13" s="11">
        <f t="shared" si="27"/>
        <v>2</v>
      </c>
      <c r="AK13" s="11">
        <f t="shared" si="27"/>
        <v>0</v>
      </c>
      <c r="AM13" s="11">
        <f t="shared" si="27"/>
        <v>0</v>
      </c>
      <c r="AO13" s="11">
        <f t="shared" si="27"/>
        <v>0</v>
      </c>
      <c r="AP13" s="11">
        <v>2</v>
      </c>
      <c r="AQ13" s="11">
        <f t="shared" si="27"/>
        <v>2</v>
      </c>
      <c r="AS13" s="11">
        <f t="shared" si="27"/>
        <v>0</v>
      </c>
      <c r="AU13" s="11">
        <f t="shared" si="27"/>
        <v>0</v>
      </c>
      <c r="AW13" s="11">
        <f t="shared" si="27"/>
        <v>0</v>
      </c>
      <c r="AY13" s="11">
        <f t="shared" si="27"/>
        <v>0</v>
      </c>
      <c r="BA13" s="11">
        <f t="shared" si="27"/>
        <v>0</v>
      </c>
      <c r="BC13" s="11">
        <f t="shared" si="27"/>
        <v>0</v>
      </c>
      <c r="BE13" s="11">
        <f t="shared" si="27"/>
        <v>0</v>
      </c>
      <c r="BF13" s="11">
        <v>2</v>
      </c>
      <c r="BG13" s="11">
        <f t="shared" si="27"/>
        <v>2</v>
      </c>
      <c r="BI13" s="11">
        <f t="shared" si="27"/>
        <v>0</v>
      </c>
      <c r="BJ13" s="11">
        <v>2</v>
      </c>
      <c r="BK13" s="11">
        <f t="shared" si="27"/>
        <v>2</v>
      </c>
      <c r="BM13" s="11">
        <f t="shared" si="27"/>
        <v>0</v>
      </c>
      <c r="BN13" s="16">
        <f ca="1">SUMIF(D$2:$BM12,BN$2,D13:BM13)</f>
        <v>15</v>
      </c>
      <c r="BO13" s="16">
        <f t="shared" ref="BO13" ca="1" si="28">BN13/4</f>
        <v>3.75</v>
      </c>
    </row>
    <row r="14" spans="1:67" ht="15" customHeight="1" x14ac:dyDescent="0.25">
      <c r="A14" s="14" t="s">
        <v>5</v>
      </c>
      <c r="B14" s="7" t="s">
        <v>147</v>
      </c>
      <c r="C14" s="15">
        <v>4</v>
      </c>
      <c r="E14" s="11">
        <f t="shared" si="2"/>
        <v>0</v>
      </c>
      <c r="F14" s="11">
        <v>1</v>
      </c>
      <c r="G14" s="11">
        <f>F14*$C14</f>
        <v>4</v>
      </c>
      <c r="I14" s="11">
        <f t="shared" si="2"/>
        <v>0</v>
      </c>
      <c r="K14" s="11">
        <f t="shared" si="2"/>
        <v>0</v>
      </c>
      <c r="M14" s="11">
        <f t="shared" si="2"/>
        <v>0</v>
      </c>
      <c r="O14" s="11">
        <f t="shared" si="3"/>
        <v>0</v>
      </c>
      <c r="Q14" s="11">
        <f t="shared" si="3"/>
        <v>0</v>
      </c>
      <c r="S14" s="11">
        <f t="shared" si="3"/>
        <v>0</v>
      </c>
      <c r="U14" s="11">
        <f t="shared" si="3"/>
        <v>0</v>
      </c>
      <c r="W14" s="11">
        <f t="shared" si="3"/>
        <v>0</v>
      </c>
      <c r="Y14" s="11">
        <f t="shared" si="3"/>
        <v>0</v>
      </c>
      <c r="AA14" s="11">
        <f t="shared" si="3"/>
        <v>0</v>
      </c>
      <c r="AC14" s="11">
        <f t="shared" si="3"/>
        <v>0</v>
      </c>
      <c r="AE14" s="11">
        <f t="shared" si="3"/>
        <v>0</v>
      </c>
      <c r="AG14" s="11">
        <f t="shared" si="3"/>
        <v>0</v>
      </c>
      <c r="AI14" s="11">
        <f t="shared" si="3"/>
        <v>0</v>
      </c>
      <c r="AK14" s="11">
        <f t="shared" si="3"/>
        <v>0</v>
      </c>
      <c r="AM14" s="11">
        <f t="shared" si="3"/>
        <v>0</v>
      </c>
      <c r="AO14" s="11">
        <f t="shared" si="3"/>
        <v>0</v>
      </c>
      <c r="AQ14" s="11">
        <f t="shared" si="3"/>
        <v>0</v>
      </c>
      <c r="AS14" s="11">
        <f t="shared" si="3"/>
        <v>0</v>
      </c>
      <c r="AU14" s="11">
        <f t="shared" si="3"/>
        <v>0</v>
      </c>
      <c r="AW14" s="11">
        <f t="shared" si="3"/>
        <v>0</v>
      </c>
      <c r="AY14" s="11">
        <f t="shared" si="3"/>
        <v>0</v>
      </c>
      <c r="BA14" s="11">
        <f t="shared" si="5"/>
        <v>0</v>
      </c>
      <c r="BC14" s="11">
        <f t="shared" si="5"/>
        <v>0</v>
      </c>
      <c r="BE14" s="11">
        <f t="shared" si="5"/>
        <v>0</v>
      </c>
      <c r="BG14" s="11">
        <f t="shared" si="5"/>
        <v>0</v>
      </c>
      <c r="BH14" s="11">
        <v>1</v>
      </c>
      <c r="BI14" s="11">
        <f t="shared" si="5"/>
        <v>4</v>
      </c>
      <c r="BK14" s="11">
        <f t="shared" si="5"/>
        <v>0</v>
      </c>
      <c r="BM14" s="11">
        <f t="shared" si="5"/>
        <v>0</v>
      </c>
      <c r="BN14" s="16">
        <f ca="1">SUMIF(D$2:$BM12,BN$2,D14:BM14)</f>
        <v>8</v>
      </c>
      <c r="BO14" s="16">
        <f>SUMIF(D$2:BM$2,BO$2,D14:BM14)</f>
        <v>0</v>
      </c>
    </row>
    <row r="15" spans="1:67" ht="15" customHeight="1" x14ac:dyDescent="0.25">
      <c r="A15" s="14" t="s">
        <v>5</v>
      </c>
      <c r="B15" s="17" t="s">
        <v>148</v>
      </c>
      <c r="C15" s="15">
        <v>2</v>
      </c>
      <c r="E15" s="11">
        <f t="shared" si="2"/>
        <v>0</v>
      </c>
      <c r="G15" s="11">
        <f t="shared" si="2"/>
        <v>0</v>
      </c>
      <c r="I15" s="11">
        <f t="shared" si="2"/>
        <v>0</v>
      </c>
      <c r="K15" s="11">
        <f t="shared" si="2"/>
        <v>0</v>
      </c>
      <c r="L15" s="11">
        <v>1</v>
      </c>
      <c r="M15" s="11">
        <f t="shared" ref="M15:U77" si="29">L15*$C15</f>
        <v>2</v>
      </c>
      <c r="N15" s="11">
        <v>1</v>
      </c>
      <c r="O15" s="11">
        <f t="shared" si="29"/>
        <v>2</v>
      </c>
      <c r="P15" s="11">
        <v>1</v>
      </c>
      <c r="Q15" s="11">
        <f t="shared" si="29"/>
        <v>2</v>
      </c>
      <c r="R15" s="11">
        <v>1</v>
      </c>
      <c r="S15" s="11">
        <f t="shared" si="29"/>
        <v>2</v>
      </c>
      <c r="U15" s="11">
        <f t="shared" si="29"/>
        <v>0</v>
      </c>
      <c r="W15" s="11">
        <f t="shared" si="3"/>
        <v>0</v>
      </c>
      <c r="Y15" s="11">
        <f t="shared" si="3"/>
        <v>0</v>
      </c>
      <c r="AA15" s="11">
        <f t="shared" si="3"/>
        <v>0</v>
      </c>
      <c r="AC15" s="11">
        <f t="shared" si="3"/>
        <v>0</v>
      </c>
      <c r="AE15" s="11">
        <f t="shared" si="3"/>
        <v>0</v>
      </c>
      <c r="AG15" s="11">
        <f t="shared" si="3"/>
        <v>0</v>
      </c>
      <c r="AH15" s="11">
        <v>1</v>
      </c>
      <c r="AI15" s="11">
        <f t="shared" si="3"/>
        <v>2</v>
      </c>
      <c r="AK15" s="11">
        <f t="shared" si="3"/>
        <v>0</v>
      </c>
      <c r="AL15" s="11">
        <v>1</v>
      </c>
      <c r="AM15" s="11">
        <f t="shared" si="3"/>
        <v>2</v>
      </c>
      <c r="AO15" s="11">
        <f t="shared" si="3"/>
        <v>0</v>
      </c>
      <c r="AP15" s="11">
        <v>1</v>
      </c>
      <c r="AQ15" s="11">
        <f t="shared" si="3"/>
        <v>2</v>
      </c>
      <c r="AS15" s="11">
        <f t="shared" si="3"/>
        <v>0</v>
      </c>
      <c r="AU15" s="11">
        <f t="shared" si="3"/>
        <v>0</v>
      </c>
      <c r="AW15" s="11">
        <f t="shared" si="3"/>
        <v>0</v>
      </c>
      <c r="AY15" s="11">
        <f t="shared" si="3"/>
        <v>0</v>
      </c>
      <c r="BA15" s="11">
        <f t="shared" si="5"/>
        <v>0</v>
      </c>
      <c r="BC15" s="11">
        <f t="shared" si="5"/>
        <v>0</v>
      </c>
      <c r="BE15" s="11">
        <f t="shared" si="5"/>
        <v>0</v>
      </c>
      <c r="BG15" s="11">
        <f t="shared" si="5"/>
        <v>0</v>
      </c>
      <c r="BH15" s="11">
        <v>1</v>
      </c>
      <c r="BI15" s="11">
        <f t="shared" si="5"/>
        <v>2</v>
      </c>
      <c r="BK15" s="11">
        <f t="shared" si="5"/>
        <v>0</v>
      </c>
      <c r="BM15" s="11">
        <f t="shared" si="5"/>
        <v>0</v>
      </c>
      <c r="BN15" s="16">
        <f ca="1">SUMIF(D$2:$BM14,BN$2,D15:BM15)</f>
        <v>16</v>
      </c>
      <c r="BO15" s="16">
        <f>SUMIF(D$2:BM$2,BO$2,D15:BM15)</f>
        <v>0</v>
      </c>
    </row>
    <row r="16" spans="1:67" ht="15" customHeight="1" x14ac:dyDescent="0.25">
      <c r="A16" s="14" t="s">
        <v>5</v>
      </c>
      <c r="B16" s="17" t="s">
        <v>149</v>
      </c>
      <c r="C16" s="15">
        <v>1</v>
      </c>
      <c r="D16" s="11">
        <v>1</v>
      </c>
      <c r="E16" s="11">
        <f t="shared" si="2"/>
        <v>1</v>
      </c>
      <c r="G16" s="11">
        <f t="shared" si="2"/>
        <v>0</v>
      </c>
      <c r="I16" s="11">
        <f t="shared" si="2"/>
        <v>0</v>
      </c>
      <c r="K16" s="11">
        <f t="shared" si="2"/>
        <v>0</v>
      </c>
      <c r="M16" s="11">
        <f t="shared" si="29"/>
        <v>0</v>
      </c>
      <c r="O16" s="11">
        <f t="shared" si="29"/>
        <v>0</v>
      </c>
      <c r="Q16" s="11">
        <f t="shared" si="29"/>
        <v>0</v>
      </c>
      <c r="R16" s="11">
        <v>1</v>
      </c>
      <c r="S16" s="11">
        <f t="shared" si="29"/>
        <v>1</v>
      </c>
      <c r="T16" s="11">
        <v>1</v>
      </c>
      <c r="U16" s="11">
        <f t="shared" si="29"/>
        <v>1</v>
      </c>
      <c r="W16" s="11">
        <f t="shared" si="3"/>
        <v>0</v>
      </c>
      <c r="Y16" s="11">
        <f t="shared" si="3"/>
        <v>0</v>
      </c>
      <c r="AA16" s="11">
        <f t="shared" si="3"/>
        <v>0</v>
      </c>
      <c r="AB16" s="11">
        <v>1</v>
      </c>
      <c r="AC16" s="11">
        <f t="shared" si="3"/>
        <v>1</v>
      </c>
      <c r="AE16" s="11">
        <f t="shared" si="3"/>
        <v>0</v>
      </c>
      <c r="AG16" s="11">
        <f t="shared" si="3"/>
        <v>0</v>
      </c>
      <c r="AI16" s="11">
        <f t="shared" si="3"/>
        <v>0</v>
      </c>
      <c r="AJ16" s="11">
        <v>2</v>
      </c>
      <c r="AK16" s="11">
        <f t="shared" si="3"/>
        <v>2</v>
      </c>
      <c r="AM16" s="11">
        <f t="shared" si="3"/>
        <v>0</v>
      </c>
      <c r="AO16" s="11">
        <f t="shared" si="3"/>
        <v>0</v>
      </c>
      <c r="AP16" s="11">
        <v>1</v>
      </c>
      <c r="AQ16" s="11">
        <f t="shared" si="3"/>
        <v>1</v>
      </c>
      <c r="AS16" s="11">
        <f t="shared" si="3"/>
        <v>0</v>
      </c>
      <c r="AT16" s="11">
        <v>2</v>
      </c>
      <c r="AU16" s="11">
        <f t="shared" si="3"/>
        <v>2</v>
      </c>
      <c r="AW16" s="11">
        <f t="shared" si="3"/>
        <v>0</v>
      </c>
      <c r="AY16" s="11">
        <f t="shared" si="3"/>
        <v>0</v>
      </c>
      <c r="AZ16" s="11">
        <v>1</v>
      </c>
      <c r="BA16" s="11">
        <f t="shared" si="5"/>
        <v>1</v>
      </c>
      <c r="BC16" s="11">
        <f t="shared" si="5"/>
        <v>0</v>
      </c>
      <c r="BE16" s="11">
        <f t="shared" si="5"/>
        <v>0</v>
      </c>
      <c r="BG16" s="11">
        <f t="shared" si="5"/>
        <v>0</v>
      </c>
      <c r="BI16" s="11">
        <f t="shared" si="5"/>
        <v>0</v>
      </c>
      <c r="BK16" s="11">
        <f t="shared" si="5"/>
        <v>0</v>
      </c>
      <c r="BM16" s="11">
        <f t="shared" si="5"/>
        <v>0</v>
      </c>
      <c r="BN16" s="16">
        <f ca="1">SUMIF(D$2:$BM15,BN$2,D16:BM16)</f>
        <v>10</v>
      </c>
      <c r="BO16" s="16">
        <f>SUMIF(D$2:BM$2,BO$2,D16:BM16)</f>
        <v>0</v>
      </c>
    </row>
    <row r="17" spans="1:67" ht="15" customHeight="1" x14ac:dyDescent="0.25">
      <c r="A17" s="18" t="s">
        <v>15</v>
      </c>
      <c r="B17" s="17" t="s">
        <v>16</v>
      </c>
      <c r="C17" s="19">
        <v>4</v>
      </c>
      <c r="E17" s="11">
        <f t="shared" si="2"/>
        <v>0</v>
      </c>
      <c r="F17" s="11">
        <v>1</v>
      </c>
      <c r="G17" s="11">
        <f t="shared" si="2"/>
        <v>4</v>
      </c>
      <c r="H17" s="11">
        <v>2</v>
      </c>
      <c r="I17" s="11">
        <f t="shared" si="2"/>
        <v>8</v>
      </c>
      <c r="K17" s="11">
        <f t="shared" si="2"/>
        <v>0</v>
      </c>
      <c r="L17" s="11">
        <v>1</v>
      </c>
      <c r="M17" s="11">
        <f t="shared" si="29"/>
        <v>4</v>
      </c>
      <c r="N17" s="11">
        <v>1</v>
      </c>
      <c r="O17" s="11">
        <f t="shared" si="29"/>
        <v>4</v>
      </c>
      <c r="P17" s="11">
        <v>3</v>
      </c>
      <c r="Q17" s="11">
        <f t="shared" si="29"/>
        <v>12</v>
      </c>
      <c r="R17" s="11">
        <v>3</v>
      </c>
      <c r="S17" s="11">
        <f t="shared" si="29"/>
        <v>12</v>
      </c>
      <c r="T17" s="11">
        <v>2</v>
      </c>
      <c r="U17" s="11">
        <f t="shared" si="29"/>
        <v>8</v>
      </c>
      <c r="V17" s="11">
        <v>2</v>
      </c>
      <c r="W17" s="11">
        <f t="shared" si="3"/>
        <v>8</v>
      </c>
      <c r="Y17" s="11">
        <f t="shared" si="3"/>
        <v>0</v>
      </c>
      <c r="Z17" s="11">
        <v>1</v>
      </c>
      <c r="AA17" s="11">
        <f t="shared" si="3"/>
        <v>4</v>
      </c>
      <c r="AB17" s="11">
        <v>2</v>
      </c>
      <c r="AC17" s="11">
        <f t="shared" si="3"/>
        <v>8</v>
      </c>
      <c r="AD17" s="11">
        <v>2</v>
      </c>
      <c r="AE17" s="11">
        <f t="shared" si="3"/>
        <v>8</v>
      </c>
      <c r="AF17" s="11">
        <v>4</v>
      </c>
      <c r="AG17" s="11">
        <f t="shared" si="3"/>
        <v>16</v>
      </c>
      <c r="AH17" s="11">
        <v>4</v>
      </c>
      <c r="AI17" s="11">
        <f t="shared" si="3"/>
        <v>16</v>
      </c>
      <c r="AJ17" s="11">
        <v>1</v>
      </c>
      <c r="AK17" s="11">
        <f t="shared" si="3"/>
        <v>4</v>
      </c>
      <c r="AL17" s="11">
        <v>2</v>
      </c>
      <c r="AM17" s="11">
        <f t="shared" si="3"/>
        <v>8</v>
      </c>
      <c r="AN17" s="11">
        <v>3</v>
      </c>
      <c r="AO17" s="11">
        <f t="shared" si="3"/>
        <v>12</v>
      </c>
      <c r="AP17" s="11">
        <v>1</v>
      </c>
      <c r="AQ17" s="11">
        <f t="shared" si="3"/>
        <v>4</v>
      </c>
      <c r="AR17" s="11">
        <v>2</v>
      </c>
      <c r="AS17" s="11">
        <f t="shared" si="3"/>
        <v>8</v>
      </c>
      <c r="AT17" s="11">
        <v>3</v>
      </c>
      <c r="AU17" s="11">
        <f t="shared" si="3"/>
        <v>12</v>
      </c>
      <c r="AW17" s="11">
        <f t="shared" si="3"/>
        <v>0</v>
      </c>
      <c r="AX17" s="11">
        <v>2</v>
      </c>
      <c r="AY17" s="11">
        <f t="shared" si="3"/>
        <v>8</v>
      </c>
      <c r="AZ17" s="11">
        <v>1</v>
      </c>
      <c r="BA17" s="11">
        <f t="shared" si="5"/>
        <v>4</v>
      </c>
      <c r="BB17" s="11">
        <v>3</v>
      </c>
      <c r="BC17" s="11">
        <f t="shared" si="5"/>
        <v>12</v>
      </c>
      <c r="BD17" s="11">
        <v>4</v>
      </c>
      <c r="BE17" s="11">
        <f t="shared" si="5"/>
        <v>16</v>
      </c>
      <c r="BF17" s="11">
        <v>2</v>
      </c>
      <c r="BG17" s="11">
        <f t="shared" si="5"/>
        <v>8</v>
      </c>
      <c r="BH17" s="11">
        <v>1</v>
      </c>
      <c r="BI17" s="11">
        <f t="shared" si="5"/>
        <v>4</v>
      </c>
      <c r="BJ17" s="11">
        <v>3</v>
      </c>
      <c r="BK17" s="11">
        <f t="shared" si="5"/>
        <v>12</v>
      </c>
      <c r="BM17" s="11">
        <f t="shared" si="5"/>
        <v>0</v>
      </c>
      <c r="BN17" s="16">
        <f ca="1">SUMIF(D$2:$BM16,BN$2,D17:BM17)</f>
        <v>224</v>
      </c>
      <c r="BO17" s="16">
        <f t="shared" ref="BO17:BO28" ca="1" si="30">BN17/4</f>
        <v>56</v>
      </c>
    </row>
    <row r="18" spans="1:67" ht="15" customHeight="1" x14ac:dyDescent="0.25">
      <c r="A18" s="18" t="s">
        <v>15</v>
      </c>
      <c r="B18" s="17" t="s">
        <v>17</v>
      </c>
      <c r="C18" s="15">
        <v>2</v>
      </c>
      <c r="D18" s="11">
        <v>2</v>
      </c>
      <c r="E18" s="11">
        <f t="shared" si="2"/>
        <v>4</v>
      </c>
      <c r="G18" s="11">
        <f t="shared" si="2"/>
        <v>0</v>
      </c>
      <c r="H18" s="11">
        <v>2</v>
      </c>
      <c r="I18" s="11">
        <f t="shared" si="2"/>
        <v>4</v>
      </c>
      <c r="J18" s="11">
        <v>1</v>
      </c>
      <c r="K18" s="11">
        <f t="shared" si="2"/>
        <v>2</v>
      </c>
      <c r="L18" s="11">
        <v>2</v>
      </c>
      <c r="M18" s="11">
        <f t="shared" si="29"/>
        <v>4</v>
      </c>
      <c r="N18" s="11">
        <v>3</v>
      </c>
      <c r="O18" s="11">
        <f t="shared" si="29"/>
        <v>6</v>
      </c>
      <c r="P18" s="11">
        <v>2</v>
      </c>
      <c r="Q18" s="11">
        <f t="shared" si="29"/>
        <v>4</v>
      </c>
      <c r="R18" s="11">
        <v>1</v>
      </c>
      <c r="S18" s="11">
        <f t="shared" si="29"/>
        <v>2</v>
      </c>
      <c r="T18" s="11">
        <v>1</v>
      </c>
      <c r="U18" s="11">
        <f t="shared" si="29"/>
        <v>2</v>
      </c>
      <c r="V18" s="11">
        <v>5</v>
      </c>
      <c r="W18" s="11">
        <f t="shared" si="3"/>
        <v>10</v>
      </c>
      <c r="X18" s="11">
        <v>1</v>
      </c>
      <c r="Y18" s="11">
        <f t="shared" si="3"/>
        <v>2</v>
      </c>
      <c r="Z18" s="11">
        <v>3</v>
      </c>
      <c r="AA18" s="11">
        <f t="shared" si="3"/>
        <v>6</v>
      </c>
      <c r="AB18" s="11">
        <v>2</v>
      </c>
      <c r="AC18" s="11">
        <f t="shared" si="3"/>
        <v>4</v>
      </c>
      <c r="AD18" s="11">
        <v>3</v>
      </c>
      <c r="AE18" s="11">
        <f t="shared" si="3"/>
        <v>6</v>
      </c>
      <c r="AF18" s="11">
        <v>5</v>
      </c>
      <c r="AG18" s="11">
        <f t="shared" si="3"/>
        <v>10</v>
      </c>
      <c r="AH18" s="11">
        <v>2</v>
      </c>
      <c r="AI18" s="11">
        <f t="shared" si="3"/>
        <v>4</v>
      </c>
      <c r="AJ18" s="11">
        <v>2</v>
      </c>
      <c r="AK18" s="11">
        <f t="shared" si="3"/>
        <v>4</v>
      </c>
      <c r="AL18" s="11">
        <v>3</v>
      </c>
      <c r="AM18" s="11">
        <f t="shared" si="3"/>
        <v>6</v>
      </c>
      <c r="AN18" s="11">
        <v>4</v>
      </c>
      <c r="AO18" s="11">
        <f t="shared" si="3"/>
        <v>8</v>
      </c>
      <c r="AP18" s="11">
        <v>4</v>
      </c>
      <c r="AQ18" s="11">
        <f t="shared" si="3"/>
        <v>8</v>
      </c>
      <c r="AR18" s="11">
        <v>4</v>
      </c>
      <c r="AS18" s="11">
        <f t="shared" si="3"/>
        <v>8</v>
      </c>
      <c r="AT18" s="11">
        <v>3</v>
      </c>
      <c r="AU18" s="11">
        <f t="shared" si="3"/>
        <v>6</v>
      </c>
      <c r="AV18" s="11">
        <v>4</v>
      </c>
      <c r="AW18" s="11">
        <f t="shared" si="3"/>
        <v>8</v>
      </c>
      <c r="AX18" s="11">
        <v>4</v>
      </c>
      <c r="AY18" s="11">
        <f t="shared" si="3"/>
        <v>8</v>
      </c>
      <c r="AZ18" s="11">
        <v>2</v>
      </c>
      <c r="BA18" s="11">
        <f t="shared" si="5"/>
        <v>4</v>
      </c>
      <c r="BC18" s="11">
        <f t="shared" si="5"/>
        <v>0</v>
      </c>
      <c r="BD18" s="11">
        <v>1</v>
      </c>
      <c r="BE18" s="11">
        <f t="shared" si="5"/>
        <v>2</v>
      </c>
      <c r="BF18" s="11">
        <v>4</v>
      </c>
      <c r="BG18" s="11">
        <f t="shared" si="5"/>
        <v>8</v>
      </c>
      <c r="BH18" s="11">
        <v>4</v>
      </c>
      <c r="BI18" s="11">
        <f t="shared" si="5"/>
        <v>8</v>
      </c>
      <c r="BJ18" s="11">
        <v>2</v>
      </c>
      <c r="BK18" s="11">
        <f t="shared" si="5"/>
        <v>4</v>
      </c>
      <c r="BM18" s="11">
        <f t="shared" si="5"/>
        <v>0</v>
      </c>
      <c r="BN18" s="16">
        <f ca="1">SUMIF(D$2:$BM17,BN$2,D18:BM18)</f>
        <v>152</v>
      </c>
      <c r="BO18" s="16">
        <f t="shared" ca="1" si="30"/>
        <v>38</v>
      </c>
    </row>
    <row r="19" spans="1:67" ht="15" customHeight="1" x14ac:dyDescent="0.25">
      <c r="A19" s="18" t="s">
        <v>15</v>
      </c>
      <c r="B19" s="17" t="s">
        <v>18</v>
      </c>
      <c r="C19" s="15">
        <v>1</v>
      </c>
      <c r="D19" s="11">
        <v>2</v>
      </c>
      <c r="E19" s="11">
        <f t="shared" si="2"/>
        <v>2</v>
      </c>
      <c r="G19" s="11">
        <f t="shared" si="2"/>
        <v>0</v>
      </c>
      <c r="I19" s="11">
        <f t="shared" si="2"/>
        <v>0</v>
      </c>
      <c r="J19" s="11">
        <v>1</v>
      </c>
      <c r="K19" s="11">
        <f t="shared" si="2"/>
        <v>1</v>
      </c>
      <c r="L19" s="11">
        <v>1</v>
      </c>
      <c r="M19" s="11">
        <f t="shared" si="29"/>
        <v>1</v>
      </c>
      <c r="O19" s="11">
        <f t="shared" si="29"/>
        <v>0</v>
      </c>
      <c r="P19" s="11">
        <v>1</v>
      </c>
      <c r="Q19" s="11">
        <f t="shared" si="29"/>
        <v>1</v>
      </c>
      <c r="R19" s="11">
        <v>1</v>
      </c>
      <c r="S19" s="11">
        <f t="shared" si="29"/>
        <v>1</v>
      </c>
      <c r="U19" s="11">
        <f t="shared" si="29"/>
        <v>0</v>
      </c>
      <c r="V19" s="11">
        <v>1</v>
      </c>
      <c r="W19" s="11">
        <f t="shared" si="3"/>
        <v>1</v>
      </c>
      <c r="X19" s="11">
        <v>2</v>
      </c>
      <c r="Y19" s="11">
        <f t="shared" si="3"/>
        <v>2</v>
      </c>
      <c r="Z19" s="11">
        <v>2</v>
      </c>
      <c r="AA19" s="11">
        <f t="shared" si="3"/>
        <v>2</v>
      </c>
      <c r="AB19" s="11">
        <v>2</v>
      </c>
      <c r="AC19" s="11">
        <f t="shared" si="3"/>
        <v>2</v>
      </c>
      <c r="AD19" s="11">
        <v>1</v>
      </c>
      <c r="AE19" s="11">
        <f t="shared" si="3"/>
        <v>1</v>
      </c>
      <c r="AF19" s="11">
        <v>2</v>
      </c>
      <c r="AG19" s="11">
        <f t="shared" si="3"/>
        <v>2</v>
      </c>
      <c r="AH19" s="11">
        <v>1</v>
      </c>
      <c r="AI19" s="11">
        <f t="shared" si="3"/>
        <v>1</v>
      </c>
      <c r="AJ19" s="11">
        <v>1</v>
      </c>
      <c r="AK19" s="11">
        <f t="shared" si="3"/>
        <v>1</v>
      </c>
      <c r="AM19" s="11">
        <f t="shared" si="3"/>
        <v>0</v>
      </c>
      <c r="AN19" s="11">
        <v>3</v>
      </c>
      <c r="AO19" s="11">
        <f t="shared" si="3"/>
        <v>3</v>
      </c>
      <c r="AP19" s="11">
        <v>2</v>
      </c>
      <c r="AQ19" s="11">
        <f t="shared" si="3"/>
        <v>2</v>
      </c>
      <c r="AR19" s="11">
        <v>3</v>
      </c>
      <c r="AS19" s="11">
        <f t="shared" si="3"/>
        <v>3</v>
      </c>
      <c r="AT19" s="11">
        <v>5</v>
      </c>
      <c r="AU19" s="11">
        <f t="shared" si="3"/>
        <v>5</v>
      </c>
      <c r="AV19" s="11">
        <v>2</v>
      </c>
      <c r="AW19" s="11">
        <f t="shared" si="3"/>
        <v>2</v>
      </c>
      <c r="AX19" s="11">
        <v>2</v>
      </c>
      <c r="AY19" s="11">
        <f t="shared" si="3"/>
        <v>2</v>
      </c>
      <c r="BA19" s="11">
        <f t="shared" si="5"/>
        <v>0</v>
      </c>
      <c r="BC19" s="11">
        <f t="shared" si="5"/>
        <v>0</v>
      </c>
      <c r="BD19" s="11">
        <v>2</v>
      </c>
      <c r="BE19" s="11">
        <f t="shared" si="5"/>
        <v>2</v>
      </c>
      <c r="BF19" s="11">
        <v>4</v>
      </c>
      <c r="BG19" s="11">
        <f t="shared" si="5"/>
        <v>4</v>
      </c>
      <c r="BH19" s="11">
        <v>1</v>
      </c>
      <c r="BI19" s="11">
        <f t="shared" si="5"/>
        <v>1</v>
      </c>
      <c r="BJ19" s="11">
        <v>3</v>
      </c>
      <c r="BK19" s="11">
        <f t="shared" si="5"/>
        <v>3</v>
      </c>
      <c r="BM19" s="11">
        <f t="shared" si="5"/>
        <v>0</v>
      </c>
      <c r="BN19" s="16">
        <f ca="1">SUMIF(D$2:$BM18,BN$2,D19:BM19)</f>
        <v>45</v>
      </c>
      <c r="BO19" s="16">
        <f t="shared" ca="1" si="30"/>
        <v>11.25</v>
      </c>
    </row>
    <row r="20" spans="1:67" ht="15" customHeight="1" x14ac:dyDescent="0.25">
      <c r="A20" s="18" t="s">
        <v>15</v>
      </c>
      <c r="B20" s="17" t="s">
        <v>19</v>
      </c>
      <c r="C20" s="15">
        <v>4</v>
      </c>
      <c r="E20" s="11">
        <f t="shared" si="2"/>
        <v>0</v>
      </c>
      <c r="F20" s="11">
        <v>1</v>
      </c>
      <c r="G20" s="11">
        <f t="shared" si="2"/>
        <v>4</v>
      </c>
      <c r="H20" s="11">
        <v>1</v>
      </c>
      <c r="I20" s="11">
        <f t="shared" si="2"/>
        <v>4</v>
      </c>
      <c r="J20" s="11">
        <v>2</v>
      </c>
      <c r="K20" s="11">
        <f t="shared" si="2"/>
        <v>8</v>
      </c>
      <c r="M20" s="11">
        <f t="shared" si="29"/>
        <v>0</v>
      </c>
      <c r="N20" s="11">
        <v>1</v>
      </c>
      <c r="O20" s="11">
        <f t="shared" si="29"/>
        <v>4</v>
      </c>
      <c r="P20" s="11">
        <v>4</v>
      </c>
      <c r="Q20" s="11">
        <f t="shared" si="29"/>
        <v>16</v>
      </c>
      <c r="R20" s="11">
        <v>1</v>
      </c>
      <c r="S20" s="11">
        <f t="shared" si="29"/>
        <v>4</v>
      </c>
      <c r="U20" s="11">
        <f t="shared" si="29"/>
        <v>0</v>
      </c>
      <c r="W20" s="11">
        <f t="shared" si="3"/>
        <v>0</v>
      </c>
      <c r="Y20" s="11">
        <f t="shared" si="3"/>
        <v>0</v>
      </c>
      <c r="Z20" s="11">
        <v>2</v>
      </c>
      <c r="AA20" s="11">
        <f t="shared" si="3"/>
        <v>8</v>
      </c>
      <c r="AB20" s="11">
        <v>1</v>
      </c>
      <c r="AC20" s="11">
        <f t="shared" si="3"/>
        <v>4</v>
      </c>
      <c r="AD20" s="11">
        <v>2</v>
      </c>
      <c r="AE20" s="11">
        <f t="shared" si="3"/>
        <v>8</v>
      </c>
      <c r="AF20" s="11">
        <v>4</v>
      </c>
      <c r="AG20" s="11">
        <f t="shared" si="3"/>
        <v>16</v>
      </c>
      <c r="AH20" s="11">
        <v>3</v>
      </c>
      <c r="AI20" s="11">
        <f t="shared" si="3"/>
        <v>12</v>
      </c>
      <c r="AJ20" s="11">
        <v>1</v>
      </c>
      <c r="AK20" s="11">
        <f t="shared" si="3"/>
        <v>4</v>
      </c>
      <c r="AL20" s="11">
        <v>2</v>
      </c>
      <c r="AM20" s="11">
        <f t="shared" si="3"/>
        <v>8</v>
      </c>
      <c r="AO20" s="11">
        <f t="shared" si="3"/>
        <v>0</v>
      </c>
      <c r="AP20" s="11">
        <v>1</v>
      </c>
      <c r="AQ20" s="11">
        <f t="shared" si="3"/>
        <v>4</v>
      </c>
      <c r="AR20" s="11">
        <v>2</v>
      </c>
      <c r="AS20" s="11">
        <f t="shared" si="3"/>
        <v>8</v>
      </c>
      <c r="AT20" s="11">
        <v>1</v>
      </c>
      <c r="AU20" s="11">
        <f t="shared" si="3"/>
        <v>4</v>
      </c>
      <c r="AV20" s="11">
        <v>4</v>
      </c>
      <c r="AW20" s="11">
        <f t="shared" si="3"/>
        <v>16</v>
      </c>
      <c r="AY20" s="11">
        <f t="shared" si="3"/>
        <v>0</v>
      </c>
      <c r="BA20" s="11">
        <f t="shared" si="5"/>
        <v>0</v>
      </c>
      <c r="BB20" s="11">
        <v>4</v>
      </c>
      <c r="BC20" s="11">
        <f t="shared" si="5"/>
        <v>16</v>
      </c>
      <c r="BE20" s="11">
        <f t="shared" si="5"/>
        <v>0</v>
      </c>
      <c r="BF20" s="11">
        <v>3</v>
      </c>
      <c r="BG20" s="11">
        <f t="shared" si="5"/>
        <v>12</v>
      </c>
      <c r="BH20" s="11">
        <v>2</v>
      </c>
      <c r="BI20" s="11">
        <f t="shared" si="5"/>
        <v>8</v>
      </c>
      <c r="BJ20" s="11">
        <v>2</v>
      </c>
      <c r="BK20" s="11">
        <f t="shared" si="5"/>
        <v>8</v>
      </c>
      <c r="BM20" s="11">
        <f t="shared" si="5"/>
        <v>0</v>
      </c>
      <c r="BN20" s="16">
        <f ca="1">SUMIF(D$2:$BM19,BN$2,D20:BM20)</f>
        <v>176</v>
      </c>
      <c r="BO20" s="16">
        <f t="shared" ca="1" si="30"/>
        <v>44</v>
      </c>
    </row>
    <row r="21" spans="1:67" ht="15" customHeight="1" x14ac:dyDescent="0.25">
      <c r="A21" s="18" t="s">
        <v>15</v>
      </c>
      <c r="B21" s="17" t="s">
        <v>20</v>
      </c>
      <c r="C21" s="15">
        <v>2</v>
      </c>
      <c r="E21" s="11">
        <f t="shared" si="2"/>
        <v>0</v>
      </c>
      <c r="F21" s="11">
        <v>2</v>
      </c>
      <c r="G21" s="11">
        <f t="shared" si="2"/>
        <v>4</v>
      </c>
      <c r="H21" s="11">
        <v>1</v>
      </c>
      <c r="I21" s="11">
        <f t="shared" si="2"/>
        <v>2</v>
      </c>
      <c r="J21" s="11">
        <v>1</v>
      </c>
      <c r="K21" s="11">
        <f t="shared" si="2"/>
        <v>2</v>
      </c>
      <c r="L21" s="11">
        <v>1</v>
      </c>
      <c r="M21" s="11">
        <f t="shared" si="29"/>
        <v>2</v>
      </c>
      <c r="O21" s="11">
        <f t="shared" si="29"/>
        <v>0</v>
      </c>
      <c r="P21" s="11">
        <v>2</v>
      </c>
      <c r="Q21" s="11">
        <f t="shared" si="29"/>
        <v>4</v>
      </c>
      <c r="S21" s="11">
        <f t="shared" si="29"/>
        <v>0</v>
      </c>
      <c r="T21" s="11">
        <v>2</v>
      </c>
      <c r="U21" s="11">
        <f t="shared" si="29"/>
        <v>4</v>
      </c>
      <c r="W21" s="11">
        <f t="shared" si="3"/>
        <v>0</v>
      </c>
      <c r="X21" s="11">
        <v>2</v>
      </c>
      <c r="Y21" s="11">
        <f t="shared" si="3"/>
        <v>4</v>
      </c>
      <c r="AA21" s="11">
        <f t="shared" si="3"/>
        <v>0</v>
      </c>
      <c r="AB21" s="11">
        <v>1</v>
      </c>
      <c r="AC21" s="11">
        <f t="shared" si="3"/>
        <v>2</v>
      </c>
      <c r="AD21" s="11">
        <v>2</v>
      </c>
      <c r="AE21" s="11">
        <f t="shared" si="3"/>
        <v>4</v>
      </c>
      <c r="AG21" s="11">
        <f t="shared" si="3"/>
        <v>0</v>
      </c>
      <c r="AH21" s="11">
        <v>2</v>
      </c>
      <c r="AI21" s="11">
        <f t="shared" si="3"/>
        <v>4</v>
      </c>
      <c r="AJ21" s="11">
        <v>1</v>
      </c>
      <c r="AK21" s="11">
        <f t="shared" si="3"/>
        <v>2</v>
      </c>
      <c r="AM21" s="11">
        <f t="shared" si="3"/>
        <v>0</v>
      </c>
      <c r="AN21" s="11">
        <v>3</v>
      </c>
      <c r="AO21" s="11">
        <f t="shared" si="3"/>
        <v>6</v>
      </c>
      <c r="AP21" s="11">
        <v>2</v>
      </c>
      <c r="AQ21" s="11">
        <f t="shared" si="3"/>
        <v>4</v>
      </c>
      <c r="AR21" s="11">
        <v>2</v>
      </c>
      <c r="AS21" s="11">
        <f t="shared" si="3"/>
        <v>4</v>
      </c>
      <c r="AT21" s="11">
        <v>1</v>
      </c>
      <c r="AU21" s="11">
        <f t="shared" si="3"/>
        <v>2</v>
      </c>
      <c r="AV21" s="11">
        <v>1</v>
      </c>
      <c r="AW21" s="11">
        <f t="shared" si="3"/>
        <v>2</v>
      </c>
      <c r="AX21" s="11">
        <v>2</v>
      </c>
      <c r="AY21" s="11">
        <f t="shared" si="3"/>
        <v>4</v>
      </c>
      <c r="AZ21" s="11">
        <v>3</v>
      </c>
      <c r="BA21" s="11">
        <f t="shared" si="5"/>
        <v>6</v>
      </c>
      <c r="BB21" s="11">
        <v>1</v>
      </c>
      <c r="BC21" s="11">
        <f t="shared" si="5"/>
        <v>2</v>
      </c>
      <c r="BE21" s="11">
        <f t="shared" si="5"/>
        <v>0</v>
      </c>
      <c r="BF21" s="11">
        <v>2</v>
      </c>
      <c r="BG21" s="11">
        <f t="shared" si="5"/>
        <v>4</v>
      </c>
      <c r="BH21" s="11">
        <v>2</v>
      </c>
      <c r="BI21" s="11">
        <f t="shared" si="5"/>
        <v>4</v>
      </c>
      <c r="BJ21" s="11">
        <v>1</v>
      </c>
      <c r="BK21" s="11">
        <f t="shared" si="5"/>
        <v>2</v>
      </c>
      <c r="BM21" s="11">
        <f t="shared" si="5"/>
        <v>0</v>
      </c>
      <c r="BN21" s="16">
        <f ca="1">SUMIF(D$2:$BM20,BN$2,D21:BM21)</f>
        <v>74</v>
      </c>
      <c r="BO21" s="16">
        <f t="shared" ca="1" si="30"/>
        <v>18.5</v>
      </c>
    </row>
    <row r="22" spans="1:67" ht="15" customHeight="1" x14ac:dyDescent="0.25">
      <c r="A22" s="18" t="s">
        <v>15</v>
      </c>
      <c r="B22" s="17" t="s">
        <v>21</v>
      </c>
      <c r="C22" s="15">
        <v>1</v>
      </c>
      <c r="D22" s="11">
        <v>1</v>
      </c>
      <c r="E22" s="11">
        <f t="shared" si="2"/>
        <v>1</v>
      </c>
      <c r="F22" s="11">
        <v>1</v>
      </c>
      <c r="G22" s="11">
        <f t="shared" si="2"/>
        <v>1</v>
      </c>
      <c r="I22" s="11">
        <f t="shared" si="2"/>
        <v>0</v>
      </c>
      <c r="J22" s="11">
        <v>2</v>
      </c>
      <c r="K22" s="11">
        <f t="shared" si="2"/>
        <v>2</v>
      </c>
      <c r="M22" s="11">
        <f t="shared" si="29"/>
        <v>0</v>
      </c>
      <c r="N22" s="11">
        <v>1</v>
      </c>
      <c r="O22" s="11">
        <f t="shared" si="29"/>
        <v>1</v>
      </c>
      <c r="P22" s="11">
        <v>1</v>
      </c>
      <c r="Q22" s="11">
        <f t="shared" si="29"/>
        <v>1</v>
      </c>
      <c r="R22" s="11">
        <v>1</v>
      </c>
      <c r="S22" s="11">
        <f t="shared" si="29"/>
        <v>1</v>
      </c>
      <c r="T22" s="11">
        <v>1</v>
      </c>
      <c r="U22" s="11">
        <f t="shared" si="29"/>
        <v>1</v>
      </c>
      <c r="W22" s="11">
        <f t="shared" si="3"/>
        <v>0</v>
      </c>
      <c r="X22" s="11">
        <v>1</v>
      </c>
      <c r="Y22" s="11">
        <f t="shared" si="3"/>
        <v>1</v>
      </c>
      <c r="Z22" s="11">
        <v>2</v>
      </c>
      <c r="AA22" s="11">
        <f t="shared" si="3"/>
        <v>2</v>
      </c>
      <c r="AB22" s="11">
        <v>1</v>
      </c>
      <c r="AC22" s="11">
        <f t="shared" si="3"/>
        <v>1</v>
      </c>
      <c r="AD22" s="11">
        <v>2</v>
      </c>
      <c r="AE22" s="11">
        <f t="shared" si="3"/>
        <v>2</v>
      </c>
      <c r="AF22" s="11">
        <v>3</v>
      </c>
      <c r="AG22" s="11">
        <f t="shared" si="3"/>
        <v>3</v>
      </c>
      <c r="AH22" s="11">
        <v>1</v>
      </c>
      <c r="AI22" s="11">
        <f t="shared" si="3"/>
        <v>1</v>
      </c>
      <c r="AJ22" s="11">
        <v>5</v>
      </c>
      <c r="AK22" s="11">
        <f t="shared" si="3"/>
        <v>5</v>
      </c>
      <c r="AL22" s="11">
        <v>3</v>
      </c>
      <c r="AM22" s="11">
        <f t="shared" si="3"/>
        <v>3</v>
      </c>
      <c r="AN22" s="11">
        <v>2</v>
      </c>
      <c r="AO22" s="11">
        <f t="shared" si="3"/>
        <v>2</v>
      </c>
      <c r="AQ22" s="11">
        <f t="shared" si="3"/>
        <v>0</v>
      </c>
      <c r="AR22" s="11">
        <v>1</v>
      </c>
      <c r="AS22" s="11">
        <f t="shared" si="3"/>
        <v>1</v>
      </c>
      <c r="AT22" s="11">
        <v>1</v>
      </c>
      <c r="AU22" s="11">
        <f t="shared" si="3"/>
        <v>1</v>
      </c>
      <c r="AV22" s="11">
        <v>3</v>
      </c>
      <c r="AW22" s="11">
        <f t="shared" si="3"/>
        <v>3</v>
      </c>
      <c r="AX22" s="11">
        <v>4</v>
      </c>
      <c r="AY22" s="11">
        <f t="shared" si="3"/>
        <v>4</v>
      </c>
      <c r="BA22" s="11">
        <f t="shared" si="5"/>
        <v>0</v>
      </c>
      <c r="BB22" s="11">
        <v>1</v>
      </c>
      <c r="BC22" s="11">
        <f t="shared" si="5"/>
        <v>1</v>
      </c>
      <c r="BD22" s="11">
        <v>1</v>
      </c>
      <c r="BE22" s="11">
        <f t="shared" si="5"/>
        <v>1</v>
      </c>
      <c r="BF22" s="11">
        <v>2</v>
      </c>
      <c r="BG22" s="11">
        <f t="shared" si="5"/>
        <v>2</v>
      </c>
      <c r="BH22" s="11">
        <v>1</v>
      </c>
      <c r="BI22" s="11">
        <f t="shared" si="5"/>
        <v>1</v>
      </c>
      <c r="BK22" s="11">
        <f t="shared" si="5"/>
        <v>0</v>
      </c>
      <c r="BM22" s="11">
        <f t="shared" si="5"/>
        <v>0</v>
      </c>
      <c r="BN22" s="16">
        <f ca="1">SUMIF(D$2:$BM21,BN$2,D22:BM22)</f>
        <v>42</v>
      </c>
      <c r="BO22" s="16">
        <f t="shared" ca="1" si="30"/>
        <v>10.5</v>
      </c>
    </row>
    <row r="23" spans="1:67" ht="15" customHeight="1" x14ac:dyDescent="0.25">
      <c r="A23" s="18" t="s">
        <v>15</v>
      </c>
      <c r="B23" s="17" t="s">
        <v>22</v>
      </c>
      <c r="C23" s="15">
        <v>4</v>
      </c>
      <c r="E23" s="11">
        <f t="shared" si="2"/>
        <v>0</v>
      </c>
      <c r="G23" s="11">
        <f t="shared" si="2"/>
        <v>0</v>
      </c>
      <c r="I23" s="11">
        <f t="shared" si="2"/>
        <v>0</v>
      </c>
      <c r="K23" s="11">
        <f t="shared" si="2"/>
        <v>0</v>
      </c>
      <c r="M23" s="11">
        <f t="shared" si="29"/>
        <v>0</v>
      </c>
      <c r="N23" s="11">
        <v>1</v>
      </c>
      <c r="O23" s="11">
        <f t="shared" si="29"/>
        <v>4</v>
      </c>
      <c r="Q23" s="11">
        <f t="shared" si="29"/>
        <v>0</v>
      </c>
      <c r="S23" s="11">
        <f t="shared" si="29"/>
        <v>0</v>
      </c>
      <c r="U23" s="11">
        <f t="shared" si="29"/>
        <v>0</v>
      </c>
      <c r="W23" s="11">
        <f t="shared" ref="W23:AO52" si="31">V23*$C23</f>
        <v>0</v>
      </c>
      <c r="Y23" s="11">
        <f t="shared" si="31"/>
        <v>0</v>
      </c>
      <c r="AA23" s="11">
        <f t="shared" si="31"/>
        <v>0</v>
      </c>
      <c r="AC23" s="11">
        <f t="shared" si="31"/>
        <v>0</v>
      </c>
      <c r="AE23" s="11">
        <f t="shared" si="31"/>
        <v>0</v>
      </c>
      <c r="AG23" s="11">
        <f t="shared" si="31"/>
        <v>0</v>
      </c>
      <c r="AI23" s="11">
        <f t="shared" si="31"/>
        <v>0</v>
      </c>
      <c r="AK23" s="11">
        <f t="shared" si="31"/>
        <v>0</v>
      </c>
      <c r="AM23" s="11">
        <f t="shared" si="31"/>
        <v>0</v>
      </c>
      <c r="AO23" s="11">
        <f t="shared" si="31"/>
        <v>0</v>
      </c>
      <c r="AQ23" s="11">
        <f t="shared" ref="AQ23:BM35" si="32">AP23*$C23</f>
        <v>0</v>
      </c>
      <c r="AS23" s="11">
        <f t="shared" si="32"/>
        <v>0</v>
      </c>
      <c r="AT23" s="11">
        <v>1</v>
      </c>
      <c r="AU23" s="11">
        <f t="shared" si="32"/>
        <v>4</v>
      </c>
      <c r="AW23" s="11">
        <f t="shared" si="32"/>
        <v>0</v>
      </c>
      <c r="AY23" s="11">
        <f t="shared" si="32"/>
        <v>0</v>
      </c>
      <c r="AZ23" s="11">
        <v>1</v>
      </c>
      <c r="BA23" s="11">
        <f t="shared" si="32"/>
        <v>4</v>
      </c>
      <c r="BC23" s="11">
        <f t="shared" si="32"/>
        <v>0</v>
      </c>
      <c r="BE23" s="11">
        <f t="shared" si="32"/>
        <v>0</v>
      </c>
      <c r="BG23" s="11">
        <f t="shared" si="32"/>
        <v>0</v>
      </c>
      <c r="BH23" s="11">
        <v>1</v>
      </c>
      <c r="BI23" s="11">
        <f t="shared" si="32"/>
        <v>4</v>
      </c>
      <c r="BK23" s="11">
        <f t="shared" si="32"/>
        <v>0</v>
      </c>
      <c r="BM23" s="11">
        <f t="shared" si="32"/>
        <v>0</v>
      </c>
      <c r="BN23" s="16">
        <f ca="1">SUMIF(D$2:$BM22,BN$2,D23:BM23)</f>
        <v>16</v>
      </c>
      <c r="BO23" s="16">
        <f t="shared" ca="1" si="30"/>
        <v>4</v>
      </c>
    </row>
    <row r="24" spans="1:67" ht="15" customHeight="1" x14ac:dyDescent="0.25">
      <c r="A24" s="18" t="s">
        <v>15</v>
      </c>
      <c r="B24" s="17" t="s">
        <v>23</v>
      </c>
      <c r="C24" s="15">
        <v>2</v>
      </c>
      <c r="D24" s="11">
        <v>1</v>
      </c>
      <c r="E24" s="11">
        <f t="shared" si="2"/>
        <v>2</v>
      </c>
      <c r="F24" s="11">
        <v>1</v>
      </c>
      <c r="G24" s="11">
        <f t="shared" si="2"/>
        <v>2</v>
      </c>
      <c r="I24" s="11">
        <f t="shared" si="2"/>
        <v>0</v>
      </c>
      <c r="K24" s="11">
        <f t="shared" si="2"/>
        <v>0</v>
      </c>
      <c r="M24" s="11">
        <f t="shared" si="29"/>
        <v>0</v>
      </c>
      <c r="O24" s="11">
        <f t="shared" si="29"/>
        <v>0</v>
      </c>
      <c r="Q24" s="11">
        <f t="shared" si="29"/>
        <v>0</v>
      </c>
      <c r="S24" s="11">
        <f t="shared" si="29"/>
        <v>0</v>
      </c>
      <c r="U24" s="11">
        <f t="shared" si="29"/>
        <v>0</v>
      </c>
      <c r="W24" s="11">
        <f t="shared" si="31"/>
        <v>0</v>
      </c>
      <c r="X24" s="11">
        <v>1</v>
      </c>
      <c r="Y24" s="11">
        <f t="shared" si="31"/>
        <v>2</v>
      </c>
      <c r="AA24" s="11">
        <f t="shared" si="31"/>
        <v>0</v>
      </c>
      <c r="AC24" s="11">
        <f t="shared" si="31"/>
        <v>0</v>
      </c>
      <c r="AE24" s="11">
        <f t="shared" si="31"/>
        <v>0</v>
      </c>
      <c r="AF24" s="11">
        <v>1</v>
      </c>
      <c r="AG24" s="11">
        <f t="shared" si="31"/>
        <v>2</v>
      </c>
      <c r="AI24" s="11">
        <f t="shared" si="31"/>
        <v>0</v>
      </c>
      <c r="AK24" s="11">
        <f t="shared" si="31"/>
        <v>0</v>
      </c>
      <c r="AM24" s="11">
        <f t="shared" si="31"/>
        <v>0</v>
      </c>
      <c r="AO24" s="11">
        <f t="shared" si="31"/>
        <v>0</v>
      </c>
      <c r="AQ24" s="11">
        <f t="shared" si="32"/>
        <v>0</v>
      </c>
      <c r="AS24" s="11">
        <f t="shared" si="32"/>
        <v>0</v>
      </c>
      <c r="AU24" s="11">
        <f t="shared" si="32"/>
        <v>0</v>
      </c>
      <c r="AW24" s="11">
        <f t="shared" si="32"/>
        <v>0</v>
      </c>
      <c r="AY24" s="11">
        <f t="shared" si="32"/>
        <v>0</v>
      </c>
      <c r="BA24" s="11">
        <f t="shared" si="32"/>
        <v>0</v>
      </c>
      <c r="BC24" s="11">
        <f t="shared" si="32"/>
        <v>0</v>
      </c>
      <c r="BE24" s="11">
        <f t="shared" si="32"/>
        <v>0</v>
      </c>
      <c r="BG24" s="11">
        <f t="shared" si="32"/>
        <v>0</v>
      </c>
      <c r="BI24" s="11">
        <f t="shared" si="32"/>
        <v>0</v>
      </c>
      <c r="BK24" s="11">
        <f t="shared" si="32"/>
        <v>0</v>
      </c>
      <c r="BM24" s="11">
        <f>BL24*$C24</f>
        <v>0</v>
      </c>
      <c r="BN24" s="16">
        <f ca="1">SUMIF(D$2:$BM23,BN$2,D24:BM24)</f>
        <v>8</v>
      </c>
      <c r="BO24" s="16">
        <f t="shared" ca="1" si="30"/>
        <v>2</v>
      </c>
    </row>
    <row r="25" spans="1:67" ht="15" customHeight="1" x14ac:dyDescent="0.25">
      <c r="A25" s="18" t="s">
        <v>15</v>
      </c>
      <c r="B25" s="17" t="s">
        <v>24</v>
      </c>
      <c r="C25" s="15">
        <v>1</v>
      </c>
      <c r="D25" s="11">
        <v>1</v>
      </c>
      <c r="E25" s="11">
        <f t="shared" si="2"/>
        <v>1</v>
      </c>
      <c r="G25" s="11">
        <f t="shared" si="2"/>
        <v>0</v>
      </c>
      <c r="I25" s="11">
        <f t="shared" si="2"/>
        <v>0</v>
      </c>
      <c r="K25" s="11">
        <f t="shared" si="2"/>
        <v>0</v>
      </c>
      <c r="M25" s="11">
        <f t="shared" si="29"/>
        <v>0</v>
      </c>
      <c r="O25" s="11">
        <f t="shared" si="29"/>
        <v>0</v>
      </c>
      <c r="Q25" s="11">
        <f t="shared" si="29"/>
        <v>0</v>
      </c>
      <c r="S25" s="11">
        <f t="shared" si="29"/>
        <v>0</v>
      </c>
      <c r="U25" s="11">
        <f t="shared" si="29"/>
        <v>0</v>
      </c>
      <c r="W25" s="11">
        <f t="shared" si="31"/>
        <v>0</v>
      </c>
      <c r="X25" s="11">
        <v>1</v>
      </c>
      <c r="Y25" s="11">
        <f t="shared" si="31"/>
        <v>1</v>
      </c>
      <c r="AA25" s="11">
        <f t="shared" si="31"/>
        <v>0</v>
      </c>
      <c r="AB25" s="11">
        <v>1</v>
      </c>
      <c r="AC25" s="11">
        <f t="shared" si="31"/>
        <v>1</v>
      </c>
      <c r="AD25" s="11">
        <v>1</v>
      </c>
      <c r="AE25" s="11">
        <f t="shared" si="31"/>
        <v>1</v>
      </c>
      <c r="AG25" s="11">
        <f t="shared" si="31"/>
        <v>0</v>
      </c>
      <c r="AI25" s="11">
        <f t="shared" si="31"/>
        <v>0</v>
      </c>
      <c r="AK25" s="11">
        <f t="shared" si="31"/>
        <v>0</v>
      </c>
      <c r="AM25" s="11">
        <f t="shared" si="31"/>
        <v>0</v>
      </c>
      <c r="AN25" s="11">
        <v>5</v>
      </c>
      <c r="AO25" s="11">
        <f t="shared" si="31"/>
        <v>5</v>
      </c>
      <c r="AQ25" s="11">
        <f t="shared" si="32"/>
        <v>0</v>
      </c>
      <c r="AS25" s="11">
        <f t="shared" si="32"/>
        <v>0</v>
      </c>
      <c r="AT25" s="11">
        <v>1</v>
      </c>
      <c r="AU25" s="11">
        <f t="shared" si="32"/>
        <v>1</v>
      </c>
      <c r="AW25" s="11">
        <f t="shared" si="32"/>
        <v>0</v>
      </c>
      <c r="AY25" s="11">
        <f t="shared" si="32"/>
        <v>0</v>
      </c>
      <c r="BA25" s="11">
        <f t="shared" si="32"/>
        <v>0</v>
      </c>
      <c r="BB25" s="11">
        <v>1</v>
      </c>
      <c r="BC25" s="11">
        <f t="shared" si="32"/>
        <v>1</v>
      </c>
      <c r="BE25" s="11">
        <f t="shared" si="32"/>
        <v>0</v>
      </c>
      <c r="BG25" s="11">
        <f t="shared" si="32"/>
        <v>0</v>
      </c>
      <c r="BI25" s="11">
        <f t="shared" si="32"/>
        <v>0</v>
      </c>
      <c r="BK25" s="11">
        <f t="shared" si="32"/>
        <v>0</v>
      </c>
      <c r="BM25" s="11">
        <f t="shared" si="32"/>
        <v>0</v>
      </c>
      <c r="BN25" s="16">
        <f ca="1">SUMIF(D$2:$BM24,BN$2,D25:BM25)</f>
        <v>11</v>
      </c>
      <c r="BO25" s="16">
        <f t="shared" ca="1" si="30"/>
        <v>2.75</v>
      </c>
    </row>
    <row r="26" spans="1:67" ht="15" customHeight="1" x14ac:dyDescent="0.25">
      <c r="A26" s="18" t="s">
        <v>15</v>
      </c>
      <c r="B26" s="17" t="s">
        <v>25</v>
      </c>
      <c r="C26" s="19">
        <v>4</v>
      </c>
      <c r="E26" s="11">
        <f t="shared" si="2"/>
        <v>0</v>
      </c>
      <c r="G26" s="11">
        <f t="shared" si="2"/>
        <v>0</v>
      </c>
      <c r="I26" s="11">
        <f t="shared" si="2"/>
        <v>0</v>
      </c>
      <c r="K26" s="11">
        <f t="shared" si="2"/>
        <v>0</v>
      </c>
      <c r="M26" s="11">
        <f t="shared" si="29"/>
        <v>0</v>
      </c>
      <c r="O26" s="11">
        <f t="shared" si="29"/>
        <v>0</v>
      </c>
      <c r="Q26" s="11">
        <f t="shared" si="29"/>
        <v>0</v>
      </c>
      <c r="S26" s="11">
        <f t="shared" si="29"/>
        <v>0</v>
      </c>
      <c r="U26" s="11">
        <f t="shared" si="29"/>
        <v>0</v>
      </c>
      <c r="W26" s="11">
        <f t="shared" si="31"/>
        <v>0</v>
      </c>
      <c r="Y26" s="11">
        <f t="shared" si="31"/>
        <v>0</v>
      </c>
      <c r="AA26" s="11">
        <f t="shared" si="31"/>
        <v>0</v>
      </c>
      <c r="AC26" s="11">
        <f t="shared" si="31"/>
        <v>0</v>
      </c>
      <c r="AE26" s="11">
        <f t="shared" si="31"/>
        <v>0</v>
      </c>
      <c r="AG26" s="11">
        <f t="shared" si="31"/>
        <v>0</v>
      </c>
      <c r="AI26" s="11">
        <f t="shared" si="31"/>
        <v>0</v>
      </c>
      <c r="AK26" s="11">
        <f t="shared" si="31"/>
        <v>0</v>
      </c>
      <c r="AM26" s="11">
        <f t="shared" si="31"/>
        <v>0</v>
      </c>
      <c r="AO26" s="11">
        <f t="shared" si="31"/>
        <v>0</v>
      </c>
      <c r="AQ26" s="11">
        <f t="shared" si="32"/>
        <v>0</v>
      </c>
      <c r="AS26" s="11">
        <f t="shared" si="32"/>
        <v>0</v>
      </c>
      <c r="AT26" s="11">
        <v>1</v>
      </c>
      <c r="AU26" s="11">
        <f t="shared" si="32"/>
        <v>4</v>
      </c>
      <c r="AW26" s="11">
        <f t="shared" si="32"/>
        <v>0</v>
      </c>
      <c r="AY26" s="11">
        <f t="shared" si="32"/>
        <v>0</v>
      </c>
      <c r="BA26" s="11">
        <f t="shared" si="32"/>
        <v>0</v>
      </c>
      <c r="BC26" s="11">
        <f t="shared" si="32"/>
        <v>0</v>
      </c>
      <c r="BE26" s="11">
        <f t="shared" si="32"/>
        <v>0</v>
      </c>
      <c r="BG26" s="11">
        <f t="shared" si="32"/>
        <v>0</v>
      </c>
      <c r="BI26" s="11">
        <f t="shared" si="32"/>
        <v>0</v>
      </c>
      <c r="BK26" s="11">
        <f t="shared" si="32"/>
        <v>0</v>
      </c>
      <c r="BM26" s="11">
        <f t="shared" si="32"/>
        <v>0</v>
      </c>
      <c r="BN26" s="16">
        <f ca="1">SUMIF(D$2:$BM25,BN$2,D26:BM26)</f>
        <v>4</v>
      </c>
      <c r="BO26" s="16">
        <f t="shared" ca="1" si="30"/>
        <v>1</v>
      </c>
    </row>
    <row r="27" spans="1:67" ht="15" customHeight="1" x14ac:dyDescent="0.25">
      <c r="A27" s="18" t="s">
        <v>15</v>
      </c>
      <c r="B27" s="17" t="s">
        <v>26</v>
      </c>
      <c r="C27" s="15">
        <v>2</v>
      </c>
      <c r="E27" s="11">
        <f t="shared" si="2"/>
        <v>0</v>
      </c>
      <c r="G27" s="11">
        <f t="shared" si="2"/>
        <v>0</v>
      </c>
      <c r="I27" s="11">
        <f t="shared" si="2"/>
        <v>0</v>
      </c>
      <c r="K27" s="11">
        <f t="shared" si="2"/>
        <v>0</v>
      </c>
      <c r="M27" s="11">
        <f t="shared" si="29"/>
        <v>0</v>
      </c>
      <c r="O27" s="11">
        <f t="shared" si="29"/>
        <v>0</v>
      </c>
      <c r="Q27" s="11">
        <f t="shared" si="29"/>
        <v>0</v>
      </c>
      <c r="R27" s="11">
        <v>1</v>
      </c>
      <c r="S27" s="11">
        <f t="shared" si="29"/>
        <v>2</v>
      </c>
      <c r="U27" s="11">
        <f t="shared" si="29"/>
        <v>0</v>
      </c>
      <c r="W27" s="11">
        <f t="shared" si="31"/>
        <v>0</v>
      </c>
      <c r="Y27" s="11">
        <f t="shared" si="31"/>
        <v>0</v>
      </c>
      <c r="AA27" s="11">
        <f t="shared" si="31"/>
        <v>0</v>
      </c>
      <c r="AC27" s="11">
        <f t="shared" si="31"/>
        <v>0</v>
      </c>
      <c r="AE27" s="11">
        <f t="shared" si="31"/>
        <v>0</v>
      </c>
      <c r="AG27" s="11">
        <f t="shared" si="31"/>
        <v>0</v>
      </c>
      <c r="AI27" s="11">
        <f t="shared" si="31"/>
        <v>0</v>
      </c>
      <c r="AK27" s="11">
        <f t="shared" si="31"/>
        <v>0</v>
      </c>
      <c r="AM27" s="11">
        <f t="shared" si="31"/>
        <v>0</v>
      </c>
      <c r="AO27" s="11">
        <f t="shared" si="31"/>
        <v>0</v>
      </c>
      <c r="AQ27" s="11">
        <f t="shared" si="32"/>
        <v>0</v>
      </c>
      <c r="AS27" s="11">
        <f t="shared" si="32"/>
        <v>0</v>
      </c>
      <c r="AU27" s="11">
        <f t="shared" si="32"/>
        <v>0</v>
      </c>
      <c r="AW27" s="11">
        <f t="shared" si="32"/>
        <v>0</v>
      </c>
      <c r="AY27" s="11">
        <f t="shared" si="32"/>
        <v>0</v>
      </c>
      <c r="BA27" s="11">
        <f t="shared" si="32"/>
        <v>0</v>
      </c>
      <c r="BC27" s="11">
        <f t="shared" si="32"/>
        <v>0</v>
      </c>
      <c r="BE27" s="11">
        <f t="shared" si="32"/>
        <v>0</v>
      </c>
      <c r="BG27" s="11">
        <f t="shared" si="32"/>
        <v>0</v>
      </c>
      <c r="BI27" s="11">
        <f t="shared" si="32"/>
        <v>0</v>
      </c>
      <c r="BK27" s="11">
        <f t="shared" si="32"/>
        <v>0</v>
      </c>
      <c r="BM27" s="11">
        <f t="shared" si="32"/>
        <v>0</v>
      </c>
      <c r="BN27" s="16">
        <f ca="1">SUMIF(D$2:$BM26,BN$2,D27:BM27)</f>
        <v>2</v>
      </c>
      <c r="BO27" s="16">
        <f t="shared" ca="1" si="30"/>
        <v>0.5</v>
      </c>
    </row>
    <row r="28" spans="1:67" ht="15" customHeight="1" x14ac:dyDescent="0.25">
      <c r="A28" s="18" t="s">
        <v>15</v>
      </c>
      <c r="B28" s="17" t="s">
        <v>27</v>
      </c>
      <c r="C28" s="15">
        <v>1</v>
      </c>
      <c r="E28" s="11">
        <f t="shared" si="2"/>
        <v>0</v>
      </c>
      <c r="G28" s="11">
        <f t="shared" si="2"/>
        <v>0</v>
      </c>
      <c r="I28" s="11">
        <f t="shared" si="2"/>
        <v>0</v>
      </c>
      <c r="K28" s="11">
        <f t="shared" si="2"/>
        <v>0</v>
      </c>
      <c r="M28" s="11">
        <f t="shared" si="29"/>
        <v>0</v>
      </c>
      <c r="O28" s="11">
        <f t="shared" si="29"/>
        <v>0</v>
      </c>
      <c r="Q28" s="11">
        <f t="shared" si="29"/>
        <v>0</v>
      </c>
      <c r="S28" s="11">
        <f t="shared" si="29"/>
        <v>0</v>
      </c>
      <c r="T28" s="11">
        <v>1</v>
      </c>
      <c r="U28" s="11">
        <f t="shared" si="29"/>
        <v>1</v>
      </c>
      <c r="W28" s="11">
        <f t="shared" si="31"/>
        <v>0</v>
      </c>
      <c r="Y28" s="11">
        <f t="shared" si="31"/>
        <v>0</v>
      </c>
      <c r="AA28" s="11">
        <f t="shared" si="31"/>
        <v>0</v>
      </c>
      <c r="AC28" s="11">
        <f t="shared" si="31"/>
        <v>0</v>
      </c>
      <c r="AE28" s="11">
        <f t="shared" si="31"/>
        <v>0</v>
      </c>
      <c r="AG28" s="11">
        <f t="shared" si="31"/>
        <v>0</v>
      </c>
      <c r="AI28" s="11">
        <f t="shared" si="31"/>
        <v>0</v>
      </c>
      <c r="AK28" s="11">
        <f t="shared" si="31"/>
        <v>0</v>
      </c>
      <c r="AM28" s="11">
        <f t="shared" si="31"/>
        <v>0</v>
      </c>
      <c r="AO28" s="11">
        <f t="shared" si="31"/>
        <v>0</v>
      </c>
      <c r="AQ28" s="11">
        <f t="shared" si="32"/>
        <v>0</v>
      </c>
      <c r="AS28" s="11">
        <f t="shared" si="32"/>
        <v>0</v>
      </c>
      <c r="AU28" s="11">
        <f t="shared" si="32"/>
        <v>0</v>
      </c>
      <c r="AW28" s="11">
        <f t="shared" si="32"/>
        <v>0</v>
      </c>
      <c r="AY28" s="11">
        <f t="shared" si="32"/>
        <v>0</v>
      </c>
      <c r="BA28" s="11">
        <f t="shared" si="32"/>
        <v>0</v>
      </c>
      <c r="BC28" s="11">
        <f t="shared" si="32"/>
        <v>0</v>
      </c>
      <c r="BE28" s="11">
        <f t="shared" si="32"/>
        <v>0</v>
      </c>
      <c r="BG28" s="11">
        <f t="shared" si="32"/>
        <v>0</v>
      </c>
      <c r="BH28" s="11">
        <v>1</v>
      </c>
      <c r="BI28" s="11">
        <f t="shared" si="32"/>
        <v>1</v>
      </c>
      <c r="BK28" s="11">
        <f t="shared" si="32"/>
        <v>0</v>
      </c>
      <c r="BM28" s="11">
        <f t="shared" si="32"/>
        <v>0</v>
      </c>
      <c r="BN28" s="16">
        <f ca="1">SUMIF(D$2:$BM27,BN$2,D28:BM28)</f>
        <v>2</v>
      </c>
      <c r="BO28" s="16">
        <f t="shared" ca="1" si="30"/>
        <v>0.5</v>
      </c>
    </row>
    <row r="29" spans="1:67" ht="15" customHeight="1" x14ac:dyDescent="0.25">
      <c r="A29" s="18" t="s">
        <v>15</v>
      </c>
      <c r="B29" s="17" t="s">
        <v>135</v>
      </c>
      <c r="C29" s="15">
        <v>1</v>
      </c>
      <c r="E29" s="11">
        <f t="shared" ref="E29:BM29" si="33">D29*$C29</f>
        <v>0</v>
      </c>
      <c r="G29" s="11">
        <f t="shared" si="33"/>
        <v>0</v>
      </c>
      <c r="I29" s="11">
        <f t="shared" si="33"/>
        <v>0</v>
      </c>
      <c r="K29" s="11">
        <f t="shared" si="33"/>
        <v>0</v>
      </c>
      <c r="L29" s="11">
        <v>2</v>
      </c>
      <c r="M29" s="11">
        <f t="shared" si="33"/>
        <v>2</v>
      </c>
      <c r="O29" s="11">
        <f t="shared" si="33"/>
        <v>0</v>
      </c>
      <c r="Q29" s="11">
        <f t="shared" si="33"/>
        <v>0</v>
      </c>
      <c r="R29" s="11">
        <v>2</v>
      </c>
      <c r="S29" s="11">
        <f t="shared" si="33"/>
        <v>2</v>
      </c>
      <c r="U29" s="11">
        <f t="shared" si="33"/>
        <v>0</v>
      </c>
      <c r="W29" s="11">
        <f t="shared" si="33"/>
        <v>0</v>
      </c>
      <c r="Y29" s="11">
        <f t="shared" si="33"/>
        <v>0</v>
      </c>
      <c r="AA29" s="11">
        <f t="shared" si="33"/>
        <v>0</v>
      </c>
      <c r="AC29" s="11">
        <f t="shared" si="33"/>
        <v>0</v>
      </c>
      <c r="AE29" s="11">
        <f t="shared" si="33"/>
        <v>0</v>
      </c>
      <c r="AF29" s="11">
        <v>2</v>
      </c>
      <c r="AG29" s="11">
        <f t="shared" si="33"/>
        <v>2</v>
      </c>
      <c r="AI29" s="11">
        <f t="shared" si="33"/>
        <v>0</v>
      </c>
      <c r="AK29" s="11">
        <f t="shared" si="33"/>
        <v>0</v>
      </c>
      <c r="AM29" s="11">
        <f t="shared" si="33"/>
        <v>0</v>
      </c>
      <c r="AO29" s="11">
        <f t="shared" si="33"/>
        <v>0</v>
      </c>
      <c r="AQ29" s="11">
        <f t="shared" si="33"/>
        <v>0</v>
      </c>
      <c r="AS29" s="11">
        <f t="shared" si="33"/>
        <v>0</v>
      </c>
      <c r="AU29" s="11">
        <f t="shared" si="33"/>
        <v>0</v>
      </c>
      <c r="AW29" s="11">
        <f t="shared" si="33"/>
        <v>0</v>
      </c>
      <c r="AY29" s="11">
        <f t="shared" si="33"/>
        <v>0</v>
      </c>
      <c r="BA29" s="11">
        <f t="shared" si="33"/>
        <v>0</v>
      </c>
      <c r="BC29" s="11">
        <f t="shared" si="33"/>
        <v>0</v>
      </c>
      <c r="BD29" s="11">
        <v>1</v>
      </c>
      <c r="BE29" s="11">
        <f t="shared" si="33"/>
        <v>1</v>
      </c>
      <c r="BG29" s="11">
        <f t="shared" si="33"/>
        <v>0</v>
      </c>
      <c r="BI29" s="11">
        <f t="shared" si="33"/>
        <v>0</v>
      </c>
      <c r="BK29" s="11">
        <f t="shared" si="33"/>
        <v>0</v>
      </c>
      <c r="BM29" s="11">
        <f t="shared" si="33"/>
        <v>0</v>
      </c>
      <c r="BN29" s="16">
        <f ca="1">SUMIF(D$2:$BM28,BN$2,D29:BM29)</f>
        <v>7</v>
      </c>
      <c r="BO29" s="16">
        <f t="shared" ref="BO29" ca="1" si="34">BN29/4</f>
        <v>1.75</v>
      </c>
    </row>
    <row r="30" spans="1:67" ht="15" customHeight="1" x14ac:dyDescent="0.25">
      <c r="A30" s="18"/>
      <c r="B30" s="17" t="s">
        <v>28</v>
      </c>
      <c r="C30" s="15"/>
      <c r="E30" s="11">
        <f t="shared" si="2"/>
        <v>0</v>
      </c>
      <c r="G30" s="11">
        <f t="shared" si="2"/>
        <v>0</v>
      </c>
      <c r="I30" s="11">
        <f t="shared" si="2"/>
        <v>0</v>
      </c>
      <c r="K30" s="11">
        <f t="shared" si="2"/>
        <v>0</v>
      </c>
      <c r="M30" s="11">
        <f t="shared" si="29"/>
        <v>0</v>
      </c>
      <c r="O30" s="11">
        <f t="shared" si="29"/>
        <v>0</v>
      </c>
      <c r="Q30" s="11">
        <f t="shared" si="29"/>
        <v>0</v>
      </c>
      <c r="S30" s="11">
        <f t="shared" si="29"/>
        <v>0</v>
      </c>
      <c r="U30" s="11">
        <f t="shared" si="29"/>
        <v>0</v>
      </c>
      <c r="W30" s="11">
        <f t="shared" si="31"/>
        <v>0</v>
      </c>
      <c r="Y30" s="11">
        <f t="shared" si="31"/>
        <v>0</v>
      </c>
      <c r="AA30" s="11">
        <f t="shared" si="31"/>
        <v>0</v>
      </c>
      <c r="AC30" s="11">
        <f t="shared" si="31"/>
        <v>0</v>
      </c>
      <c r="AE30" s="11">
        <f t="shared" si="31"/>
        <v>0</v>
      </c>
      <c r="AG30" s="11">
        <f t="shared" si="31"/>
        <v>0</v>
      </c>
      <c r="AI30" s="11">
        <f t="shared" si="31"/>
        <v>0</v>
      </c>
      <c r="AK30" s="11">
        <f t="shared" si="31"/>
        <v>0</v>
      </c>
      <c r="AM30" s="11">
        <f t="shared" si="31"/>
        <v>0</v>
      </c>
      <c r="AO30" s="11">
        <f t="shared" si="31"/>
        <v>0</v>
      </c>
      <c r="AQ30" s="11">
        <f t="shared" si="32"/>
        <v>0</v>
      </c>
      <c r="AS30" s="11">
        <f t="shared" si="32"/>
        <v>0</v>
      </c>
      <c r="AU30" s="11">
        <f t="shared" si="32"/>
        <v>0</v>
      </c>
      <c r="AW30" s="11">
        <f t="shared" si="32"/>
        <v>0</v>
      </c>
      <c r="AY30" s="11">
        <f t="shared" si="32"/>
        <v>0</v>
      </c>
      <c r="BA30" s="11">
        <f t="shared" si="32"/>
        <v>0</v>
      </c>
      <c r="BC30" s="11">
        <f t="shared" si="32"/>
        <v>0</v>
      </c>
      <c r="BE30" s="11">
        <f t="shared" si="32"/>
        <v>0</v>
      </c>
      <c r="BG30" s="11">
        <f t="shared" si="32"/>
        <v>0</v>
      </c>
      <c r="BI30" s="11">
        <f t="shared" si="32"/>
        <v>0</v>
      </c>
      <c r="BK30" s="11">
        <f t="shared" si="32"/>
        <v>0</v>
      </c>
      <c r="BM30" s="11">
        <f t="shared" si="32"/>
        <v>0</v>
      </c>
      <c r="BN30" s="16">
        <f ca="1">SUMIF(D$2:$BM28,BN$2,D30:BM30)</f>
        <v>0</v>
      </c>
      <c r="BO30" s="16">
        <f>SUMIF(D$2:BM$2,BO$2,D30:BM30)</f>
        <v>0</v>
      </c>
    </row>
    <row r="31" spans="1:67" ht="15" customHeight="1" x14ac:dyDescent="0.25">
      <c r="A31" s="18"/>
      <c r="B31" s="17" t="s">
        <v>29</v>
      </c>
      <c r="C31" s="15"/>
      <c r="E31" s="11">
        <f t="shared" si="2"/>
        <v>0</v>
      </c>
      <c r="G31" s="11">
        <f t="shared" si="2"/>
        <v>0</v>
      </c>
      <c r="I31" s="11">
        <f t="shared" si="2"/>
        <v>0</v>
      </c>
      <c r="K31" s="11">
        <f t="shared" si="2"/>
        <v>0</v>
      </c>
      <c r="M31" s="11">
        <f t="shared" si="29"/>
        <v>0</v>
      </c>
      <c r="O31" s="11">
        <f t="shared" si="29"/>
        <v>0</v>
      </c>
      <c r="Q31" s="11">
        <f t="shared" si="29"/>
        <v>0</v>
      </c>
      <c r="S31" s="11">
        <f t="shared" si="29"/>
        <v>0</v>
      </c>
      <c r="U31" s="11">
        <f t="shared" si="29"/>
        <v>0</v>
      </c>
      <c r="W31" s="11">
        <f t="shared" si="31"/>
        <v>0</v>
      </c>
      <c r="Y31" s="11">
        <f t="shared" si="31"/>
        <v>0</v>
      </c>
      <c r="AA31" s="11">
        <f t="shared" si="31"/>
        <v>0</v>
      </c>
      <c r="AC31" s="11">
        <f t="shared" si="31"/>
        <v>0</v>
      </c>
      <c r="AE31" s="11">
        <f t="shared" si="31"/>
        <v>0</v>
      </c>
      <c r="AG31" s="11">
        <f t="shared" si="31"/>
        <v>0</v>
      </c>
      <c r="AI31" s="11">
        <f t="shared" si="31"/>
        <v>0</v>
      </c>
      <c r="AK31" s="11">
        <f t="shared" si="31"/>
        <v>0</v>
      </c>
      <c r="AM31" s="11">
        <f t="shared" si="31"/>
        <v>0</v>
      </c>
      <c r="AO31" s="11">
        <f t="shared" si="31"/>
        <v>0</v>
      </c>
      <c r="AQ31" s="11">
        <f t="shared" si="32"/>
        <v>0</v>
      </c>
      <c r="AS31" s="11">
        <f t="shared" si="32"/>
        <v>0</v>
      </c>
      <c r="AU31" s="11">
        <f t="shared" si="32"/>
        <v>0</v>
      </c>
      <c r="AW31" s="11">
        <f t="shared" si="32"/>
        <v>0</v>
      </c>
      <c r="AY31" s="11">
        <f t="shared" si="32"/>
        <v>0</v>
      </c>
      <c r="BA31" s="11">
        <f t="shared" si="32"/>
        <v>0</v>
      </c>
      <c r="BC31" s="11">
        <f t="shared" si="32"/>
        <v>0</v>
      </c>
      <c r="BE31" s="11">
        <f t="shared" si="32"/>
        <v>0</v>
      </c>
      <c r="BG31" s="11">
        <f t="shared" si="32"/>
        <v>0</v>
      </c>
      <c r="BI31" s="11">
        <f t="shared" si="32"/>
        <v>0</v>
      </c>
      <c r="BK31" s="11">
        <f t="shared" si="32"/>
        <v>0</v>
      </c>
      <c r="BM31" s="11">
        <f t="shared" si="32"/>
        <v>0</v>
      </c>
      <c r="BN31" s="16">
        <f ca="1">SUMIF(D$2:$BM30,BN$2,D31:BM31)</f>
        <v>0</v>
      </c>
      <c r="BO31" s="16">
        <f>SUMIF(D$2:BM$2,BO$2,D31:BM31)</f>
        <v>0</v>
      </c>
    </row>
    <row r="32" spans="1:67" ht="15" customHeight="1" x14ac:dyDescent="0.25">
      <c r="A32" s="14" t="s">
        <v>5</v>
      </c>
      <c r="B32" s="17" t="s">
        <v>30</v>
      </c>
      <c r="C32" s="15">
        <v>0.5</v>
      </c>
      <c r="E32" s="11">
        <f t="shared" si="2"/>
        <v>0</v>
      </c>
      <c r="G32" s="11">
        <f t="shared" si="2"/>
        <v>0</v>
      </c>
      <c r="I32" s="11">
        <f t="shared" si="2"/>
        <v>0</v>
      </c>
      <c r="K32" s="11">
        <f t="shared" si="2"/>
        <v>0</v>
      </c>
      <c r="M32" s="11">
        <f t="shared" si="29"/>
        <v>0</v>
      </c>
      <c r="O32" s="11">
        <f t="shared" si="29"/>
        <v>0</v>
      </c>
      <c r="Q32" s="11">
        <f t="shared" si="29"/>
        <v>0</v>
      </c>
      <c r="S32" s="11">
        <f t="shared" si="29"/>
        <v>0</v>
      </c>
      <c r="U32" s="11">
        <f t="shared" si="29"/>
        <v>0</v>
      </c>
      <c r="W32" s="11">
        <f t="shared" si="31"/>
        <v>0</v>
      </c>
      <c r="Y32" s="11">
        <f t="shared" si="31"/>
        <v>0</v>
      </c>
      <c r="AA32" s="11">
        <f t="shared" si="31"/>
        <v>0</v>
      </c>
      <c r="AC32" s="11">
        <f t="shared" si="31"/>
        <v>0</v>
      </c>
      <c r="AE32" s="11">
        <f t="shared" si="31"/>
        <v>0</v>
      </c>
      <c r="AG32" s="11">
        <f t="shared" si="31"/>
        <v>0</v>
      </c>
      <c r="AI32" s="11">
        <f t="shared" si="31"/>
        <v>0</v>
      </c>
      <c r="AK32" s="11">
        <f t="shared" si="31"/>
        <v>0</v>
      </c>
      <c r="AM32" s="11">
        <f t="shared" si="31"/>
        <v>0</v>
      </c>
      <c r="AO32" s="11">
        <f t="shared" si="31"/>
        <v>0</v>
      </c>
      <c r="AQ32" s="11">
        <f t="shared" si="32"/>
        <v>0</v>
      </c>
      <c r="AS32" s="11">
        <f t="shared" si="32"/>
        <v>0</v>
      </c>
      <c r="AU32" s="11">
        <f t="shared" si="32"/>
        <v>0</v>
      </c>
      <c r="AW32" s="11">
        <f t="shared" si="32"/>
        <v>0</v>
      </c>
      <c r="AY32" s="11">
        <f t="shared" si="32"/>
        <v>0</v>
      </c>
      <c r="BA32" s="11">
        <f t="shared" si="32"/>
        <v>0</v>
      </c>
      <c r="BC32" s="11">
        <f t="shared" si="32"/>
        <v>0</v>
      </c>
      <c r="BE32" s="11">
        <f t="shared" si="32"/>
        <v>0</v>
      </c>
      <c r="BG32" s="11">
        <f t="shared" si="32"/>
        <v>0</v>
      </c>
      <c r="BI32" s="11">
        <f t="shared" si="32"/>
        <v>0</v>
      </c>
      <c r="BK32" s="11">
        <f t="shared" si="32"/>
        <v>0</v>
      </c>
      <c r="BM32" s="11">
        <f t="shared" si="32"/>
        <v>0</v>
      </c>
      <c r="BN32" s="16">
        <f ca="1">SUMIF(D$2:$BM31,BN$2,D32:BM32)</f>
        <v>0</v>
      </c>
      <c r="BO32" s="16">
        <f ca="1">BN32/4</f>
        <v>0</v>
      </c>
    </row>
    <row r="33" spans="1:67" ht="15" customHeight="1" x14ac:dyDescent="0.25">
      <c r="A33" s="14" t="s">
        <v>5</v>
      </c>
      <c r="B33" s="17" t="s">
        <v>31</v>
      </c>
      <c r="C33" s="15">
        <v>0.5</v>
      </c>
      <c r="E33" s="11">
        <f t="shared" si="2"/>
        <v>0</v>
      </c>
      <c r="F33" s="11">
        <v>8</v>
      </c>
      <c r="G33" s="11">
        <f t="shared" si="2"/>
        <v>4</v>
      </c>
      <c r="I33" s="11">
        <f t="shared" si="2"/>
        <v>0</v>
      </c>
      <c r="K33" s="11">
        <f t="shared" si="2"/>
        <v>0</v>
      </c>
      <c r="M33" s="11">
        <f t="shared" si="29"/>
        <v>0</v>
      </c>
      <c r="O33" s="11">
        <f t="shared" si="29"/>
        <v>0</v>
      </c>
      <c r="Q33" s="11">
        <f t="shared" si="29"/>
        <v>0</v>
      </c>
      <c r="S33" s="11">
        <f t="shared" si="29"/>
        <v>0</v>
      </c>
      <c r="U33" s="11">
        <f t="shared" si="29"/>
        <v>0</v>
      </c>
      <c r="W33" s="11">
        <f t="shared" si="31"/>
        <v>0</v>
      </c>
      <c r="Y33" s="11">
        <f t="shared" si="31"/>
        <v>0</v>
      </c>
      <c r="AA33" s="11">
        <f t="shared" si="31"/>
        <v>0</v>
      </c>
      <c r="AC33" s="11">
        <f t="shared" si="31"/>
        <v>0</v>
      </c>
      <c r="AE33" s="11">
        <f t="shared" si="31"/>
        <v>0</v>
      </c>
      <c r="AG33" s="11">
        <f t="shared" si="31"/>
        <v>0</v>
      </c>
      <c r="AI33" s="11">
        <f t="shared" si="31"/>
        <v>0</v>
      </c>
      <c r="AK33" s="11">
        <f t="shared" si="31"/>
        <v>0</v>
      </c>
      <c r="AM33" s="11">
        <f t="shared" si="31"/>
        <v>0</v>
      </c>
      <c r="AO33" s="11">
        <f t="shared" si="31"/>
        <v>0</v>
      </c>
      <c r="AQ33" s="11">
        <f t="shared" si="32"/>
        <v>0</v>
      </c>
      <c r="AS33" s="11">
        <f t="shared" si="32"/>
        <v>0</v>
      </c>
      <c r="AU33" s="11">
        <f t="shared" si="32"/>
        <v>0</v>
      </c>
      <c r="AW33" s="11">
        <f t="shared" si="32"/>
        <v>0</v>
      </c>
      <c r="AY33" s="11">
        <f t="shared" si="32"/>
        <v>0</v>
      </c>
      <c r="BA33" s="11">
        <f t="shared" si="32"/>
        <v>0</v>
      </c>
      <c r="BC33" s="11">
        <f t="shared" si="32"/>
        <v>0</v>
      </c>
      <c r="BE33" s="11">
        <f t="shared" si="32"/>
        <v>0</v>
      </c>
      <c r="BG33" s="11">
        <f t="shared" si="32"/>
        <v>0</v>
      </c>
      <c r="BI33" s="11">
        <f t="shared" si="32"/>
        <v>0</v>
      </c>
      <c r="BK33" s="11">
        <f t="shared" si="32"/>
        <v>0</v>
      </c>
      <c r="BM33" s="11">
        <f t="shared" si="32"/>
        <v>0</v>
      </c>
      <c r="BN33" s="16">
        <f ca="1">SUMIF(D$2:$BM32,BN$2,D33:BM33)</f>
        <v>4</v>
      </c>
      <c r="BO33" s="16">
        <f ca="1">BN33/4</f>
        <v>1</v>
      </c>
    </row>
    <row r="34" spans="1:67" ht="15" customHeight="1" x14ac:dyDescent="0.25">
      <c r="A34" s="18" t="s">
        <v>15</v>
      </c>
      <c r="B34" s="17" t="s">
        <v>32</v>
      </c>
      <c r="C34" s="15">
        <v>0.5</v>
      </c>
      <c r="E34" s="11">
        <f t="shared" si="2"/>
        <v>0</v>
      </c>
      <c r="G34" s="11">
        <f t="shared" si="2"/>
        <v>0</v>
      </c>
      <c r="I34" s="11">
        <f t="shared" si="2"/>
        <v>0</v>
      </c>
      <c r="K34" s="11">
        <f t="shared" si="2"/>
        <v>0</v>
      </c>
      <c r="M34" s="11">
        <f t="shared" si="29"/>
        <v>0</v>
      </c>
      <c r="O34" s="11">
        <f t="shared" si="29"/>
        <v>0</v>
      </c>
      <c r="Q34" s="11">
        <f t="shared" si="29"/>
        <v>0</v>
      </c>
      <c r="S34" s="11">
        <f t="shared" si="29"/>
        <v>0</v>
      </c>
      <c r="U34" s="11">
        <f t="shared" si="29"/>
        <v>0</v>
      </c>
      <c r="W34" s="11">
        <f t="shared" si="31"/>
        <v>0</v>
      </c>
      <c r="Y34" s="11">
        <f t="shared" si="31"/>
        <v>0</v>
      </c>
      <c r="AA34" s="11">
        <f t="shared" si="31"/>
        <v>0</v>
      </c>
      <c r="AC34" s="11">
        <f t="shared" si="31"/>
        <v>0</v>
      </c>
      <c r="AE34" s="11">
        <f t="shared" si="31"/>
        <v>0</v>
      </c>
      <c r="AG34" s="11">
        <f t="shared" si="31"/>
        <v>0</v>
      </c>
      <c r="AI34" s="11">
        <f t="shared" si="31"/>
        <v>0</v>
      </c>
      <c r="AK34" s="11">
        <f t="shared" si="31"/>
        <v>0</v>
      </c>
      <c r="AM34" s="11">
        <f t="shared" si="31"/>
        <v>0</v>
      </c>
      <c r="AO34" s="11">
        <f t="shared" si="31"/>
        <v>0</v>
      </c>
      <c r="AQ34" s="11">
        <f t="shared" si="32"/>
        <v>0</v>
      </c>
      <c r="AS34" s="11">
        <f t="shared" si="32"/>
        <v>0</v>
      </c>
      <c r="AU34" s="11">
        <f t="shared" si="32"/>
        <v>0</v>
      </c>
      <c r="AW34" s="11">
        <f t="shared" si="32"/>
        <v>0</v>
      </c>
      <c r="AY34" s="11">
        <f t="shared" si="32"/>
        <v>0</v>
      </c>
      <c r="BA34" s="11">
        <f t="shared" si="32"/>
        <v>0</v>
      </c>
      <c r="BC34" s="11">
        <f t="shared" si="32"/>
        <v>0</v>
      </c>
      <c r="BE34" s="11">
        <f t="shared" si="32"/>
        <v>0</v>
      </c>
      <c r="BG34" s="11">
        <f t="shared" si="32"/>
        <v>0</v>
      </c>
      <c r="BI34" s="11">
        <f t="shared" si="32"/>
        <v>0</v>
      </c>
      <c r="BK34" s="11">
        <f t="shared" si="32"/>
        <v>0</v>
      </c>
      <c r="BM34" s="11">
        <f t="shared" si="32"/>
        <v>0</v>
      </c>
      <c r="BN34" s="16">
        <f ca="1">SUMIF(D$2:$BM33,BN$2,D34:BM34)</f>
        <v>0</v>
      </c>
      <c r="BO34" s="16">
        <f ca="1">BN34/4</f>
        <v>0</v>
      </c>
    </row>
    <row r="35" spans="1:67" ht="15" customHeight="1" x14ac:dyDescent="0.25">
      <c r="A35" s="18" t="s">
        <v>15</v>
      </c>
      <c r="B35" s="17" t="s">
        <v>33</v>
      </c>
      <c r="C35" s="15">
        <v>0.5</v>
      </c>
      <c r="E35" s="11">
        <f t="shared" si="2"/>
        <v>0</v>
      </c>
      <c r="G35" s="11">
        <f t="shared" si="2"/>
        <v>0</v>
      </c>
      <c r="I35" s="11">
        <f t="shared" si="2"/>
        <v>0</v>
      </c>
      <c r="K35" s="11">
        <f t="shared" si="2"/>
        <v>0</v>
      </c>
      <c r="M35" s="11">
        <f t="shared" si="29"/>
        <v>0</v>
      </c>
      <c r="O35" s="11">
        <f t="shared" si="29"/>
        <v>0</v>
      </c>
      <c r="Q35" s="11">
        <f t="shared" si="29"/>
        <v>0</v>
      </c>
      <c r="S35" s="11">
        <f t="shared" si="29"/>
        <v>0</v>
      </c>
      <c r="U35" s="11">
        <f t="shared" si="29"/>
        <v>0</v>
      </c>
      <c r="W35" s="11">
        <f t="shared" si="31"/>
        <v>0</v>
      </c>
      <c r="Y35" s="11">
        <f t="shared" si="31"/>
        <v>0</v>
      </c>
      <c r="AA35" s="11">
        <f t="shared" si="31"/>
        <v>0</v>
      </c>
      <c r="AC35" s="11">
        <f t="shared" si="31"/>
        <v>0</v>
      </c>
      <c r="AE35" s="11">
        <f t="shared" si="31"/>
        <v>0</v>
      </c>
      <c r="AG35" s="11">
        <f t="shared" si="31"/>
        <v>0</v>
      </c>
      <c r="AI35" s="11">
        <f t="shared" si="31"/>
        <v>0</v>
      </c>
      <c r="AK35" s="11">
        <f t="shared" si="31"/>
        <v>0</v>
      </c>
      <c r="AM35" s="11">
        <f t="shared" si="31"/>
        <v>0</v>
      </c>
      <c r="AO35" s="11">
        <f t="shared" si="31"/>
        <v>0</v>
      </c>
      <c r="AQ35" s="11">
        <f t="shared" si="32"/>
        <v>0</v>
      </c>
      <c r="AS35" s="11">
        <f t="shared" si="32"/>
        <v>0</v>
      </c>
      <c r="AU35" s="11">
        <f t="shared" si="32"/>
        <v>0</v>
      </c>
      <c r="AW35" s="11">
        <f t="shared" si="32"/>
        <v>0</v>
      </c>
      <c r="AY35" s="11">
        <f t="shared" si="32"/>
        <v>0</v>
      </c>
      <c r="BA35" s="11">
        <f t="shared" si="32"/>
        <v>0</v>
      </c>
      <c r="BC35" s="11">
        <f t="shared" si="32"/>
        <v>0</v>
      </c>
      <c r="BE35" s="11">
        <f t="shared" si="32"/>
        <v>0</v>
      </c>
      <c r="BG35" s="11">
        <f t="shared" si="32"/>
        <v>0</v>
      </c>
      <c r="BI35" s="11">
        <f t="shared" si="32"/>
        <v>0</v>
      </c>
      <c r="BK35" s="11">
        <f t="shared" si="32"/>
        <v>0</v>
      </c>
      <c r="BM35" s="11">
        <f t="shared" si="32"/>
        <v>0</v>
      </c>
      <c r="BN35" s="16">
        <f ca="1">SUMIF(D$2:$BM34,BN$2,D35:BM35)</f>
        <v>0</v>
      </c>
      <c r="BO35" s="16">
        <f ca="1">BN35/4</f>
        <v>0</v>
      </c>
    </row>
    <row r="36" spans="1:67" ht="15" customHeight="1" x14ac:dyDescent="0.25">
      <c r="A36" s="14" t="s">
        <v>5</v>
      </c>
      <c r="B36" s="17" t="s">
        <v>34</v>
      </c>
      <c r="C36" s="15">
        <v>0.5</v>
      </c>
      <c r="D36" s="11">
        <v>1</v>
      </c>
      <c r="E36" s="11">
        <f t="shared" si="2"/>
        <v>0.5</v>
      </c>
      <c r="F36" s="11">
        <v>2</v>
      </c>
      <c r="G36" s="11">
        <f t="shared" si="2"/>
        <v>1</v>
      </c>
      <c r="H36" s="11">
        <v>1</v>
      </c>
      <c r="I36" s="11">
        <f t="shared" si="2"/>
        <v>0.5</v>
      </c>
      <c r="J36" s="11">
        <v>1</v>
      </c>
      <c r="K36" s="11">
        <f t="shared" si="2"/>
        <v>0.5</v>
      </c>
      <c r="L36" s="11">
        <v>3</v>
      </c>
      <c r="M36" s="11">
        <f t="shared" si="29"/>
        <v>1.5</v>
      </c>
      <c r="N36" s="11">
        <v>1</v>
      </c>
      <c r="O36" s="11">
        <f t="shared" si="29"/>
        <v>0.5</v>
      </c>
      <c r="Q36" s="11">
        <f t="shared" si="29"/>
        <v>0</v>
      </c>
      <c r="R36" s="11">
        <v>3</v>
      </c>
      <c r="S36" s="11">
        <f t="shared" si="29"/>
        <v>1.5</v>
      </c>
      <c r="T36" s="11">
        <v>3</v>
      </c>
      <c r="U36" s="11">
        <f t="shared" si="29"/>
        <v>1.5</v>
      </c>
      <c r="W36" s="11">
        <f t="shared" si="31"/>
        <v>0</v>
      </c>
      <c r="X36" s="11">
        <v>1</v>
      </c>
      <c r="Y36" s="11">
        <f t="shared" si="31"/>
        <v>0.5</v>
      </c>
      <c r="AA36" s="11">
        <f t="shared" si="31"/>
        <v>0</v>
      </c>
      <c r="AB36" s="11">
        <v>1</v>
      </c>
      <c r="AC36" s="11">
        <f t="shared" si="31"/>
        <v>0.5</v>
      </c>
      <c r="AE36" s="11">
        <f t="shared" si="31"/>
        <v>0</v>
      </c>
      <c r="AF36" s="11">
        <v>1</v>
      </c>
      <c r="AG36" s="11">
        <f t="shared" si="31"/>
        <v>0.5</v>
      </c>
      <c r="AI36" s="11">
        <f t="shared" si="31"/>
        <v>0</v>
      </c>
      <c r="AK36" s="11">
        <f t="shared" si="31"/>
        <v>0</v>
      </c>
      <c r="AM36" s="11">
        <f t="shared" si="31"/>
        <v>0</v>
      </c>
      <c r="AN36" s="11">
        <v>3</v>
      </c>
      <c r="AO36" s="11">
        <f t="shared" ref="AO36:BM52" si="35">AN36*$C36</f>
        <v>1.5</v>
      </c>
      <c r="AQ36" s="11">
        <f t="shared" si="35"/>
        <v>0</v>
      </c>
      <c r="AS36" s="11">
        <f t="shared" si="35"/>
        <v>0</v>
      </c>
      <c r="AU36" s="11">
        <f t="shared" si="35"/>
        <v>0</v>
      </c>
      <c r="AV36" s="11">
        <v>1</v>
      </c>
      <c r="AW36" s="11">
        <f t="shared" si="35"/>
        <v>0.5</v>
      </c>
      <c r="AY36" s="11">
        <f t="shared" si="35"/>
        <v>0</v>
      </c>
      <c r="BA36" s="11">
        <f t="shared" si="35"/>
        <v>0</v>
      </c>
      <c r="BB36" s="11">
        <v>2</v>
      </c>
      <c r="BC36" s="11">
        <f t="shared" si="35"/>
        <v>1</v>
      </c>
      <c r="BE36" s="11">
        <f t="shared" si="35"/>
        <v>0</v>
      </c>
      <c r="BF36" s="11">
        <v>4</v>
      </c>
      <c r="BG36" s="11">
        <f t="shared" si="35"/>
        <v>2</v>
      </c>
      <c r="BH36" s="11">
        <v>7</v>
      </c>
      <c r="BI36" s="11">
        <f t="shared" si="35"/>
        <v>3.5</v>
      </c>
      <c r="BJ36" s="11">
        <v>2</v>
      </c>
      <c r="BK36" s="11">
        <f t="shared" si="35"/>
        <v>1</v>
      </c>
      <c r="BM36" s="11">
        <f t="shared" si="35"/>
        <v>0</v>
      </c>
      <c r="BN36" s="16">
        <f ca="1">SUMIF(D$2:$BM35,BN$2,D36:BM36)</f>
        <v>18.5</v>
      </c>
      <c r="BO36" s="16">
        <f ca="1">BN36/4</f>
        <v>4.625</v>
      </c>
    </row>
    <row r="37" spans="1:67" ht="15" customHeight="1" x14ac:dyDescent="0.25">
      <c r="A37" s="18"/>
      <c r="B37" s="17" t="s">
        <v>35</v>
      </c>
      <c r="C37" s="15"/>
      <c r="E37" s="11">
        <f t="shared" si="2"/>
        <v>0</v>
      </c>
      <c r="G37" s="11">
        <f t="shared" si="2"/>
        <v>0</v>
      </c>
      <c r="I37" s="11">
        <f t="shared" si="2"/>
        <v>0</v>
      </c>
      <c r="K37" s="11">
        <f t="shared" si="2"/>
        <v>0</v>
      </c>
      <c r="M37" s="11">
        <f t="shared" si="29"/>
        <v>0</v>
      </c>
      <c r="O37" s="11">
        <f t="shared" si="29"/>
        <v>0</v>
      </c>
      <c r="Q37" s="11">
        <f t="shared" si="29"/>
        <v>0</v>
      </c>
      <c r="S37" s="11">
        <f t="shared" si="29"/>
        <v>0</v>
      </c>
      <c r="U37" s="11">
        <f t="shared" si="29"/>
        <v>0</v>
      </c>
      <c r="W37" s="11">
        <f t="shared" si="31"/>
        <v>0</v>
      </c>
      <c r="Y37" s="11">
        <f t="shared" si="31"/>
        <v>0</v>
      </c>
      <c r="AA37" s="11">
        <f t="shared" si="31"/>
        <v>0</v>
      </c>
      <c r="AC37" s="11">
        <f t="shared" si="31"/>
        <v>0</v>
      </c>
      <c r="AE37" s="11">
        <f t="shared" si="31"/>
        <v>0</v>
      </c>
      <c r="AG37" s="11">
        <f t="shared" si="31"/>
        <v>0</v>
      </c>
      <c r="AI37" s="11">
        <f t="shared" si="31"/>
        <v>0</v>
      </c>
      <c r="AK37" s="11">
        <f t="shared" si="31"/>
        <v>0</v>
      </c>
      <c r="AM37" s="11">
        <f t="shared" si="31"/>
        <v>0</v>
      </c>
      <c r="AO37" s="11">
        <f t="shared" si="35"/>
        <v>0</v>
      </c>
      <c r="AQ37" s="11">
        <f t="shared" si="35"/>
        <v>0</v>
      </c>
      <c r="AS37" s="11">
        <f t="shared" si="35"/>
        <v>0</v>
      </c>
      <c r="AU37" s="11">
        <f t="shared" si="35"/>
        <v>0</v>
      </c>
      <c r="AW37" s="11">
        <f t="shared" si="35"/>
        <v>0</v>
      </c>
      <c r="AY37" s="11">
        <f t="shared" si="35"/>
        <v>0</v>
      </c>
      <c r="BA37" s="11">
        <f t="shared" si="35"/>
        <v>0</v>
      </c>
      <c r="BC37" s="11">
        <f t="shared" si="35"/>
        <v>0</v>
      </c>
      <c r="BE37" s="11">
        <f t="shared" si="35"/>
        <v>0</v>
      </c>
      <c r="BG37" s="11">
        <f t="shared" si="35"/>
        <v>0</v>
      </c>
      <c r="BI37" s="11">
        <f t="shared" si="35"/>
        <v>0</v>
      </c>
      <c r="BK37" s="11">
        <f t="shared" si="35"/>
        <v>0</v>
      </c>
      <c r="BM37" s="11">
        <f t="shared" si="35"/>
        <v>0</v>
      </c>
      <c r="BN37" s="16">
        <f ca="1">SUMIF(D$2:$BM36,BN$2,D37:BM37)</f>
        <v>0</v>
      </c>
      <c r="BO37" s="16">
        <f>SUMIF(D$2:BM$2,BO$2,D37:BM37)</f>
        <v>0</v>
      </c>
    </row>
    <row r="38" spans="1:67" ht="15" customHeight="1" x14ac:dyDescent="0.25">
      <c r="A38" s="18" t="s">
        <v>15</v>
      </c>
      <c r="B38" s="17" t="s">
        <v>36</v>
      </c>
      <c r="C38" s="15">
        <v>0.5</v>
      </c>
      <c r="D38" s="11">
        <v>2</v>
      </c>
      <c r="E38" s="11">
        <f t="shared" si="2"/>
        <v>1</v>
      </c>
      <c r="G38" s="11">
        <f t="shared" si="2"/>
        <v>0</v>
      </c>
      <c r="I38" s="11">
        <f t="shared" si="2"/>
        <v>0</v>
      </c>
      <c r="J38" s="11">
        <v>1</v>
      </c>
      <c r="K38" s="11">
        <f t="shared" si="2"/>
        <v>0.5</v>
      </c>
      <c r="M38" s="11">
        <f t="shared" si="29"/>
        <v>0</v>
      </c>
      <c r="N38" s="11">
        <v>1</v>
      </c>
      <c r="O38" s="11">
        <f t="shared" si="29"/>
        <v>0.5</v>
      </c>
      <c r="Q38" s="11">
        <f t="shared" si="29"/>
        <v>0</v>
      </c>
      <c r="S38" s="11">
        <f t="shared" si="29"/>
        <v>0</v>
      </c>
      <c r="U38" s="11">
        <f t="shared" si="29"/>
        <v>0</v>
      </c>
      <c r="W38" s="11">
        <f t="shared" si="31"/>
        <v>0</v>
      </c>
      <c r="X38" s="11">
        <v>1</v>
      </c>
      <c r="Y38" s="11">
        <f t="shared" si="31"/>
        <v>0.5</v>
      </c>
      <c r="Z38" s="11">
        <v>1</v>
      </c>
      <c r="AA38" s="11">
        <f t="shared" si="31"/>
        <v>0.5</v>
      </c>
      <c r="AC38" s="11">
        <f t="shared" si="31"/>
        <v>0</v>
      </c>
      <c r="AE38" s="11">
        <f t="shared" si="31"/>
        <v>0</v>
      </c>
      <c r="AF38" s="11">
        <v>3</v>
      </c>
      <c r="AG38" s="11">
        <f t="shared" si="31"/>
        <v>1.5</v>
      </c>
      <c r="AI38" s="11">
        <f t="shared" si="31"/>
        <v>0</v>
      </c>
      <c r="AK38" s="11">
        <f t="shared" si="31"/>
        <v>0</v>
      </c>
      <c r="AM38" s="11">
        <f t="shared" si="31"/>
        <v>0</v>
      </c>
      <c r="AO38" s="11">
        <f t="shared" si="35"/>
        <v>0</v>
      </c>
      <c r="AQ38" s="11">
        <f t="shared" si="35"/>
        <v>0</v>
      </c>
      <c r="AS38" s="11">
        <f t="shared" si="35"/>
        <v>0</v>
      </c>
      <c r="AU38" s="11">
        <f t="shared" si="35"/>
        <v>0</v>
      </c>
      <c r="AW38" s="11">
        <f t="shared" si="35"/>
        <v>0</v>
      </c>
      <c r="AY38" s="11">
        <f t="shared" si="35"/>
        <v>0</v>
      </c>
      <c r="BA38" s="11">
        <f t="shared" si="35"/>
        <v>0</v>
      </c>
      <c r="BC38" s="11">
        <f t="shared" si="35"/>
        <v>0</v>
      </c>
      <c r="BD38" s="11">
        <v>1</v>
      </c>
      <c r="BE38" s="11">
        <f t="shared" si="35"/>
        <v>0.5</v>
      </c>
      <c r="BG38" s="11">
        <f t="shared" si="35"/>
        <v>0</v>
      </c>
      <c r="BH38" s="11">
        <v>3</v>
      </c>
      <c r="BI38" s="11">
        <f t="shared" si="35"/>
        <v>1.5</v>
      </c>
      <c r="BK38" s="11">
        <f t="shared" si="35"/>
        <v>0</v>
      </c>
      <c r="BM38" s="11">
        <f t="shared" si="35"/>
        <v>0</v>
      </c>
      <c r="BN38" s="16">
        <f ca="1">SUMIF(D$2:$BM37,BN$2,D38:BM38)</f>
        <v>6.5</v>
      </c>
      <c r="BO38" s="16">
        <f t="shared" ref="BO38:BO48" ca="1" si="36">BN38/4</f>
        <v>1.625</v>
      </c>
    </row>
    <row r="39" spans="1:67" ht="15" customHeight="1" x14ac:dyDescent="0.25">
      <c r="A39" s="14" t="s">
        <v>5</v>
      </c>
      <c r="B39" s="7" t="s">
        <v>37</v>
      </c>
      <c r="C39" s="15">
        <v>1</v>
      </c>
      <c r="D39" s="11">
        <v>14</v>
      </c>
      <c r="E39" s="11">
        <f t="shared" si="2"/>
        <v>14</v>
      </c>
      <c r="F39" s="11">
        <v>7</v>
      </c>
      <c r="G39" s="11">
        <f t="shared" si="2"/>
        <v>7</v>
      </c>
      <c r="H39" s="11">
        <v>11</v>
      </c>
      <c r="I39" s="11">
        <f t="shared" si="2"/>
        <v>11</v>
      </c>
      <c r="J39" s="11">
        <v>9</v>
      </c>
      <c r="K39" s="11">
        <f t="shared" si="2"/>
        <v>9</v>
      </c>
      <c r="L39" s="11">
        <v>11</v>
      </c>
      <c r="M39" s="11">
        <f t="shared" si="29"/>
        <v>11</v>
      </c>
      <c r="N39" s="11">
        <v>17</v>
      </c>
      <c r="O39" s="11">
        <f t="shared" si="29"/>
        <v>17</v>
      </c>
      <c r="P39" s="11">
        <v>14</v>
      </c>
      <c r="Q39" s="11">
        <f t="shared" si="29"/>
        <v>14</v>
      </c>
      <c r="R39" s="11">
        <v>19</v>
      </c>
      <c r="S39" s="11">
        <f t="shared" si="29"/>
        <v>19</v>
      </c>
      <c r="T39" s="11">
        <v>6</v>
      </c>
      <c r="U39" s="11">
        <f t="shared" si="29"/>
        <v>6</v>
      </c>
      <c r="V39" s="11">
        <v>2</v>
      </c>
      <c r="W39" s="11">
        <f t="shared" si="31"/>
        <v>2</v>
      </c>
      <c r="X39" s="11">
        <v>4</v>
      </c>
      <c r="Y39" s="11">
        <f t="shared" si="31"/>
        <v>4</v>
      </c>
      <c r="Z39" s="11">
        <v>2</v>
      </c>
      <c r="AA39" s="11">
        <f t="shared" si="31"/>
        <v>2</v>
      </c>
      <c r="AB39" s="11">
        <v>4</v>
      </c>
      <c r="AC39" s="11">
        <f t="shared" si="31"/>
        <v>4</v>
      </c>
      <c r="AD39" s="11">
        <v>8</v>
      </c>
      <c r="AE39" s="11">
        <f t="shared" si="31"/>
        <v>8</v>
      </c>
      <c r="AF39" s="11">
        <v>14</v>
      </c>
      <c r="AG39" s="11">
        <f t="shared" si="31"/>
        <v>14</v>
      </c>
      <c r="AH39" s="11">
        <v>10</v>
      </c>
      <c r="AI39" s="11">
        <f t="shared" si="31"/>
        <v>10</v>
      </c>
      <c r="AJ39" s="11">
        <v>12</v>
      </c>
      <c r="AK39" s="11">
        <f t="shared" si="31"/>
        <v>12</v>
      </c>
      <c r="AL39" s="11">
        <v>4</v>
      </c>
      <c r="AM39" s="11">
        <f t="shared" si="31"/>
        <v>4</v>
      </c>
      <c r="AN39" s="11">
        <v>16</v>
      </c>
      <c r="AO39" s="11">
        <f t="shared" si="35"/>
        <v>16</v>
      </c>
      <c r="AP39" s="11">
        <v>8</v>
      </c>
      <c r="AQ39" s="11">
        <f t="shared" si="35"/>
        <v>8</v>
      </c>
      <c r="AR39" s="11">
        <v>5</v>
      </c>
      <c r="AS39" s="11">
        <f t="shared" si="35"/>
        <v>5</v>
      </c>
      <c r="AT39" s="11">
        <v>5</v>
      </c>
      <c r="AU39" s="11">
        <f t="shared" si="35"/>
        <v>5</v>
      </c>
      <c r="AV39" s="11">
        <v>12</v>
      </c>
      <c r="AW39" s="11">
        <f t="shared" si="35"/>
        <v>12</v>
      </c>
      <c r="AY39" s="11">
        <f t="shared" si="35"/>
        <v>0</v>
      </c>
      <c r="AZ39" s="11">
        <v>3</v>
      </c>
      <c r="BA39" s="11">
        <f t="shared" si="35"/>
        <v>3</v>
      </c>
      <c r="BB39" s="11">
        <v>5</v>
      </c>
      <c r="BC39" s="11">
        <f t="shared" si="35"/>
        <v>5</v>
      </c>
      <c r="BD39" s="11">
        <v>7</v>
      </c>
      <c r="BE39" s="11">
        <f t="shared" si="35"/>
        <v>7</v>
      </c>
      <c r="BF39" s="11">
        <v>12</v>
      </c>
      <c r="BG39" s="11">
        <f t="shared" si="35"/>
        <v>12</v>
      </c>
      <c r="BH39" s="11">
        <v>13</v>
      </c>
      <c r="BI39" s="11">
        <f t="shared" si="35"/>
        <v>13</v>
      </c>
      <c r="BK39" s="11">
        <f t="shared" si="35"/>
        <v>0</v>
      </c>
      <c r="BM39" s="11">
        <f t="shared" si="35"/>
        <v>0</v>
      </c>
      <c r="BN39" s="16">
        <f ca="1">SUMIF(D$2:$BM38,BN$2,D39:BM39)</f>
        <v>254</v>
      </c>
      <c r="BO39" s="16">
        <f t="shared" ca="1" si="36"/>
        <v>63.5</v>
      </c>
    </row>
    <row r="40" spans="1:67" ht="15" customHeight="1" x14ac:dyDescent="0.25">
      <c r="A40" s="14" t="s">
        <v>5</v>
      </c>
      <c r="B40" s="7" t="s">
        <v>38</v>
      </c>
      <c r="C40" s="15">
        <v>1</v>
      </c>
      <c r="D40" s="11">
        <v>11</v>
      </c>
      <c r="E40" s="11">
        <f t="shared" si="2"/>
        <v>11</v>
      </c>
      <c r="F40" s="11">
        <v>3</v>
      </c>
      <c r="G40" s="11">
        <f t="shared" si="2"/>
        <v>3</v>
      </c>
      <c r="H40" s="11">
        <v>8</v>
      </c>
      <c r="I40" s="11">
        <f t="shared" si="2"/>
        <v>8</v>
      </c>
      <c r="J40" s="11">
        <v>7</v>
      </c>
      <c r="K40" s="11">
        <f t="shared" si="2"/>
        <v>7</v>
      </c>
      <c r="L40" s="11">
        <v>14</v>
      </c>
      <c r="M40" s="11">
        <f t="shared" si="29"/>
        <v>14</v>
      </c>
      <c r="N40" s="11">
        <v>7</v>
      </c>
      <c r="O40" s="11">
        <f t="shared" si="29"/>
        <v>7</v>
      </c>
      <c r="P40" s="11">
        <v>10</v>
      </c>
      <c r="Q40" s="11">
        <f t="shared" si="29"/>
        <v>10</v>
      </c>
      <c r="R40" s="11">
        <v>7</v>
      </c>
      <c r="S40" s="11">
        <f t="shared" si="29"/>
        <v>7</v>
      </c>
      <c r="T40" s="11">
        <v>4</v>
      </c>
      <c r="U40" s="11">
        <f t="shared" si="29"/>
        <v>4</v>
      </c>
      <c r="V40" s="11">
        <v>4</v>
      </c>
      <c r="W40" s="11">
        <f t="shared" si="31"/>
        <v>4</v>
      </c>
      <c r="X40" s="11">
        <v>3</v>
      </c>
      <c r="Y40" s="11">
        <f t="shared" si="31"/>
        <v>3</v>
      </c>
      <c r="Z40" s="11">
        <v>8</v>
      </c>
      <c r="AA40" s="11">
        <f t="shared" si="31"/>
        <v>8</v>
      </c>
      <c r="AB40" s="11">
        <v>9</v>
      </c>
      <c r="AC40" s="11">
        <f t="shared" si="31"/>
        <v>9</v>
      </c>
      <c r="AD40" s="11">
        <v>11</v>
      </c>
      <c r="AE40" s="11">
        <f t="shared" si="31"/>
        <v>11</v>
      </c>
      <c r="AF40" s="11">
        <v>11</v>
      </c>
      <c r="AG40" s="11">
        <f t="shared" si="31"/>
        <v>11</v>
      </c>
      <c r="AH40" s="11">
        <v>7</v>
      </c>
      <c r="AI40" s="11">
        <f t="shared" si="31"/>
        <v>7</v>
      </c>
      <c r="AJ40" s="11">
        <v>1</v>
      </c>
      <c r="AK40" s="11">
        <f t="shared" si="31"/>
        <v>1</v>
      </c>
      <c r="AL40" s="11">
        <v>10</v>
      </c>
      <c r="AM40" s="11">
        <f t="shared" si="31"/>
        <v>10</v>
      </c>
      <c r="AN40" s="11">
        <v>6</v>
      </c>
      <c r="AO40" s="11">
        <f t="shared" si="35"/>
        <v>6</v>
      </c>
      <c r="AP40" s="11">
        <v>7</v>
      </c>
      <c r="AQ40" s="11">
        <f t="shared" si="35"/>
        <v>7</v>
      </c>
      <c r="AR40" s="11">
        <v>9</v>
      </c>
      <c r="AS40" s="11">
        <f t="shared" si="35"/>
        <v>9</v>
      </c>
      <c r="AT40" s="11">
        <v>10</v>
      </c>
      <c r="AU40" s="11">
        <f t="shared" si="35"/>
        <v>10</v>
      </c>
      <c r="AV40" s="11">
        <v>6</v>
      </c>
      <c r="AW40" s="11">
        <f t="shared" si="35"/>
        <v>6</v>
      </c>
      <c r="AX40" s="11">
        <v>4</v>
      </c>
      <c r="AY40" s="11">
        <f t="shared" si="35"/>
        <v>4</v>
      </c>
      <c r="AZ40" s="11">
        <v>8</v>
      </c>
      <c r="BA40" s="11">
        <f t="shared" si="35"/>
        <v>8</v>
      </c>
      <c r="BB40" s="11">
        <v>15</v>
      </c>
      <c r="BC40" s="11">
        <f t="shared" si="35"/>
        <v>15</v>
      </c>
      <c r="BD40" s="11">
        <v>4</v>
      </c>
      <c r="BE40" s="11">
        <f t="shared" si="35"/>
        <v>4</v>
      </c>
      <c r="BF40" s="11">
        <v>5</v>
      </c>
      <c r="BG40" s="11">
        <f t="shared" si="35"/>
        <v>5</v>
      </c>
      <c r="BH40" s="11">
        <v>21</v>
      </c>
      <c r="BI40" s="11">
        <f t="shared" si="35"/>
        <v>21</v>
      </c>
      <c r="BJ40" s="11">
        <v>8</v>
      </c>
      <c r="BK40" s="11">
        <f t="shared" si="35"/>
        <v>8</v>
      </c>
      <c r="BM40" s="11">
        <f t="shared" si="35"/>
        <v>0</v>
      </c>
      <c r="BN40" s="16">
        <f ca="1">SUMIF(D$2:$BM39,BN$2,D40:BM40)</f>
        <v>238</v>
      </c>
      <c r="BO40" s="16">
        <f t="shared" ca="1" si="36"/>
        <v>59.5</v>
      </c>
    </row>
    <row r="41" spans="1:67" ht="15" customHeight="1" x14ac:dyDescent="0.25">
      <c r="A41" s="14" t="s">
        <v>5</v>
      </c>
      <c r="B41" s="7" t="s">
        <v>39</v>
      </c>
      <c r="C41" s="15">
        <v>1</v>
      </c>
      <c r="E41" s="11">
        <f t="shared" si="2"/>
        <v>0</v>
      </c>
      <c r="F41" s="11">
        <v>5</v>
      </c>
      <c r="G41" s="11">
        <f t="shared" si="2"/>
        <v>5</v>
      </c>
      <c r="H41" s="11">
        <v>2</v>
      </c>
      <c r="I41" s="11">
        <f t="shared" si="2"/>
        <v>2</v>
      </c>
      <c r="J41" s="11">
        <v>6</v>
      </c>
      <c r="K41" s="11">
        <f t="shared" si="2"/>
        <v>6</v>
      </c>
      <c r="L41" s="11">
        <v>3</v>
      </c>
      <c r="M41" s="11">
        <f t="shared" si="29"/>
        <v>3</v>
      </c>
      <c r="N41" s="11">
        <v>2</v>
      </c>
      <c r="O41" s="11">
        <f t="shared" si="29"/>
        <v>2</v>
      </c>
      <c r="P41" s="11">
        <v>7</v>
      </c>
      <c r="Q41" s="11">
        <f t="shared" si="29"/>
        <v>7</v>
      </c>
      <c r="R41" s="11">
        <v>3</v>
      </c>
      <c r="S41" s="11">
        <f t="shared" si="29"/>
        <v>3</v>
      </c>
      <c r="T41" s="11">
        <v>5</v>
      </c>
      <c r="U41" s="11">
        <f t="shared" si="29"/>
        <v>5</v>
      </c>
      <c r="V41" s="11">
        <v>1</v>
      </c>
      <c r="W41" s="11">
        <f t="shared" si="31"/>
        <v>1</v>
      </c>
      <c r="X41" s="11">
        <v>5</v>
      </c>
      <c r="Y41" s="11">
        <f t="shared" si="31"/>
        <v>5</v>
      </c>
      <c r="Z41" s="11">
        <v>2</v>
      </c>
      <c r="AA41" s="11">
        <f t="shared" si="31"/>
        <v>2</v>
      </c>
      <c r="AB41" s="11">
        <v>1</v>
      </c>
      <c r="AC41" s="11">
        <f t="shared" si="31"/>
        <v>1</v>
      </c>
      <c r="AD41" s="11">
        <v>2</v>
      </c>
      <c r="AE41" s="11">
        <f t="shared" si="31"/>
        <v>2</v>
      </c>
      <c r="AF41" s="11">
        <v>5</v>
      </c>
      <c r="AG41" s="11">
        <f t="shared" si="31"/>
        <v>5</v>
      </c>
      <c r="AI41" s="11">
        <f t="shared" si="31"/>
        <v>0</v>
      </c>
      <c r="AJ41" s="11">
        <v>1</v>
      </c>
      <c r="AK41" s="11">
        <f t="shared" si="31"/>
        <v>1</v>
      </c>
      <c r="AL41" s="11">
        <v>2</v>
      </c>
      <c r="AM41" s="11">
        <f t="shared" si="31"/>
        <v>2</v>
      </c>
      <c r="AN41" s="11">
        <v>6</v>
      </c>
      <c r="AO41" s="11">
        <f t="shared" si="35"/>
        <v>6</v>
      </c>
      <c r="AP41" s="11">
        <v>14</v>
      </c>
      <c r="AQ41" s="11">
        <f t="shared" si="35"/>
        <v>14</v>
      </c>
      <c r="AR41" s="11">
        <v>3</v>
      </c>
      <c r="AS41" s="11">
        <f t="shared" si="35"/>
        <v>3</v>
      </c>
      <c r="AT41" s="11">
        <v>1</v>
      </c>
      <c r="AU41" s="11">
        <f t="shared" si="35"/>
        <v>1</v>
      </c>
      <c r="AV41" s="11">
        <v>7</v>
      </c>
      <c r="AW41" s="11">
        <f t="shared" si="35"/>
        <v>7</v>
      </c>
      <c r="AX41" s="11">
        <v>2</v>
      </c>
      <c r="AY41" s="11">
        <f t="shared" si="35"/>
        <v>2</v>
      </c>
      <c r="AZ41" s="11">
        <v>2</v>
      </c>
      <c r="BA41" s="11">
        <f t="shared" si="35"/>
        <v>2</v>
      </c>
      <c r="BB41" s="11">
        <v>4</v>
      </c>
      <c r="BC41" s="11">
        <f t="shared" si="35"/>
        <v>4</v>
      </c>
      <c r="BD41" s="11">
        <v>1</v>
      </c>
      <c r="BE41" s="11">
        <f t="shared" si="35"/>
        <v>1</v>
      </c>
      <c r="BF41" s="11">
        <v>4</v>
      </c>
      <c r="BG41" s="11">
        <f t="shared" si="35"/>
        <v>4</v>
      </c>
      <c r="BH41" s="11">
        <v>6</v>
      </c>
      <c r="BI41" s="11">
        <f t="shared" si="35"/>
        <v>6</v>
      </c>
      <c r="BJ41" s="11">
        <v>3</v>
      </c>
      <c r="BK41" s="11">
        <f t="shared" si="35"/>
        <v>3</v>
      </c>
      <c r="BM41" s="11">
        <f t="shared" si="35"/>
        <v>0</v>
      </c>
      <c r="BN41" s="16">
        <f ca="1">SUMIF(D$2:$BM40,BN$2,D41:BM41)</f>
        <v>105</v>
      </c>
      <c r="BO41" s="16">
        <f t="shared" ca="1" si="36"/>
        <v>26.25</v>
      </c>
    </row>
    <row r="42" spans="1:67" ht="15" customHeight="1" x14ac:dyDescent="0.25">
      <c r="A42" s="14" t="s">
        <v>5</v>
      </c>
      <c r="B42" s="7" t="s">
        <v>40</v>
      </c>
      <c r="C42" s="15">
        <v>1</v>
      </c>
      <c r="D42" s="11">
        <v>1</v>
      </c>
      <c r="E42" s="11">
        <f t="shared" si="2"/>
        <v>1</v>
      </c>
      <c r="G42" s="11">
        <f t="shared" si="2"/>
        <v>0</v>
      </c>
      <c r="I42" s="11">
        <f t="shared" si="2"/>
        <v>0</v>
      </c>
      <c r="K42" s="11">
        <f t="shared" si="2"/>
        <v>0</v>
      </c>
      <c r="L42" s="11">
        <v>1</v>
      </c>
      <c r="M42" s="11">
        <f t="shared" si="29"/>
        <v>1</v>
      </c>
      <c r="N42" s="11">
        <v>1</v>
      </c>
      <c r="O42" s="11">
        <f t="shared" si="29"/>
        <v>1</v>
      </c>
      <c r="Q42" s="11">
        <f t="shared" si="29"/>
        <v>0</v>
      </c>
      <c r="S42" s="11">
        <f t="shared" si="29"/>
        <v>0</v>
      </c>
      <c r="T42" s="11">
        <v>1</v>
      </c>
      <c r="U42" s="11">
        <f t="shared" si="29"/>
        <v>1</v>
      </c>
      <c r="W42" s="11">
        <f t="shared" si="31"/>
        <v>0</v>
      </c>
      <c r="Y42" s="11">
        <f t="shared" si="31"/>
        <v>0</v>
      </c>
      <c r="Z42" s="11">
        <v>1</v>
      </c>
      <c r="AA42" s="11">
        <f t="shared" si="31"/>
        <v>1</v>
      </c>
      <c r="AC42" s="11">
        <f t="shared" si="31"/>
        <v>0</v>
      </c>
      <c r="AE42" s="11">
        <f t="shared" si="31"/>
        <v>0</v>
      </c>
      <c r="AG42" s="11">
        <f t="shared" si="31"/>
        <v>0</v>
      </c>
      <c r="AI42" s="11">
        <f t="shared" si="31"/>
        <v>0</v>
      </c>
      <c r="AK42" s="11">
        <f t="shared" si="31"/>
        <v>0</v>
      </c>
      <c r="AM42" s="11">
        <f t="shared" si="31"/>
        <v>0</v>
      </c>
      <c r="AO42" s="11">
        <f t="shared" si="35"/>
        <v>0</v>
      </c>
      <c r="AQ42" s="11">
        <f t="shared" si="35"/>
        <v>0</v>
      </c>
      <c r="AS42" s="11">
        <f t="shared" si="35"/>
        <v>0</v>
      </c>
      <c r="AU42" s="11">
        <f t="shared" si="35"/>
        <v>0</v>
      </c>
      <c r="AV42" s="11">
        <v>1</v>
      </c>
      <c r="AW42" s="11">
        <f t="shared" si="35"/>
        <v>1</v>
      </c>
      <c r="AY42" s="11">
        <f t="shared" si="35"/>
        <v>0</v>
      </c>
      <c r="BA42" s="11">
        <f t="shared" si="35"/>
        <v>0</v>
      </c>
      <c r="BC42" s="11">
        <f t="shared" si="35"/>
        <v>0</v>
      </c>
      <c r="BE42" s="11">
        <f t="shared" si="35"/>
        <v>0</v>
      </c>
      <c r="BG42" s="11">
        <f t="shared" si="35"/>
        <v>0</v>
      </c>
      <c r="BH42" s="11">
        <v>1</v>
      </c>
      <c r="BI42" s="11">
        <f t="shared" si="35"/>
        <v>1</v>
      </c>
      <c r="BJ42" s="11">
        <v>1</v>
      </c>
      <c r="BK42" s="11">
        <f t="shared" si="35"/>
        <v>1</v>
      </c>
      <c r="BM42" s="11">
        <f t="shared" si="35"/>
        <v>0</v>
      </c>
      <c r="BN42" s="16">
        <f ca="1">SUMIF(D$2:$BM41,BN$2,D42:BM42)</f>
        <v>8</v>
      </c>
      <c r="BO42" s="16">
        <f t="shared" ca="1" si="36"/>
        <v>2</v>
      </c>
    </row>
    <row r="43" spans="1:67" ht="15" customHeight="1" x14ac:dyDescent="0.25">
      <c r="A43" s="14" t="s">
        <v>5</v>
      </c>
      <c r="B43" s="5" t="s">
        <v>128</v>
      </c>
      <c r="C43" s="15">
        <v>1</v>
      </c>
      <c r="E43" s="11">
        <f t="shared" ref="E43:BM43" si="37">D43*$C43</f>
        <v>0</v>
      </c>
      <c r="F43" s="11">
        <v>1</v>
      </c>
      <c r="G43" s="11">
        <f t="shared" si="37"/>
        <v>1</v>
      </c>
      <c r="I43" s="11">
        <f t="shared" si="37"/>
        <v>0</v>
      </c>
      <c r="J43" s="11">
        <v>1</v>
      </c>
      <c r="K43" s="11">
        <f t="shared" si="37"/>
        <v>1</v>
      </c>
      <c r="M43" s="11">
        <f t="shared" si="37"/>
        <v>0</v>
      </c>
      <c r="O43" s="11">
        <f t="shared" si="37"/>
        <v>0</v>
      </c>
      <c r="Q43" s="11">
        <f t="shared" si="37"/>
        <v>0</v>
      </c>
      <c r="S43" s="11">
        <f t="shared" si="37"/>
        <v>0</v>
      </c>
      <c r="T43" s="11">
        <v>1</v>
      </c>
      <c r="U43" s="11">
        <f t="shared" si="37"/>
        <v>1</v>
      </c>
      <c r="W43" s="11">
        <f t="shared" si="37"/>
        <v>0</v>
      </c>
      <c r="Y43" s="11">
        <f t="shared" si="37"/>
        <v>0</v>
      </c>
      <c r="AA43" s="11">
        <f t="shared" si="37"/>
        <v>0</v>
      </c>
      <c r="AC43" s="11">
        <f t="shared" si="37"/>
        <v>0</v>
      </c>
      <c r="AD43" s="11">
        <v>2</v>
      </c>
      <c r="AE43" s="11">
        <f t="shared" si="37"/>
        <v>2</v>
      </c>
      <c r="AG43" s="11">
        <f t="shared" si="37"/>
        <v>0</v>
      </c>
      <c r="AI43" s="11">
        <f t="shared" si="37"/>
        <v>0</v>
      </c>
      <c r="AK43" s="11">
        <f t="shared" si="37"/>
        <v>0</v>
      </c>
      <c r="AM43" s="11">
        <f t="shared" si="37"/>
        <v>0</v>
      </c>
      <c r="AO43" s="11">
        <f t="shared" si="37"/>
        <v>0</v>
      </c>
      <c r="AP43" s="11">
        <v>1</v>
      </c>
      <c r="AQ43" s="11">
        <f t="shared" si="37"/>
        <v>1</v>
      </c>
      <c r="AS43" s="11">
        <f t="shared" si="37"/>
        <v>0</v>
      </c>
      <c r="AU43" s="11">
        <f t="shared" si="37"/>
        <v>0</v>
      </c>
      <c r="AW43" s="11">
        <f t="shared" si="37"/>
        <v>0</v>
      </c>
      <c r="AY43" s="11">
        <f t="shared" si="37"/>
        <v>0</v>
      </c>
      <c r="BA43" s="11">
        <f t="shared" si="37"/>
        <v>0</v>
      </c>
      <c r="BC43" s="11">
        <f t="shared" si="37"/>
        <v>0</v>
      </c>
      <c r="BE43" s="11">
        <f t="shared" si="37"/>
        <v>0</v>
      </c>
      <c r="BG43" s="11">
        <f t="shared" si="37"/>
        <v>0</v>
      </c>
      <c r="BI43" s="11">
        <f t="shared" si="37"/>
        <v>0</v>
      </c>
      <c r="BJ43" s="11">
        <v>1</v>
      </c>
      <c r="BK43" s="11">
        <f t="shared" si="37"/>
        <v>1</v>
      </c>
      <c r="BM43" s="11">
        <f t="shared" si="37"/>
        <v>0</v>
      </c>
      <c r="BN43" s="16">
        <f ca="1">SUMIF(D$2:$BM42,BN$2,D43:BM43)</f>
        <v>7</v>
      </c>
      <c r="BO43" s="16">
        <f t="shared" ref="BO43" ca="1" si="38">BN43/4</f>
        <v>1.75</v>
      </c>
    </row>
    <row r="44" spans="1:67" ht="15" customHeight="1" x14ac:dyDescent="0.25">
      <c r="A44" s="18" t="s">
        <v>15</v>
      </c>
      <c r="B44" s="28" t="s">
        <v>134</v>
      </c>
      <c r="C44" s="15">
        <v>1</v>
      </c>
      <c r="E44" s="11">
        <f t="shared" ref="E44:BM44" si="39">D44*$C44</f>
        <v>0</v>
      </c>
      <c r="G44" s="11">
        <f t="shared" si="39"/>
        <v>0</v>
      </c>
      <c r="I44" s="11">
        <f t="shared" si="39"/>
        <v>0</v>
      </c>
      <c r="K44" s="11">
        <f t="shared" si="39"/>
        <v>0</v>
      </c>
      <c r="L44" s="11">
        <v>1</v>
      </c>
      <c r="M44" s="11">
        <f t="shared" si="39"/>
        <v>1</v>
      </c>
      <c r="O44" s="11">
        <f t="shared" si="39"/>
        <v>0</v>
      </c>
      <c r="Q44" s="11">
        <f t="shared" si="39"/>
        <v>0</v>
      </c>
      <c r="S44" s="11">
        <f t="shared" si="39"/>
        <v>0</v>
      </c>
      <c r="U44" s="11">
        <f t="shared" si="39"/>
        <v>0</v>
      </c>
      <c r="W44" s="11">
        <f t="shared" si="39"/>
        <v>0</v>
      </c>
      <c r="X44" s="11">
        <v>2</v>
      </c>
      <c r="Y44" s="11">
        <f t="shared" si="39"/>
        <v>2</v>
      </c>
      <c r="AA44" s="11">
        <f t="shared" si="39"/>
        <v>0</v>
      </c>
      <c r="AC44" s="11">
        <f t="shared" si="39"/>
        <v>0</v>
      </c>
      <c r="AE44" s="11">
        <f t="shared" si="39"/>
        <v>0</v>
      </c>
      <c r="AG44" s="11">
        <f t="shared" si="39"/>
        <v>0</v>
      </c>
      <c r="AI44" s="11">
        <f t="shared" si="39"/>
        <v>0</v>
      </c>
      <c r="AK44" s="11">
        <f t="shared" si="39"/>
        <v>0</v>
      </c>
      <c r="AL44" s="11">
        <v>1</v>
      </c>
      <c r="AM44" s="11">
        <f t="shared" si="39"/>
        <v>1</v>
      </c>
      <c r="AO44" s="11">
        <f t="shared" si="39"/>
        <v>0</v>
      </c>
      <c r="AQ44" s="11">
        <f t="shared" si="39"/>
        <v>0</v>
      </c>
      <c r="AR44" s="11">
        <v>1</v>
      </c>
      <c r="AS44" s="11">
        <f t="shared" si="39"/>
        <v>1</v>
      </c>
      <c r="AU44" s="11">
        <f t="shared" si="39"/>
        <v>0</v>
      </c>
      <c r="AW44" s="11">
        <f t="shared" si="39"/>
        <v>0</v>
      </c>
      <c r="AY44" s="11">
        <f t="shared" si="39"/>
        <v>0</v>
      </c>
      <c r="BA44" s="11">
        <f t="shared" si="39"/>
        <v>0</v>
      </c>
      <c r="BC44" s="11">
        <f t="shared" si="39"/>
        <v>0</v>
      </c>
      <c r="BE44" s="11">
        <f t="shared" si="39"/>
        <v>0</v>
      </c>
      <c r="BG44" s="11">
        <f t="shared" si="39"/>
        <v>0</v>
      </c>
      <c r="BH44" s="11">
        <v>1</v>
      </c>
      <c r="BI44" s="11">
        <f t="shared" si="39"/>
        <v>1</v>
      </c>
      <c r="BK44" s="11">
        <f t="shared" si="39"/>
        <v>0</v>
      </c>
      <c r="BM44" s="11">
        <f t="shared" si="39"/>
        <v>0</v>
      </c>
      <c r="BN44" s="16">
        <f ca="1">SUMIF(D$2:$BM43,BN$2,D44:BM44)</f>
        <v>6</v>
      </c>
      <c r="BO44" s="16">
        <f t="shared" ref="BO44" ca="1" si="40">BN44/4</f>
        <v>1.5</v>
      </c>
    </row>
    <row r="45" spans="1:67" ht="15" customHeight="1" x14ac:dyDescent="0.25">
      <c r="A45" s="18" t="s">
        <v>15</v>
      </c>
      <c r="B45" s="17" t="s">
        <v>41</v>
      </c>
      <c r="C45" s="15">
        <v>1</v>
      </c>
      <c r="D45" s="11">
        <v>2</v>
      </c>
      <c r="E45" s="11">
        <f t="shared" si="2"/>
        <v>2</v>
      </c>
      <c r="F45" s="11">
        <v>1</v>
      </c>
      <c r="G45" s="11">
        <f t="shared" si="2"/>
        <v>1</v>
      </c>
      <c r="H45" s="11">
        <v>2</v>
      </c>
      <c r="I45" s="11">
        <f t="shared" si="2"/>
        <v>2</v>
      </c>
      <c r="J45" s="11">
        <v>2</v>
      </c>
      <c r="K45" s="11">
        <f t="shared" si="2"/>
        <v>2</v>
      </c>
      <c r="L45" s="11">
        <v>2</v>
      </c>
      <c r="M45" s="11">
        <f t="shared" si="29"/>
        <v>2</v>
      </c>
      <c r="N45" s="11">
        <v>3</v>
      </c>
      <c r="O45" s="11">
        <f t="shared" si="29"/>
        <v>3</v>
      </c>
      <c r="Q45" s="11">
        <f t="shared" si="29"/>
        <v>0</v>
      </c>
      <c r="S45" s="11">
        <f t="shared" si="29"/>
        <v>0</v>
      </c>
      <c r="T45" s="11">
        <v>2</v>
      </c>
      <c r="U45" s="11">
        <f t="shared" si="29"/>
        <v>2</v>
      </c>
      <c r="W45" s="11">
        <f t="shared" si="31"/>
        <v>0</v>
      </c>
      <c r="X45" s="11">
        <v>2</v>
      </c>
      <c r="Y45" s="11">
        <f t="shared" si="31"/>
        <v>2</v>
      </c>
      <c r="AA45" s="11">
        <f t="shared" si="31"/>
        <v>0</v>
      </c>
      <c r="AC45" s="11">
        <f t="shared" si="31"/>
        <v>0</v>
      </c>
      <c r="AE45" s="11">
        <f t="shared" si="31"/>
        <v>0</v>
      </c>
      <c r="AG45" s="11">
        <f t="shared" si="31"/>
        <v>0</v>
      </c>
      <c r="AH45" s="11">
        <v>1</v>
      </c>
      <c r="AI45" s="11">
        <f t="shared" si="31"/>
        <v>1</v>
      </c>
      <c r="AJ45" s="11">
        <v>4</v>
      </c>
      <c r="AK45" s="11">
        <f t="shared" si="31"/>
        <v>4</v>
      </c>
      <c r="AM45" s="11">
        <f t="shared" si="31"/>
        <v>0</v>
      </c>
      <c r="AN45" s="11">
        <v>7</v>
      </c>
      <c r="AO45" s="11">
        <f t="shared" si="35"/>
        <v>7</v>
      </c>
      <c r="AP45" s="11">
        <v>4</v>
      </c>
      <c r="AQ45" s="11">
        <f t="shared" si="35"/>
        <v>4</v>
      </c>
      <c r="AR45" s="11">
        <v>4</v>
      </c>
      <c r="AS45" s="11">
        <f t="shared" si="35"/>
        <v>4</v>
      </c>
      <c r="AT45" s="11">
        <v>7</v>
      </c>
      <c r="AU45" s="11">
        <f t="shared" si="35"/>
        <v>7</v>
      </c>
      <c r="AV45" s="11">
        <v>1</v>
      </c>
      <c r="AW45" s="11">
        <f t="shared" si="35"/>
        <v>1</v>
      </c>
      <c r="AY45" s="11">
        <f t="shared" si="35"/>
        <v>0</v>
      </c>
      <c r="AZ45" s="11">
        <v>2</v>
      </c>
      <c r="BA45" s="11">
        <f t="shared" si="35"/>
        <v>2</v>
      </c>
      <c r="BB45" s="11">
        <v>1</v>
      </c>
      <c r="BC45" s="11">
        <f t="shared" si="35"/>
        <v>1</v>
      </c>
      <c r="BD45" s="11">
        <v>5</v>
      </c>
      <c r="BE45" s="11">
        <f t="shared" si="35"/>
        <v>5</v>
      </c>
      <c r="BG45" s="11">
        <f t="shared" si="35"/>
        <v>0</v>
      </c>
      <c r="BH45" s="11">
        <v>2</v>
      </c>
      <c r="BI45" s="11">
        <f t="shared" si="35"/>
        <v>2</v>
      </c>
      <c r="BJ45" s="11">
        <v>3</v>
      </c>
      <c r="BK45" s="11">
        <f t="shared" si="35"/>
        <v>3</v>
      </c>
      <c r="BM45" s="11">
        <f t="shared" si="35"/>
        <v>0</v>
      </c>
      <c r="BN45" s="16">
        <f ca="1">SUMIF(D$2:$BM42,BN$2,D45:BM45)</f>
        <v>57</v>
      </c>
      <c r="BO45" s="16">
        <f t="shared" ca="1" si="36"/>
        <v>14.25</v>
      </c>
    </row>
    <row r="46" spans="1:67" ht="15" customHeight="1" x14ac:dyDescent="0.25">
      <c r="A46" s="18" t="s">
        <v>15</v>
      </c>
      <c r="B46" s="17" t="s">
        <v>42</v>
      </c>
      <c r="C46" s="15">
        <v>1</v>
      </c>
      <c r="D46" s="11">
        <v>5</v>
      </c>
      <c r="E46" s="11">
        <f t="shared" si="2"/>
        <v>5</v>
      </c>
      <c r="G46" s="11">
        <f t="shared" si="2"/>
        <v>0</v>
      </c>
      <c r="H46" s="11">
        <v>4</v>
      </c>
      <c r="I46" s="11">
        <f t="shared" si="2"/>
        <v>4</v>
      </c>
      <c r="J46" s="11">
        <v>1</v>
      </c>
      <c r="K46" s="11">
        <f t="shared" si="2"/>
        <v>1</v>
      </c>
      <c r="L46" s="11">
        <v>2</v>
      </c>
      <c r="M46" s="11">
        <f t="shared" si="29"/>
        <v>2</v>
      </c>
      <c r="O46" s="11">
        <f t="shared" si="29"/>
        <v>0</v>
      </c>
      <c r="P46" s="11">
        <v>1</v>
      </c>
      <c r="Q46" s="11">
        <f t="shared" si="29"/>
        <v>1</v>
      </c>
      <c r="R46" s="11">
        <v>2</v>
      </c>
      <c r="S46" s="11">
        <f t="shared" si="29"/>
        <v>2</v>
      </c>
      <c r="T46" s="11">
        <v>4</v>
      </c>
      <c r="U46" s="11">
        <f t="shared" si="29"/>
        <v>4</v>
      </c>
      <c r="V46" s="11">
        <v>1</v>
      </c>
      <c r="W46" s="11">
        <f t="shared" si="31"/>
        <v>1</v>
      </c>
      <c r="Y46" s="11">
        <f t="shared" si="31"/>
        <v>0</v>
      </c>
      <c r="AA46" s="11">
        <f t="shared" si="31"/>
        <v>0</v>
      </c>
      <c r="AB46" s="11">
        <v>2</v>
      </c>
      <c r="AC46" s="11">
        <f t="shared" si="31"/>
        <v>2</v>
      </c>
      <c r="AD46" s="11">
        <v>1</v>
      </c>
      <c r="AE46" s="11">
        <f t="shared" si="31"/>
        <v>1</v>
      </c>
      <c r="AF46" s="11">
        <v>4</v>
      </c>
      <c r="AG46" s="11">
        <f t="shared" si="31"/>
        <v>4</v>
      </c>
      <c r="AI46" s="11">
        <f t="shared" si="31"/>
        <v>0</v>
      </c>
      <c r="AJ46" s="11">
        <v>2</v>
      </c>
      <c r="AK46" s="11">
        <f t="shared" si="31"/>
        <v>2</v>
      </c>
      <c r="AL46" s="11">
        <v>1</v>
      </c>
      <c r="AM46" s="11">
        <f t="shared" si="31"/>
        <v>1</v>
      </c>
      <c r="AN46" s="11">
        <v>3</v>
      </c>
      <c r="AO46" s="11">
        <f t="shared" si="35"/>
        <v>3</v>
      </c>
      <c r="AP46" s="11">
        <v>2</v>
      </c>
      <c r="AQ46" s="11">
        <f t="shared" si="35"/>
        <v>2</v>
      </c>
      <c r="AR46" s="11">
        <v>3</v>
      </c>
      <c r="AS46" s="11">
        <f t="shared" si="35"/>
        <v>3</v>
      </c>
      <c r="AT46" s="11">
        <v>5</v>
      </c>
      <c r="AU46" s="11">
        <f t="shared" si="35"/>
        <v>5</v>
      </c>
      <c r="AV46" s="11">
        <v>1</v>
      </c>
      <c r="AW46" s="11">
        <f t="shared" si="35"/>
        <v>1</v>
      </c>
      <c r="AY46" s="11">
        <f t="shared" si="35"/>
        <v>0</v>
      </c>
      <c r="BA46" s="11">
        <f t="shared" si="35"/>
        <v>0</v>
      </c>
      <c r="BB46" s="11">
        <v>1</v>
      </c>
      <c r="BC46" s="11">
        <f t="shared" si="35"/>
        <v>1</v>
      </c>
      <c r="BD46" s="11">
        <v>5</v>
      </c>
      <c r="BE46" s="11">
        <f t="shared" si="35"/>
        <v>5</v>
      </c>
      <c r="BF46" s="11">
        <v>1</v>
      </c>
      <c r="BG46" s="11">
        <f t="shared" si="35"/>
        <v>1</v>
      </c>
      <c r="BI46" s="11">
        <f t="shared" si="35"/>
        <v>0</v>
      </c>
      <c r="BJ46" s="11">
        <v>3</v>
      </c>
      <c r="BK46" s="11">
        <f t="shared" si="35"/>
        <v>3</v>
      </c>
      <c r="BM46" s="11">
        <f t="shared" si="35"/>
        <v>0</v>
      </c>
      <c r="BN46" s="16">
        <f ca="1">SUMIF(D$2:$BM45,BN$2,D46:BM46)</f>
        <v>54</v>
      </c>
      <c r="BO46" s="16">
        <f t="shared" ca="1" si="36"/>
        <v>13.5</v>
      </c>
    </row>
    <row r="47" spans="1:67" ht="15" customHeight="1" x14ac:dyDescent="0.25">
      <c r="A47" s="18" t="s">
        <v>15</v>
      </c>
      <c r="B47" s="17" t="s">
        <v>43</v>
      </c>
      <c r="C47" s="15">
        <v>1</v>
      </c>
      <c r="E47" s="11">
        <f t="shared" si="2"/>
        <v>0</v>
      </c>
      <c r="G47" s="11">
        <f t="shared" si="2"/>
        <v>0</v>
      </c>
      <c r="H47" s="11">
        <v>1</v>
      </c>
      <c r="I47" s="11">
        <f t="shared" si="2"/>
        <v>1</v>
      </c>
      <c r="K47" s="11">
        <f t="shared" si="2"/>
        <v>0</v>
      </c>
      <c r="L47" s="11">
        <v>2</v>
      </c>
      <c r="M47" s="11">
        <f t="shared" si="29"/>
        <v>2</v>
      </c>
      <c r="O47" s="11">
        <f t="shared" si="29"/>
        <v>0</v>
      </c>
      <c r="Q47" s="11">
        <f t="shared" si="29"/>
        <v>0</v>
      </c>
      <c r="R47" s="11">
        <v>2</v>
      </c>
      <c r="S47" s="11">
        <f t="shared" si="29"/>
        <v>2</v>
      </c>
      <c r="U47" s="11">
        <f t="shared" si="29"/>
        <v>0</v>
      </c>
      <c r="W47" s="11">
        <f t="shared" si="31"/>
        <v>0</v>
      </c>
      <c r="X47" s="11">
        <v>4</v>
      </c>
      <c r="Y47" s="11">
        <f t="shared" si="31"/>
        <v>4</v>
      </c>
      <c r="Z47" s="11">
        <v>2</v>
      </c>
      <c r="AA47" s="11">
        <f t="shared" si="31"/>
        <v>2</v>
      </c>
      <c r="AC47" s="11">
        <f t="shared" si="31"/>
        <v>0</v>
      </c>
      <c r="AE47" s="11">
        <f t="shared" si="31"/>
        <v>0</v>
      </c>
      <c r="AG47" s="11">
        <f t="shared" si="31"/>
        <v>0</v>
      </c>
      <c r="AI47" s="11">
        <f t="shared" si="31"/>
        <v>0</v>
      </c>
      <c r="AK47" s="11">
        <f t="shared" si="31"/>
        <v>0</v>
      </c>
      <c r="AL47" s="11">
        <v>1</v>
      </c>
      <c r="AM47" s="11">
        <f t="shared" si="31"/>
        <v>1</v>
      </c>
      <c r="AO47" s="11">
        <f t="shared" si="35"/>
        <v>0</v>
      </c>
      <c r="AP47" s="11">
        <v>1</v>
      </c>
      <c r="AQ47" s="11">
        <f t="shared" si="35"/>
        <v>1</v>
      </c>
      <c r="AS47" s="11">
        <f t="shared" si="35"/>
        <v>0</v>
      </c>
      <c r="AU47" s="11">
        <f t="shared" si="35"/>
        <v>0</v>
      </c>
      <c r="AW47" s="11">
        <f t="shared" si="35"/>
        <v>0</v>
      </c>
      <c r="AY47" s="11">
        <f t="shared" si="35"/>
        <v>0</v>
      </c>
      <c r="AZ47" s="11">
        <v>4</v>
      </c>
      <c r="BA47" s="11">
        <f t="shared" si="35"/>
        <v>4</v>
      </c>
      <c r="BC47" s="11">
        <f t="shared" si="35"/>
        <v>0</v>
      </c>
      <c r="BD47" s="11">
        <v>3</v>
      </c>
      <c r="BE47" s="11">
        <f t="shared" si="35"/>
        <v>3</v>
      </c>
      <c r="BF47" s="11">
        <v>2</v>
      </c>
      <c r="BG47" s="11">
        <f t="shared" si="35"/>
        <v>2</v>
      </c>
      <c r="BI47" s="11">
        <f t="shared" si="35"/>
        <v>0</v>
      </c>
      <c r="BK47" s="11">
        <f t="shared" si="35"/>
        <v>0</v>
      </c>
      <c r="BM47" s="11">
        <f t="shared" si="35"/>
        <v>0</v>
      </c>
      <c r="BN47" s="16">
        <f ca="1">SUMIF(D$2:$BM46,BN$2,D47:BM47)</f>
        <v>22</v>
      </c>
      <c r="BO47" s="16">
        <f t="shared" ca="1" si="36"/>
        <v>5.5</v>
      </c>
    </row>
    <row r="48" spans="1:67" ht="15" customHeight="1" x14ac:dyDescent="0.25">
      <c r="A48" s="18" t="s">
        <v>15</v>
      </c>
      <c r="B48" s="17" t="s">
        <v>44</v>
      </c>
      <c r="C48" s="15">
        <v>1</v>
      </c>
      <c r="E48" s="11">
        <f t="shared" si="2"/>
        <v>0</v>
      </c>
      <c r="G48" s="11">
        <f t="shared" si="2"/>
        <v>0</v>
      </c>
      <c r="H48" s="11">
        <v>1</v>
      </c>
      <c r="I48" s="11">
        <f t="shared" si="2"/>
        <v>1</v>
      </c>
      <c r="K48" s="11">
        <f t="shared" si="2"/>
        <v>0</v>
      </c>
      <c r="M48" s="11">
        <f t="shared" si="29"/>
        <v>0</v>
      </c>
      <c r="O48" s="11">
        <f t="shared" si="29"/>
        <v>0</v>
      </c>
      <c r="Q48" s="11">
        <f t="shared" si="29"/>
        <v>0</v>
      </c>
      <c r="S48" s="11">
        <f t="shared" si="29"/>
        <v>0</v>
      </c>
      <c r="U48" s="11">
        <f t="shared" si="29"/>
        <v>0</v>
      </c>
      <c r="W48" s="11">
        <f t="shared" si="31"/>
        <v>0</v>
      </c>
      <c r="X48" s="11">
        <v>1</v>
      </c>
      <c r="Y48" s="11">
        <f t="shared" si="31"/>
        <v>1</v>
      </c>
      <c r="AA48" s="11">
        <f t="shared" si="31"/>
        <v>0</v>
      </c>
      <c r="AC48" s="11">
        <f t="shared" si="31"/>
        <v>0</v>
      </c>
      <c r="AE48" s="11">
        <f t="shared" si="31"/>
        <v>0</v>
      </c>
      <c r="AG48" s="11">
        <f t="shared" si="31"/>
        <v>0</v>
      </c>
      <c r="AI48" s="11">
        <f t="shared" si="31"/>
        <v>0</v>
      </c>
      <c r="AK48" s="11">
        <f t="shared" si="31"/>
        <v>0</v>
      </c>
      <c r="AL48" s="11">
        <v>1</v>
      </c>
      <c r="AM48" s="11">
        <f t="shared" si="31"/>
        <v>1</v>
      </c>
      <c r="AO48" s="11">
        <f t="shared" si="35"/>
        <v>0</v>
      </c>
      <c r="AQ48" s="11">
        <f t="shared" si="35"/>
        <v>0</v>
      </c>
      <c r="AS48" s="11">
        <f t="shared" si="35"/>
        <v>0</v>
      </c>
      <c r="AU48" s="11">
        <f t="shared" si="35"/>
        <v>0</v>
      </c>
      <c r="AW48" s="11">
        <f t="shared" si="35"/>
        <v>0</v>
      </c>
      <c r="AY48" s="11">
        <f t="shared" si="35"/>
        <v>0</v>
      </c>
      <c r="BA48" s="11">
        <f t="shared" si="35"/>
        <v>0</v>
      </c>
      <c r="BC48" s="11">
        <f t="shared" si="35"/>
        <v>0</v>
      </c>
      <c r="BD48" s="11">
        <v>2</v>
      </c>
      <c r="BE48" s="11">
        <f t="shared" si="35"/>
        <v>2</v>
      </c>
      <c r="BG48" s="11">
        <f t="shared" si="35"/>
        <v>0</v>
      </c>
      <c r="BI48" s="11">
        <f t="shared" si="35"/>
        <v>0</v>
      </c>
      <c r="BJ48" s="11">
        <v>1</v>
      </c>
      <c r="BK48" s="11">
        <f t="shared" si="35"/>
        <v>1</v>
      </c>
      <c r="BM48" s="11">
        <f t="shared" si="35"/>
        <v>0</v>
      </c>
      <c r="BN48" s="16">
        <f ca="1">SUMIF(D$2:$BM47,BN$2,D48:BM48)</f>
        <v>6</v>
      </c>
      <c r="BO48" s="16">
        <f t="shared" ca="1" si="36"/>
        <v>1.5</v>
      </c>
    </row>
    <row r="49" spans="1:67" ht="15" customHeight="1" x14ac:dyDescent="0.25">
      <c r="A49" s="18"/>
      <c r="B49" s="17" t="s">
        <v>45</v>
      </c>
      <c r="C49" s="15"/>
      <c r="E49" s="11">
        <f t="shared" si="2"/>
        <v>0</v>
      </c>
      <c r="G49" s="11">
        <f t="shared" si="2"/>
        <v>0</v>
      </c>
      <c r="I49" s="11">
        <f t="shared" si="2"/>
        <v>0</v>
      </c>
      <c r="K49" s="11">
        <f t="shared" si="2"/>
        <v>0</v>
      </c>
      <c r="M49" s="11">
        <f t="shared" si="29"/>
        <v>0</v>
      </c>
      <c r="O49" s="11">
        <f t="shared" si="29"/>
        <v>0</v>
      </c>
      <c r="Q49" s="11">
        <f t="shared" si="29"/>
        <v>0</v>
      </c>
      <c r="S49" s="11">
        <f t="shared" si="29"/>
        <v>0</v>
      </c>
      <c r="U49" s="11">
        <f t="shared" si="29"/>
        <v>0</v>
      </c>
      <c r="W49" s="11">
        <f t="shared" si="31"/>
        <v>0</v>
      </c>
      <c r="Y49" s="11">
        <f t="shared" si="31"/>
        <v>0</v>
      </c>
      <c r="AA49" s="11">
        <f t="shared" si="31"/>
        <v>0</v>
      </c>
      <c r="AC49" s="11">
        <f t="shared" si="31"/>
        <v>0</v>
      </c>
      <c r="AE49" s="11">
        <f t="shared" si="31"/>
        <v>0</v>
      </c>
      <c r="AG49" s="11">
        <f t="shared" si="31"/>
        <v>0</v>
      </c>
      <c r="AI49" s="11">
        <f t="shared" si="31"/>
        <v>0</v>
      </c>
      <c r="AK49" s="11">
        <f t="shared" si="31"/>
        <v>0</v>
      </c>
      <c r="AM49" s="11">
        <f t="shared" si="31"/>
        <v>0</v>
      </c>
      <c r="AO49" s="11">
        <f t="shared" si="35"/>
        <v>0</v>
      </c>
      <c r="AQ49" s="11">
        <f t="shared" si="35"/>
        <v>0</v>
      </c>
      <c r="AS49" s="11">
        <f t="shared" si="35"/>
        <v>0</v>
      </c>
      <c r="AU49" s="11">
        <f t="shared" si="35"/>
        <v>0</v>
      </c>
      <c r="AW49" s="11">
        <f t="shared" si="35"/>
        <v>0</v>
      </c>
      <c r="AY49" s="11">
        <f t="shared" si="35"/>
        <v>0</v>
      </c>
      <c r="BA49" s="11">
        <f t="shared" si="35"/>
        <v>0</v>
      </c>
      <c r="BC49" s="11">
        <f t="shared" si="35"/>
        <v>0</v>
      </c>
      <c r="BE49" s="11">
        <f t="shared" si="35"/>
        <v>0</v>
      </c>
      <c r="BG49" s="11">
        <f t="shared" si="35"/>
        <v>0</v>
      </c>
      <c r="BI49" s="11">
        <f t="shared" si="35"/>
        <v>0</v>
      </c>
      <c r="BK49" s="11">
        <f t="shared" si="35"/>
        <v>0</v>
      </c>
      <c r="BM49" s="11">
        <f t="shared" si="35"/>
        <v>0</v>
      </c>
      <c r="BN49" s="16">
        <f ca="1">SUMIF(D$2:$BM48,BN$2,D49:BM49)</f>
        <v>0</v>
      </c>
      <c r="BO49" s="16">
        <f t="shared" ref="BO49:BO60" si="41">SUMIF(D$2:BM$2,BO$2,D49:BM49)</f>
        <v>0</v>
      </c>
    </row>
    <row r="50" spans="1:67" ht="15" customHeight="1" x14ac:dyDescent="0.25">
      <c r="A50" s="18"/>
      <c r="B50" s="17" t="s">
        <v>46</v>
      </c>
      <c r="C50" s="15"/>
      <c r="E50" s="11">
        <f t="shared" si="2"/>
        <v>0</v>
      </c>
      <c r="G50" s="11">
        <f t="shared" si="2"/>
        <v>0</v>
      </c>
      <c r="I50" s="11">
        <f t="shared" si="2"/>
        <v>0</v>
      </c>
      <c r="K50" s="11">
        <f t="shared" si="2"/>
        <v>0</v>
      </c>
      <c r="M50" s="11">
        <f t="shared" si="29"/>
        <v>0</v>
      </c>
      <c r="O50" s="11">
        <f t="shared" si="29"/>
        <v>0</v>
      </c>
      <c r="Q50" s="11">
        <f t="shared" si="29"/>
        <v>0</v>
      </c>
      <c r="S50" s="11">
        <f t="shared" si="29"/>
        <v>0</v>
      </c>
      <c r="U50" s="11">
        <f t="shared" si="29"/>
        <v>0</v>
      </c>
      <c r="W50" s="11">
        <f t="shared" si="31"/>
        <v>0</v>
      </c>
      <c r="Y50" s="11">
        <f t="shared" si="31"/>
        <v>0</v>
      </c>
      <c r="AA50" s="11">
        <f t="shared" si="31"/>
        <v>0</v>
      </c>
      <c r="AC50" s="11">
        <f t="shared" si="31"/>
        <v>0</v>
      </c>
      <c r="AE50" s="11">
        <f t="shared" si="31"/>
        <v>0</v>
      </c>
      <c r="AG50" s="11">
        <f t="shared" si="31"/>
        <v>0</v>
      </c>
      <c r="AI50" s="11">
        <f t="shared" si="31"/>
        <v>0</v>
      </c>
      <c r="AK50" s="11">
        <f t="shared" si="31"/>
        <v>0</v>
      </c>
      <c r="AM50" s="11">
        <f t="shared" si="31"/>
        <v>0</v>
      </c>
      <c r="AO50" s="11">
        <f t="shared" si="35"/>
        <v>0</v>
      </c>
      <c r="AQ50" s="11">
        <f t="shared" si="35"/>
        <v>0</v>
      </c>
      <c r="AS50" s="11">
        <f t="shared" si="35"/>
        <v>0</v>
      </c>
      <c r="AU50" s="11">
        <f t="shared" si="35"/>
        <v>0</v>
      </c>
      <c r="AW50" s="11">
        <f t="shared" si="35"/>
        <v>0</v>
      </c>
      <c r="AY50" s="11">
        <f t="shared" si="35"/>
        <v>0</v>
      </c>
      <c r="BA50" s="11">
        <f t="shared" si="35"/>
        <v>0</v>
      </c>
      <c r="BC50" s="11">
        <f t="shared" si="35"/>
        <v>0</v>
      </c>
      <c r="BE50" s="11">
        <f t="shared" si="35"/>
        <v>0</v>
      </c>
      <c r="BG50" s="11">
        <f t="shared" si="35"/>
        <v>0</v>
      </c>
      <c r="BI50" s="11">
        <f t="shared" si="35"/>
        <v>0</v>
      </c>
      <c r="BK50" s="11">
        <f t="shared" si="35"/>
        <v>0</v>
      </c>
      <c r="BM50" s="11">
        <f t="shared" si="35"/>
        <v>0</v>
      </c>
      <c r="BN50" s="16">
        <f ca="1">SUMIF(D$2:$BM49,BN$2,D50:BM50)</f>
        <v>0</v>
      </c>
      <c r="BO50" s="16">
        <f t="shared" si="41"/>
        <v>0</v>
      </c>
    </row>
    <row r="51" spans="1:67" ht="15" customHeight="1" x14ac:dyDescent="0.25">
      <c r="A51" s="18"/>
      <c r="B51" s="17" t="s">
        <v>47</v>
      </c>
      <c r="C51" s="15"/>
      <c r="E51" s="11">
        <f t="shared" si="2"/>
        <v>0</v>
      </c>
      <c r="G51" s="11">
        <f t="shared" si="2"/>
        <v>0</v>
      </c>
      <c r="I51" s="11">
        <f t="shared" si="2"/>
        <v>0</v>
      </c>
      <c r="K51" s="11">
        <f t="shared" si="2"/>
        <v>0</v>
      </c>
      <c r="M51" s="11">
        <f t="shared" si="29"/>
        <v>0</v>
      </c>
      <c r="O51" s="11">
        <f t="shared" si="29"/>
        <v>0</v>
      </c>
      <c r="Q51" s="11">
        <f t="shared" si="29"/>
        <v>0</v>
      </c>
      <c r="S51" s="11">
        <f t="shared" si="29"/>
        <v>0</v>
      </c>
      <c r="U51" s="11">
        <f t="shared" si="29"/>
        <v>0</v>
      </c>
      <c r="W51" s="11">
        <f t="shared" si="31"/>
        <v>0</v>
      </c>
      <c r="Y51" s="11">
        <f t="shared" si="31"/>
        <v>0</v>
      </c>
      <c r="AA51" s="11">
        <f t="shared" si="31"/>
        <v>0</v>
      </c>
      <c r="AC51" s="11">
        <f t="shared" si="31"/>
        <v>0</v>
      </c>
      <c r="AE51" s="11">
        <f t="shared" si="31"/>
        <v>0</v>
      </c>
      <c r="AG51" s="11">
        <f t="shared" si="31"/>
        <v>0</v>
      </c>
      <c r="AI51" s="11">
        <f t="shared" si="31"/>
        <v>0</v>
      </c>
      <c r="AK51" s="11">
        <f t="shared" si="31"/>
        <v>0</v>
      </c>
      <c r="AM51" s="11">
        <f t="shared" si="31"/>
        <v>0</v>
      </c>
      <c r="AO51" s="11">
        <f t="shared" si="35"/>
        <v>0</v>
      </c>
      <c r="AQ51" s="11">
        <f t="shared" si="35"/>
        <v>0</v>
      </c>
      <c r="AS51" s="11">
        <f t="shared" si="35"/>
        <v>0</v>
      </c>
      <c r="AU51" s="11">
        <f t="shared" si="35"/>
        <v>0</v>
      </c>
      <c r="AW51" s="11">
        <f t="shared" si="35"/>
        <v>0</v>
      </c>
      <c r="AY51" s="11">
        <f t="shared" si="35"/>
        <v>0</v>
      </c>
      <c r="BA51" s="11">
        <f t="shared" si="35"/>
        <v>0</v>
      </c>
      <c r="BC51" s="11">
        <f t="shared" si="35"/>
        <v>0</v>
      </c>
      <c r="BE51" s="11">
        <f t="shared" si="35"/>
        <v>0</v>
      </c>
      <c r="BG51" s="11">
        <f t="shared" si="35"/>
        <v>0</v>
      </c>
      <c r="BI51" s="11">
        <f t="shared" si="35"/>
        <v>0</v>
      </c>
      <c r="BK51" s="11">
        <f t="shared" si="35"/>
        <v>0</v>
      </c>
      <c r="BM51" s="11">
        <f t="shared" si="35"/>
        <v>0</v>
      </c>
      <c r="BN51" s="16">
        <f ca="1">SUMIF(D$2:$BM50,BN$2,D51:BM51)</f>
        <v>0</v>
      </c>
      <c r="BO51" s="16">
        <f t="shared" si="41"/>
        <v>0</v>
      </c>
    </row>
    <row r="52" spans="1:67" ht="15" customHeight="1" x14ac:dyDescent="0.25">
      <c r="A52" s="18"/>
      <c r="B52" s="17" t="s">
        <v>48</v>
      </c>
      <c r="C52" s="15"/>
      <c r="E52" s="11">
        <f t="shared" si="2"/>
        <v>0</v>
      </c>
      <c r="G52" s="11">
        <f t="shared" si="2"/>
        <v>0</v>
      </c>
      <c r="I52" s="11">
        <f t="shared" si="2"/>
        <v>0</v>
      </c>
      <c r="K52" s="11">
        <f t="shared" si="2"/>
        <v>0</v>
      </c>
      <c r="M52" s="11">
        <f t="shared" si="29"/>
        <v>0</v>
      </c>
      <c r="O52" s="11">
        <f t="shared" si="29"/>
        <v>0</v>
      </c>
      <c r="Q52" s="11">
        <f t="shared" si="29"/>
        <v>0</v>
      </c>
      <c r="S52" s="11">
        <f t="shared" si="29"/>
        <v>0</v>
      </c>
      <c r="U52" s="11">
        <f t="shared" si="29"/>
        <v>0</v>
      </c>
      <c r="W52" s="11">
        <f t="shared" si="31"/>
        <v>0</v>
      </c>
      <c r="Y52" s="11">
        <f t="shared" si="31"/>
        <v>0</v>
      </c>
      <c r="AA52" s="11">
        <f t="shared" si="31"/>
        <v>0</v>
      </c>
      <c r="AC52" s="11">
        <f t="shared" si="31"/>
        <v>0</v>
      </c>
      <c r="AE52" s="11">
        <f t="shared" si="31"/>
        <v>0</v>
      </c>
      <c r="AG52" s="11">
        <f t="shared" si="31"/>
        <v>0</v>
      </c>
      <c r="AI52" s="11">
        <f t="shared" si="31"/>
        <v>0</v>
      </c>
      <c r="AK52" s="11">
        <f t="shared" si="31"/>
        <v>0</v>
      </c>
      <c r="AM52" s="11">
        <f t="shared" si="31"/>
        <v>0</v>
      </c>
      <c r="AO52" s="11">
        <f t="shared" si="35"/>
        <v>0</v>
      </c>
      <c r="AQ52" s="11">
        <f t="shared" si="35"/>
        <v>0</v>
      </c>
      <c r="AS52" s="11">
        <f t="shared" si="35"/>
        <v>0</v>
      </c>
      <c r="AU52" s="11">
        <f t="shared" si="35"/>
        <v>0</v>
      </c>
      <c r="AW52" s="11">
        <f t="shared" si="35"/>
        <v>0</v>
      </c>
      <c r="AY52" s="11">
        <f t="shared" si="35"/>
        <v>0</v>
      </c>
      <c r="BA52" s="11">
        <f t="shared" si="35"/>
        <v>0</v>
      </c>
      <c r="BC52" s="11">
        <f t="shared" si="35"/>
        <v>0</v>
      </c>
      <c r="BE52" s="11">
        <f t="shared" si="35"/>
        <v>0</v>
      </c>
      <c r="BG52" s="11">
        <f t="shared" si="35"/>
        <v>0</v>
      </c>
      <c r="BI52" s="11">
        <f t="shared" si="35"/>
        <v>0</v>
      </c>
      <c r="BK52" s="11">
        <f t="shared" si="35"/>
        <v>0</v>
      </c>
      <c r="BM52" s="11">
        <f t="shared" si="35"/>
        <v>0</v>
      </c>
      <c r="BN52" s="16">
        <f ca="1">SUMIF(D$2:$BM51,BN$2,D52:BM52)</f>
        <v>0</v>
      </c>
      <c r="BO52" s="16">
        <f t="shared" si="41"/>
        <v>0</v>
      </c>
    </row>
    <row r="53" spans="1:67" ht="15" customHeight="1" x14ac:dyDescent="0.25">
      <c r="A53" s="18"/>
      <c r="B53" s="17" t="s">
        <v>49</v>
      </c>
      <c r="C53" s="15"/>
      <c r="E53" s="11">
        <f t="shared" si="2"/>
        <v>0</v>
      </c>
      <c r="G53" s="11">
        <f t="shared" si="2"/>
        <v>0</v>
      </c>
      <c r="I53" s="11">
        <f t="shared" si="2"/>
        <v>0</v>
      </c>
      <c r="K53" s="11">
        <f t="shared" si="2"/>
        <v>0</v>
      </c>
      <c r="M53" s="11">
        <f t="shared" si="29"/>
        <v>0</v>
      </c>
      <c r="O53" s="11">
        <f t="shared" si="29"/>
        <v>0</v>
      </c>
      <c r="Q53" s="11">
        <f t="shared" si="29"/>
        <v>0</v>
      </c>
      <c r="S53" s="11">
        <f t="shared" si="29"/>
        <v>0</v>
      </c>
      <c r="U53" s="11">
        <f t="shared" ref="U53:AS77" si="42">T53*$C53</f>
        <v>0</v>
      </c>
      <c r="W53" s="11">
        <f t="shared" si="42"/>
        <v>0</v>
      </c>
      <c r="Y53" s="11">
        <f t="shared" si="42"/>
        <v>0</v>
      </c>
      <c r="AA53" s="11">
        <f t="shared" si="42"/>
        <v>0</v>
      </c>
      <c r="AC53" s="11">
        <f t="shared" si="42"/>
        <v>0</v>
      </c>
      <c r="AE53" s="11">
        <f t="shared" si="42"/>
        <v>0</v>
      </c>
      <c r="AG53" s="11">
        <f t="shared" si="42"/>
        <v>0</v>
      </c>
      <c r="AI53" s="11">
        <f t="shared" si="42"/>
        <v>0</v>
      </c>
      <c r="AK53" s="11">
        <f t="shared" si="42"/>
        <v>0</v>
      </c>
      <c r="AM53" s="11">
        <f t="shared" si="42"/>
        <v>0</v>
      </c>
      <c r="AO53" s="11">
        <f t="shared" si="42"/>
        <v>0</v>
      </c>
      <c r="AQ53" s="11">
        <f t="shared" si="42"/>
        <v>0</v>
      </c>
      <c r="AS53" s="11">
        <f t="shared" si="42"/>
        <v>0</v>
      </c>
      <c r="AU53" s="11">
        <f t="shared" ref="AU53:BM71" si="43">AT53*$C53</f>
        <v>0</v>
      </c>
      <c r="AW53" s="11">
        <f t="shared" si="43"/>
        <v>0</v>
      </c>
      <c r="AY53" s="11">
        <f t="shared" si="43"/>
        <v>0</v>
      </c>
      <c r="BA53" s="11">
        <f t="shared" si="43"/>
        <v>0</v>
      </c>
      <c r="BC53" s="11">
        <f t="shared" si="43"/>
        <v>0</v>
      </c>
      <c r="BE53" s="11">
        <f t="shared" si="43"/>
        <v>0</v>
      </c>
      <c r="BG53" s="11">
        <f t="shared" si="43"/>
        <v>0</v>
      </c>
      <c r="BI53" s="11">
        <f t="shared" si="43"/>
        <v>0</v>
      </c>
      <c r="BK53" s="11">
        <f t="shared" si="43"/>
        <v>0</v>
      </c>
      <c r="BM53" s="11">
        <f t="shared" si="43"/>
        <v>0</v>
      </c>
      <c r="BN53" s="16">
        <f ca="1">SUMIF(D$2:$BM52,BN$2,D53:BM53)</f>
        <v>0</v>
      </c>
      <c r="BO53" s="16">
        <f t="shared" si="41"/>
        <v>0</v>
      </c>
    </row>
    <row r="54" spans="1:67" ht="15" customHeight="1" x14ac:dyDescent="0.25">
      <c r="A54" s="18" t="s">
        <v>50</v>
      </c>
      <c r="B54" s="17" t="s">
        <v>51</v>
      </c>
      <c r="C54" s="15"/>
      <c r="E54" s="11">
        <f t="shared" si="2"/>
        <v>0</v>
      </c>
      <c r="G54" s="11">
        <f t="shared" si="2"/>
        <v>0</v>
      </c>
      <c r="I54" s="11">
        <f t="shared" si="2"/>
        <v>0</v>
      </c>
      <c r="K54" s="11">
        <f t="shared" si="2"/>
        <v>0</v>
      </c>
      <c r="M54" s="11">
        <f t="shared" si="29"/>
        <v>0</v>
      </c>
      <c r="O54" s="11">
        <f t="shared" si="29"/>
        <v>0</v>
      </c>
      <c r="Q54" s="11">
        <f t="shared" si="29"/>
        <v>0</v>
      </c>
      <c r="S54" s="11">
        <f t="shared" si="29"/>
        <v>0</v>
      </c>
      <c r="U54" s="11">
        <f t="shared" si="42"/>
        <v>0</v>
      </c>
      <c r="W54" s="11">
        <f t="shared" si="42"/>
        <v>0</v>
      </c>
      <c r="Y54" s="11">
        <f t="shared" si="42"/>
        <v>0</v>
      </c>
      <c r="AA54" s="11">
        <f t="shared" si="42"/>
        <v>0</v>
      </c>
      <c r="AC54" s="11">
        <f t="shared" si="42"/>
        <v>0</v>
      </c>
      <c r="AE54" s="11">
        <f t="shared" si="42"/>
        <v>0</v>
      </c>
      <c r="AG54" s="11">
        <f t="shared" si="42"/>
        <v>0</v>
      </c>
      <c r="AI54" s="11">
        <f t="shared" si="42"/>
        <v>0</v>
      </c>
      <c r="AK54" s="11">
        <f t="shared" si="42"/>
        <v>0</v>
      </c>
      <c r="AM54" s="11">
        <f t="shared" si="42"/>
        <v>0</v>
      </c>
      <c r="AO54" s="11">
        <f t="shared" si="42"/>
        <v>0</v>
      </c>
      <c r="AQ54" s="11">
        <f t="shared" si="42"/>
        <v>0</v>
      </c>
      <c r="AS54" s="11">
        <f t="shared" si="42"/>
        <v>0</v>
      </c>
      <c r="AU54" s="11">
        <f t="shared" si="43"/>
        <v>0</v>
      </c>
      <c r="AW54" s="11">
        <f t="shared" si="43"/>
        <v>0</v>
      </c>
      <c r="AY54" s="11">
        <f t="shared" si="43"/>
        <v>0</v>
      </c>
      <c r="BA54" s="11">
        <f t="shared" si="43"/>
        <v>0</v>
      </c>
      <c r="BC54" s="11">
        <f t="shared" si="43"/>
        <v>0</v>
      </c>
      <c r="BE54" s="11">
        <f t="shared" si="43"/>
        <v>0</v>
      </c>
      <c r="BG54" s="11">
        <f t="shared" si="43"/>
        <v>0</v>
      </c>
      <c r="BI54" s="11">
        <f t="shared" si="43"/>
        <v>0</v>
      </c>
      <c r="BK54" s="11">
        <f t="shared" si="43"/>
        <v>0</v>
      </c>
      <c r="BM54" s="11">
        <f t="shared" si="43"/>
        <v>0</v>
      </c>
      <c r="BN54" s="16">
        <f ca="1">SUMIF(D$2:$BM53,BN$2,D54:BM54)</f>
        <v>0</v>
      </c>
      <c r="BO54" s="16">
        <f t="shared" si="41"/>
        <v>0</v>
      </c>
    </row>
    <row r="55" spans="1:67" ht="15" customHeight="1" x14ac:dyDescent="0.25">
      <c r="A55" s="18" t="s">
        <v>50</v>
      </c>
      <c r="B55" s="17" t="s">
        <v>52</v>
      </c>
      <c r="C55" s="15"/>
      <c r="E55" s="11">
        <f t="shared" si="2"/>
        <v>0</v>
      </c>
      <c r="G55" s="11">
        <f t="shared" si="2"/>
        <v>0</v>
      </c>
      <c r="I55" s="11">
        <f t="shared" si="2"/>
        <v>0</v>
      </c>
      <c r="K55" s="11">
        <f t="shared" si="2"/>
        <v>0</v>
      </c>
      <c r="M55" s="11">
        <f t="shared" si="29"/>
        <v>0</v>
      </c>
      <c r="O55" s="11">
        <f t="shared" si="29"/>
        <v>0</v>
      </c>
      <c r="Q55" s="11">
        <f t="shared" si="29"/>
        <v>0</v>
      </c>
      <c r="S55" s="11">
        <f t="shared" si="29"/>
        <v>0</v>
      </c>
      <c r="U55" s="11">
        <f t="shared" si="42"/>
        <v>0</v>
      </c>
      <c r="W55" s="11">
        <f t="shared" si="42"/>
        <v>0</v>
      </c>
      <c r="Y55" s="11">
        <f t="shared" si="42"/>
        <v>0</v>
      </c>
      <c r="AA55" s="11">
        <f t="shared" si="42"/>
        <v>0</v>
      </c>
      <c r="AC55" s="11">
        <f t="shared" si="42"/>
        <v>0</v>
      </c>
      <c r="AE55" s="11">
        <f t="shared" si="42"/>
        <v>0</v>
      </c>
      <c r="AG55" s="11">
        <f t="shared" si="42"/>
        <v>0</v>
      </c>
      <c r="AI55" s="11">
        <f t="shared" si="42"/>
        <v>0</v>
      </c>
      <c r="AK55" s="11">
        <f t="shared" si="42"/>
        <v>0</v>
      </c>
      <c r="AM55" s="11">
        <f t="shared" si="42"/>
        <v>0</v>
      </c>
      <c r="AO55" s="11">
        <f t="shared" si="42"/>
        <v>0</v>
      </c>
      <c r="AQ55" s="11">
        <f t="shared" si="42"/>
        <v>0</v>
      </c>
      <c r="AS55" s="11">
        <f t="shared" si="42"/>
        <v>0</v>
      </c>
      <c r="AU55" s="11">
        <f t="shared" si="43"/>
        <v>0</v>
      </c>
      <c r="AW55" s="11">
        <f t="shared" si="43"/>
        <v>0</v>
      </c>
      <c r="AY55" s="11">
        <f t="shared" si="43"/>
        <v>0</v>
      </c>
      <c r="BA55" s="11">
        <f t="shared" si="43"/>
        <v>0</v>
      </c>
      <c r="BC55" s="11">
        <f t="shared" si="43"/>
        <v>0</v>
      </c>
      <c r="BE55" s="11">
        <f t="shared" si="43"/>
        <v>0</v>
      </c>
      <c r="BG55" s="11">
        <f t="shared" si="43"/>
        <v>0</v>
      </c>
      <c r="BI55" s="11">
        <f t="shared" si="43"/>
        <v>0</v>
      </c>
      <c r="BK55" s="11">
        <f t="shared" si="43"/>
        <v>0</v>
      </c>
      <c r="BM55" s="11">
        <f t="shared" si="43"/>
        <v>0</v>
      </c>
      <c r="BN55" s="16">
        <f ca="1">SUMIF(D$2:$BM54,BN$2,D55:BM55)</f>
        <v>0</v>
      </c>
      <c r="BO55" s="16">
        <f t="shared" si="41"/>
        <v>0</v>
      </c>
    </row>
    <row r="56" spans="1:67" ht="15" customHeight="1" x14ac:dyDescent="0.25">
      <c r="A56" s="18" t="s">
        <v>50</v>
      </c>
      <c r="B56" s="17" t="s">
        <v>53</v>
      </c>
      <c r="C56" s="15"/>
      <c r="E56" s="11">
        <f t="shared" si="2"/>
        <v>0</v>
      </c>
      <c r="G56" s="11">
        <f t="shared" si="2"/>
        <v>0</v>
      </c>
      <c r="I56" s="11">
        <f t="shared" si="2"/>
        <v>0</v>
      </c>
      <c r="K56" s="11">
        <f t="shared" si="2"/>
        <v>0</v>
      </c>
      <c r="M56" s="11">
        <f t="shared" si="29"/>
        <v>0</v>
      </c>
      <c r="O56" s="11">
        <f t="shared" si="29"/>
        <v>0</v>
      </c>
      <c r="Q56" s="11">
        <f t="shared" si="29"/>
        <v>0</v>
      </c>
      <c r="S56" s="11">
        <f t="shared" si="29"/>
        <v>0</v>
      </c>
      <c r="U56" s="11">
        <f t="shared" si="42"/>
        <v>0</v>
      </c>
      <c r="W56" s="11">
        <f t="shared" si="42"/>
        <v>0</v>
      </c>
      <c r="Y56" s="11">
        <f t="shared" si="42"/>
        <v>0</v>
      </c>
      <c r="AA56" s="11">
        <f t="shared" si="42"/>
        <v>0</v>
      </c>
      <c r="AC56" s="11">
        <f t="shared" si="42"/>
        <v>0</v>
      </c>
      <c r="AE56" s="11">
        <f t="shared" si="42"/>
        <v>0</v>
      </c>
      <c r="AG56" s="11">
        <f t="shared" si="42"/>
        <v>0</v>
      </c>
      <c r="AI56" s="11">
        <f t="shared" si="42"/>
        <v>0</v>
      </c>
      <c r="AK56" s="11">
        <f t="shared" si="42"/>
        <v>0</v>
      </c>
      <c r="AM56" s="11">
        <f t="shared" si="42"/>
        <v>0</v>
      </c>
      <c r="AO56" s="11">
        <f t="shared" si="42"/>
        <v>0</v>
      </c>
      <c r="AQ56" s="11">
        <f t="shared" si="42"/>
        <v>0</v>
      </c>
      <c r="AS56" s="11">
        <f t="shared" si="42"/>
        <v>0</v>
      </c>
      <c r="AU56" s="11">
        <f t="shared" si="43"/>
        <v>0</v>
      </c>
      <c r="AW56" s="11">
        <f t="shared" si="43"/>
        <v>0</v>
      </c>
      <c r="AY56" s="11">
        <f t="shared" si="43"/>
        <v>0</v>
      </c>
      <c r="BA56" s="11">
        <f t="shared" si="43"/>
        <v>0</v>
      </c>
      <c r="BC56" s="11">
        <f t="shared" si="43"/>
        <v>0</v>
      </c>
      <c r="BE56" s="11">
        <f t="shared" si="43"/>
        <v>0</v>
      </c>
      <c r="BG56" s="11">
        <f t="shared" si="43"/>
        <v>0</v>
      </c>
      <c r="BI56" s="11">
        <f t="shared" si="43"/>
        <v>0</v>
      </c>
      <c r="BK56" s="11">
        <f t="shared" si="43"/>
        <v>0</v>
      </c>
      <c r="BM56" s="11">
        <f t="shared" si="43"/>
        <v>0</v>
      </c>
      <c r="BN56" s="16">
        <f ca="1">SUMIF(D$2:$BM55,BN$2,D56:BM56)</f>
        <v>0</v>
      </c>
      <c r="BO56" s="16">
        <f t="shared" si="41"/>
        <v>0</v>
      </c>
    </row>
    <row r="57" spans="1:67" ht="15" customHeight="1" x14ac:dyDescent="0.25">
      <c r="A57" s="18" t="s">
        <v>54</v>
      </c>
      <c r="B57" s="17" t="s">
        <v>55</v>
      </c>
      <c r="C57" s="15"/>
      <c r="E57" s="11">
        <f t="shared" si="2"/>
        <v>0</v>
      </c>
      <c r="G57" s="11">
        <f t="shared" si="2"/>
        <v>0</v>
      </c>
      <c r="I57" s="11">
        <f t="shared" si="2"/>
        <v>0</v>
      </c>
      <c r="K57" s="11">
        <f t="shared" si="2"/>
        <v>0</v>
      </c>
      <c r="M57" s="11">
        <f t="shared" si="29"/>
        <v>0</v>
      </c>
      <c r="O57" s="11">
        <f t="shared" si="29"/>
        <v>0</v>
      </c>
      <c r="Q57" s="11">
        <f t="shared" si="29"/>
        <v>0</v>
      </c>
      <c r="S57" s="11">
        <f t="shared" si="29"/>
        <v>0</v>
      </c>
      <c r="U57" s="11">
        <f t="shared" si="42"/>
        <v>0</v>
      </c>
      <c r="W57" s="11">
        <f t="shared" si="42"/>
        <v>0</v>
      </c>
      <c r="Y57" s="11">
        <f t="shared" si="42"/>
        <v>0</v>
      </c>
      <c r="AA57" s="11">
        <f t="shared" si="42"/>
        <v>0</v>
      </c>
      <c r="AC57" s="11">
        <f t="shared" si="42"/>
        <v>0</v>
      </c>
      <c r="AE57" s="11">
        <f t="shared" si="42"/>
        <v>0</v>
      </c>
      <c r="AG57" s="11">
        <f t="shared" si="42"/>
        <v>0</v>
      </c>
      <c r="AI57" s="11">
        <f t="shared" si="42"/>
        <v>0</v>
      </c>
      <c r="AK57" s="11">
        <f t="shared" si="42"/>
        <v>0</v>
      </c>
      <c r="AM57" s="11">
        <f t="shared" si="42"/>
        <v>0</v>
      </c>
      <c r="AO57" s="11">
        <f t="shared" si="42"/>
        <v>0</v>
      </c>
      <c r="AQ57" s="11">
        <f t="shared" si="42"/>
        <v>0</v>
      </c>
      <c r="AS57" s="11">
        <f t="shared" si="42"/>
        <v>0</v>
      </c>
      <c r="AU57" s="11">
        <f t="shared" si="43"/>
        <v>0</v>
      </c>
      <c r="AW57" s="11">
        <f t="shared" si="43"/>
        <v>0</v>
      </c>
      <c r="AY57" s="11">
        <f t="shared" si="43"/>
        <v>0</v>
      </c>
      <c r="BA57" s="11">
        <f t="shared" si="43"/>
        <v>0</v>
      </c>
      <c r="BC57" s="11">
        <f t="shared" si="43"/>
        <v>0</v>
      </c>
      <c r="BE57" s="11">
        <f t="shared" si="43"/>
        <v>0</v>
      </c>
      <c r="BG57" s="11">
        <f t="shared" si="43"/>
        <v>0</v>
      </c>
      <c r="BI57" s="11">
        <f t="shared" si="43"/>
        <v>0</v>
      </c>
      <c r="BK57" s="11">
        <f t="shared" si="43"/>
        <v>0</v>
      </c>
      <c r="BM57" s="11">
        <f t="shared" si="43"/>
        <v>0</v>
      </c>
      <c r="BN57" s="16">
        <f ca="1">SUMIF(D$2:$BM56,BN$2,D57:BM57)</f>
        <v>0</v>
      </c>
      <c r="BO57" s="16">
        <f t="shared" si="41"/>
        <v>0</v>
      </c>
    </row>
    <row r="58" spans="1:67" ht="15" customHeight="1" x14ac:dyDescent="0.25">
      <c r="A58" s="18" t="s">
        <v>54</v>
      </c>
      <c r="B58" s="17" t="s">
        <v>56</v>
      </c>
      <c r="C58" s="15"/>
      <c r="E58" s="11">
        <f t="shared" si="2"/>
        <v>0</v>
      </c>
      <c r="G58" s="11">
        <f t="shared" si="2"/>
        <v>0</v>
      </c>
      <c r="I58" s="11">
        <f t="shared" si="2"/>
        <v>0</v>
      </c>
      <c r="K58" s="11">
        <f t="shared" si="2"/>
        <v>0</v>
      </c>
      <c r="M58" s="11">
        <f t="shared" si="29"/>
        <v>0</v>
      </c>
      <c r="O58" s="11">
        <f t="shared" si="29"/>
        <v>0</v>
      </c>
      <c r="Q58" s="11">
        <f t="shared" si="29"/>
        <v>0</v>
      </c>
      <c r="S58" s="11">
        <f t="shared" si="29"/>
        <v>0</v>
      </c>
      <c r="U58" s="11">
        <f t="shared" si="42"/>
        <v>0</v>
      </c>
      <c r="W58" s="11">
        <f t="shared" si="42"/>
        <v>0</v>
      </c>
      <c r="Y58" s="11">
        <f t="shared" si="42"/>
        <v>0</v>
      </c>
      <c r="AA58" s="11">
        <f t="shared" si="42"/>
        <v>0</v>
      </c>
      <c r="AC58" s="11">
        <f t="shared" si="42"/>
        <v>0</v>
      </c>
      <c r="AE58" s="11">
        <f t="shared" si="42"/>
        <v>0</v>
      </c>
      <c r="AG58" s="11">
        <f t="shared" si="42"/>
        <v>0</v>
      </c>
      <c r="AI58" s="11">
        <f t="shared" si="42"/>
        <v>0</v>
      </c>
      <c r="AK58" s="11">
        <f t="shared" si="42"/>
        <v>0</v>
      </c>
      <c r="AM58" s="11">
        <f t="shared" si="42"/>
        <v>0</v>
      </c>
      <c r="AO58" s="11">
        <f t="shared" si="42"/>
        <v>0</v>
      </c>
      <c r="AQ58" s="11">
        <f t="shared" si="42"/>
        <v>0</v>
      </c>
      <c r="AS58" s="11">
        <f t="shared" si="42"/>
        <v>0</v>
      </c>
      <c r="AU58" s="11">
        <f t="shared" si="43"/>
        <v>0</v>
      </c>
      <c r="AW58" s="11">
        <f t="shared" si="43"/>
        <v>0</v>
      </c>
      <c r="AY58" s="11">
        <f t="shared" si="43"/>
        <v>0</v>
      </c>
      <c r="BA58" s="11">
        <f t="shared" si="43"/>
        <v>0</v>
      </c>
      <c r="BC58" s="11">
        <f t="shared" si="43"/>
        <v>0</v>
      </c>
      <c r="BE58" s="11">
        <f t="shared" si="43"/>
        <v>0</v>
      </c>
      <c r="BG58" s="11">
        <f t="shared" si="43"/>
        <v>0</v>
      </c>
      <c r="BI58" s="11">
        <f t="shared" si="43"/>
        <v>0</v>
      </c>
      <c r="BK58" s="11">
        <f t="shared" si="43"/>
        <v>0</v>
      </c>
      <c r="BM58" s="11">
        <f t="shared" si="43"/>
        <v>0</v>
      </c>
      <c r="BN58" s="16">
        <f ca="1">SUMIF(D$2:$BM57,BN$2,D58:BM58)</f>
        <v>0</v>
      </c>
      <c r="BO58" s="16">
        <f t="shared" si="41"/>
        <v>0</v>
      </c>
    </row>
    <row r="59" spans="1:67" ht="15" customHeight="1" x14ac:dyDescent="0.25">
      <c r="A59" s="14"/>
      <c r="B59" s="17" t="s">
        <v>57</v>
      </c>
      <c r="C59" s="15"/>
      <c r="E59" s="11">
        <f t="shared" si="2"/>
        <v>0</v>
      </c>
      <c r="G59" s="11">
        <f t="shared" si="2"/>
        <v>0</v>
      </c>
      <c r="I59" s="11">
        <f t="shared" si="2"/>
        <v>0</v>
      </c>
      <c r="K59" s="11">
        <f t="shared" si="2"/>
        <v>0</v>
      </c>
      <c r="M59" s="11">
        <f t="shared" si="29"/>
        <v>0</v>
      </c>
      <c r="O59" s="11">
        <f t="shared" si="29"/>
        <v>0</v>
      </c>
      <c r="Q59" s="11">
        <f t="shared" si="29"/>
        <v>0</v>
      </c>
      <c r="S59" s="11">
        <f t="shared" si="29"/>
        <v>0</v>
      </c>
      <c r="U59" s="11">
        <f t="shared" si="42"/>
        <v>0</v>
      </c>
      <c r="W59" s="11">
        <f t="shared" si="42"/>
        <v>0</v>
      </c>
      <c r="Y59" s="11">
        <f t="shared" si="42"/>
        <v>0</v>
      </c>
      <c r="AA59" s="11">
        <f t="shared" si="42"/>
        <v>0</v>
      </c>
      <c r="AC59" s="11">
        <f t="shared" si="42"/>
        <v>0</v>
      </c>
      <c r="AE59" s="11">
        <f t="shared" si="42"/>
        <v>0</v>
      </c>
      <c r="AG59" s="11">
        <f t="shared" si="42"/>
        <v>0</v>
      </c>
      <c r="AI59" s="11">
        <f t="shared" si="42"/>
        <v>0</v>
      </c>
      <c r="AK59" s="11">
        <f t="shared" si="42"/>
        <v>0</v>
      </c>
      <c r="AM59" s="11">
        <f t="shared" si="42"/>
        <v>0</v>
      </c>
      <c r="AO59" s="11">
        <f t="shared" si="42"/>
        <v>0</v>
      </c>
      <c r="AQ59" s="11">
        <f t="shared" si="42"/>
        <v>0</v>
      </c>
      <c r="AS59" s="11">
        <f t="shared" si="42"/>
        <v>0</v>
      </c>
      <c r="AU59" s="11">
        <f t="shared" si="43"/>
        <v>0</v>
      </c>
      <c r="AW59" s="11">
        <f t="shared" si="43"/>
        <v>0</v>
      </c>
      <c r="AY59" s="11">
        <f t="shared" si="43"/>
        <v>0</v>
      </c>
      <c r="BA59" s="11">
        <f t="shared" si="43"/>
        <v>0</v>
      </c>
      <c r="BC59" s="11">
        <f t="shared" si="43"/>
        <v>0</v>
      </c>
      <c r="BE59" s="11">
        <f t="shared" si="43"/>
        <v>0</v>
      </c>
      <c r="BG59" s="11">
        <f t="shared" si="43"/>
        <v>0</v>
      </c>
      <c r="BI59" s="11">
        <f t="shared" si="43"/>
        <v>0</v>
      </c>
      <c r="BK59" s="11">
        <f t="shared" si="43"/>
        <v>0</v>
      </c>
      <c r="BM59" s="11">
        <f t="shared" si="43"/>
        <v>0</v>
      </c>
      <c r="BN59" s="16">
        <f ca="1">SUMIF(D$2:$BM58,BN$2,D59:BM59)</f>
        <v>0</v>
      </c>
      <c r="BO59" s="16">
        <f t="shared" si="41"/>
        <v>0</v>
      </c>
    </row>
    <row r="60" spans="1:67" ht="15" customHeight="1" x14ac:dyDescent="0.25">
      <c r="A60" s="18"/>
      <c r="B60" s="17" t="s">
        <v>58</v>
      </c>
      <c r="C60" s="15"/>
      <c r="E60" s="11">
        <f t="shared" si="2"/>
        <v>0</v>
      </c>
      <c r="G60" s="11">
        <f t="shared" si="2"/>
        <v>0</v>
      </c>
      <c r="I60" s="11">
        <f t="shared" si="2"/>
        <v>0</v>
      </c>
      <c r="K60" s="11">
        <f t="shared" si="2"/>
        <v>0</v>
      </c>
      <c r="M60" s="11">
        <f t="shared" si="29"/>
        <v>0</v>
      </c>
      <c r="O60" s="11">
        <f t="shared" si="29"/>
        <v>0</v>
      </c>
      <c r="Q60" s="11">
        <f t="shared" si="29"/>
        <v>0</v>
      </c>
      <c r="S60" s="11">
        <f t="shared" si="29"/>
        <v>0</v>
      </c>
      <c r="U60" s="11">
        <f t="shared" si="42"/>
        <v>0</v>
      </c>
      <c r="W60" s="11">
        <f t="shared" si="42"/>
        <v>0</v>
      </c>
      <c r="Y60" s="11">
        <f t="shared" si="42"/>
        <v>0</v>
      </c>
      <c r="AA60" s="11">
        <f t="shared" si="42"/>
        <v>0</v>
      </c>
      <c r="AC60" s="11">
        <f t="shared" si="42"/>
        <v>0</v>
      </c>
      <c r="AE60" s="11">
        <f t="shared" si="42"/>
        <v>0</v>
      </c>
      <c r="AG60" s="11">
        <f t="shared" si="42"/>
        <v>0</v>
      </c>
      <c r="AI60" s="11">
        <f t="shared" si="42"/>
        <v>0</v>
      </c>
      <c r="AK60" s="11">
        <f t="shared" si="42"/>
        <v>0</v>
      </c>
      <c r="AM60" s="11">
        <f t="shared" si="42"/>
        <v>0</v>
      </c>
      <c r="AO60" s="11">
        <f t="shared" si="42"/>
        <v>0</v>
      </c>
      <c r="AQ60" s="11">
        <f t="shared" si="42"/>
        <v>0</v>
      </c>
      <c r="AS60" s="11">
        <f t="shared" si="42"/>
        <v>0</v>
      </c>
      <c r="AU60" s="11">
        <f t="shared" si="43"/>
        <v>0</v>
      </c>
      <c r="AW60" s="11">
        <f t="shared" si="43"/>
        <v>0</v>
      </c>
      <c r="AY60" s="11">
        <f t="shared" si="43"/>
        <v>0</v>
      </c>
      <c r="BA60" s="11">
        <f t="shared" si="43"/>
        <v>0</v>
      </c>
      <c r="BC60" s="11">
        <f t="shared" si="43"/>
        <v>0</v>
      </c>
      <c r="BE60" s="11">
        <f t="shared" si="43"/>
        <v>0</v>
      </c>
      <c r="BG60" s="11">
        <f t="shared" si="43"/>
        <v>0</v>
      </c>
      <c r="BI60" s="11">
        <f t="shared" si="43"/>
        <v>0</v>
      </c>
      <c r="BK60" s="11">
        <f t="shared" si="43"/>
        <v>0</v>
      </c>
      <c r="BM60" s="11">
        <f t="shared" si="43"/>
        <v>0</v>
      </c>
      <c r="BN60" s="16">
        <f ca="1">SUMIF(D$2:$BM59,BN$2,D60:BM60)</f>
        <v>0</v>
      </c>
      <c r="BO60" s="16">
        <f t="shared" si="41"/>
        <v>0</v>
      </c>
    </row>
    <row r="61" spans="1:67" ht="15" customHeight="1" x14ac:dyDescent="0.25">
      <c r="A61" s="18" t="s">
        <v>5</v>
      </c>
      <c r="B61" s="17" t="s">
        <v>59</v>
      </c>
      <c r="C61" s="15">
        <v>0.5</v>
      </c>
      <c r="D61" s="11">
        <v>1</v>
      </c>
      <c r="E61" s="11">
        <f t="shared" si="2"/>
        <v>0.5</v>
      </c>
      <c r="F61" s="11">
        <v>3</v>
      </c>
      <c r="G61" s="11">
        <f t="shared" si="2"/>
        <v>1.5</v>
      </c>
      <c r="I61" s="11">
        <f t="shared" si="2"/>
        <v>0</v>
      </c>
      <c r="J61" s="11">
        <v>2</v>
      </c>
      <c r="K61" s="11">
        <f t="shared" si="2"/>
        <v>1</v>
      </c>
      <c r="M61" s="11">
        <f t="shared" si="29"/>
        <v>0</v>
      </c>
      <c r="O61" s="11">
        <f t="shared" si="29"/>
        <v>0</v>
      </c>
      <c r="Q61" s="11">
        <f t="shared" si="29"/>
        <v>0</v>
      </c>
      <c r="S61" s="11">
        <f t="shared" si="29"/>
        <v>0</v>
      </c>
      <c r="T61" s="11">
        <v>2</v>
      </c>
      <c r="U61" s="11">
        <f t="shared" si="42"/>
        <v>1</v>
      </c>
      <c r="V61" s="11">
        <v>1</v>
      </c>
      <c r="W61" s="11">
        <f t="shared" si="42"/>
        <v>0.5</v>
      </c>
      <c r="Y61" s="11">
        <f t="shared" si="42"/>
        <v>0</v>
      </c>
      <c r="AA61" s="11">
        <f t="shared" si="42"/>
        <v>0</v>
      </c>
      <c r="AC61" s="11">
        <f t="shared" si="42"/>
        <v>0</v>
      </c>
      <c r="AD61" s="11">
        <v>1</v>
      </c>
      <c r="AE61" s="11">
        <f t="shared" si="42"/>
        <v>0.5</v>
      </c>
      <c r="AF61" s="11">
        <v>1</v>
      </c>
      <c r="AG61" s="11">
        <f t="shared" si="42"/>
        <v>0.5</v>
      </c>
      <c r="AH61" s="11">
        <v>2</v>
      </c>
      <c r="AI61" s="11">
        <f t="shared" si="42"/>
        <v>1</v>
      </c>
      <c r="AK61" s="11">
        <f t="shared" si="42"/>
        <v>0</v>
      </c>
      <c r="AM61" s="11">
        <f t="shared" si="42"/>
        <v>0</v>
      </c>
      <c r="AO61" s="11">
        <f t="shared" si="42"/>
        <v>0</v>
      </c>
      <c r="AP61" s="11">
        <v>2</v>
      </c>
      <c r="AQ61" s="11">
        <f t="shared" si="42"/>
        <v>1</v>
      </c>
      <c r="AR61" s="11">
        <v>1</v>
      </c>
      <c r="AS61" s="11">
        <f t="shared" si="42"/>
        <v>0.5</v>
      </c>
      <c r="AU61" s="11">
        <f t="shared" si="43"/>
        <v>0</v>
      </c>
      <c r="AV61" s="11">
        <v>1</v>
      </c>
      <c r="AW61" s="11">
        <f t="shared" si="43"/>
        <v>0.5</v>
      </c>
      <c r="AX61" s="11">
        <v>2</v>
      </c>
      <c r="AY61" s="11">
        <f t="shared" si="43"/>
        <v>1</v>
      </c>
      <c r="BA61" s="11">
        <f t="shared" si="43"/>
        <v>0</v>
      </c>
      <c r="BB61" s="11">
        <v>3</v>
      </c>
      <c r="BC61" s="11">
        <f t="shared" si="43"/>
        <v>1.5</v>
      </c>
      <c r="BD61" s="11">
        <v>1</v>
      </c>
      <c r="BE61" s="11">
        <f t="shared" si="43"/>
        <v>0.5</v>
      </c>
      <c r="BG61" s="11">
        <f t="shared" si="43"/>
        <v>0</v>
      </c>
      <c r="BI61" s="11">
        <f t="shared" si="43"/>
        <v>0</v>
      </c>
      <c r="BJ61" s="11">
        <v>2</v>
      </c>
      <c r="BK61" s="11">
        <f t="shared" si="43"/>
        <v>1</v>
      </c>
      <c r="BM61" s="11">
        <f t="shared" si="43"/>
        <v>0</v>
      </c>
      <c r="BN61" s="16">
        <f ca="1">SUMIF(D$2:$BM60,BN$2,D61:BM61)</f>
        <v>12.5</v>
      </c>
      <c r="BO61" s="16">
        <f ca="1">BN61/4</f>
        <v>3.125</v>
      </c>
    </row>
    <row r="62" spans="1:67" ht="15" customHeight="1" x14ac:dyDescent="0.25">
      <c r="A62" s="14" t="s">
        <v>15</v>
      </c>
      <c r="B62" s="17" t="s">
        <v>60</v>
      </c>
      <c r="C62" s="15">
        <v>0.5</v>
      </c>
      <c r="D62" s="11">
        <v>1</v>
      </c>
      <c r="E62" s="11">
        <f t="shared" si="2"/>
        <v>0.5</v>
      </c>
      <c r="F62" s="11">
        <v>1</v>
      </c>
      <c r="G62" s="11">
        <f t="shared" si="2"/>
        <v>0.5</v>
      </c>
      <c r="I62" s="11">
        <f t="shared" si="2"/>
        <v>0</v>
      </c>
      <c r="K62" s="11">
        <f t="shared" si="2"/>
        <v>0</v>
      </c>
      <c r="M62" s="11">
        <f t="shared" si="29"/>
        <v>0</v>
      </c>
      <c r="O62" s="11">
        <f t="shared" si="29"/>
        <v>0</v>
      </c>
      <c r="P62" s="11">
        <v>1</v>
      </c>
      <c r="Q62" s="11">
        <f t="shared" si="29"/>
        <v>0.5</v>
      </c>
      <c r="S62" s="11">
        <f t="shared" si="29"/>
        <v>0</v>
      </c>
      <c r="U62" s="11">
        <f t="shared" si="42"/>
        <v>0</v>
      </c>
      <c r="W62" s="11">
        <f t="shared" si="42"/>
        <v>0</v>
      </c>
      <c r="X62" s="11">
        <v>2</v>
      </c>
      <c r="Y62" s="11">
        <f t="shared" si="42"/>
        <v>1</v>
      </c>
      <c r="AA62" s="11">
        <f t="shared" si="42"/>
        <v>0</v>
      </c>
      <c r="AB62" s="11">
        <v>1</v>
      </c>
      <c r="AC62" s="11">
        <f t="shared" si="42"/>
        <v>0.5</v>
      </c>
      <c r="AE62" s="11">
        <f t="shared" si="42"/>
        <v>0</v>
      </c>
      <c r="AF62" s="11">
        <v>1</v>
      </c>
      <c r="AG62" s="11">
        <f t="shared" si="42"/>
        <v>0.5</v>
      </c>
      <c r="AH62" s="11">
        <v>1</v>
      </c>
      <c r="AI62" s="11">
        <f t="shared" si="42"/>
        <v>0.5</v>
      </c>
      <c r="AK62" s="11">
        <f t="shared" si="42"/>
        <v>0</v>
      </c>
      <c r="AM62" s="11">
        <f t="shared" si="42"/>
        <v>0</v>
      </c>
      <c r="AN62" s="11">
        <v>1</v>
      </c>
      <c r="AO62" s="11">
        <f t="shared" si="42"/>
        <v>0.5</v>
      </c>
      <c r="AQ62" s="11">
        <f t="shared" si="42"/>
        <v>0</v>
      </c>
      <c r="AR62" s="11">
        <v>1</v>
      </c>
      <c r="AS62" s="11">
        <f t="shared" si="42"/>
        <v>0.5</v>
      </c>
      <c r="AT62" s="11">
        <v>1</v>
      </c>
      <c r="AU62" s="11">
        <f t="shared" si="43"/>
        <v>0.5</v>
      </c>
      <c r="AV62" s="11">
        <v>1</v>
      </c>
      <c r="AW62" s="11">
        <f t="shared" si="43"/>
        <v>0.5</v>
      </c>
      <c r="AY62" s="11">
        <f t="shared" si="43"/>
        <v>0</v>
      </c>
      <c r="BA62" s="11">
        <f t="shared" si="43"/>
        <v>0</v>
      </c>
      <c r="BC62" s="11">
        <f t="shared" si="43"/>
        <v>0</v>
      </c>
      <c r="BD62" s="11">
        <v>1</v>
      </c>
      <c r="BE62" s="11">
        <f t="shared" si="43"/>
        <v>0.5</v>
      </c>
      <c r="BG62" s="11">
        <f t="shared" si="43"/>
        <v>0</v>
      </c>
      <c r="BH62" s="11">
        <v>2</v>
      </c>
      <c r="BI62" s="11">
        <f t="shared" si="43"/>
        <v>1</v>
      </c>
      <c r="BK62" s="11">
        <f t="shared" si="43"/>
        <v>0</v>
      </c>
      <c r="BM62" s="11">
        <f t="shared" si="43"/>
        <v>0</v>
      </c>
      <c r="BN62" s="16">
        <f ca="1">SUMIF(D$2:$BM61,BN$2,D62:BM62)</f>
        <v>7.5</v>
      </c>
      <c r="BO62" s="16">
        <f ca="1">BN62/4</f>
        <v>1.875</v>
      </c>
    </row>
    <row r="63" spans="1:67" ht="15" customHeight="1" x14ac:dyDescent="0.25">
      <c r="A63" s="14"/>
      <c r="B63" s="17" t="s">
        <v>61</v>
      </c>
      <c r="C63" s="15"/>
      <c r="E63" s="11">
        <f t="shared" si="2"/>
        <v>0</v>
      </c>
      <c r="G63" s="11">
        <f t="shared" si="2"/>
        <v>0</v>
      </c>
      <c r="I63" s="11">
        <f t="shared" si="2"/>
        <v>0</v>
      </c>
      <c r="K63" s="11">
        <f t="shared" si="2"/>
        <v>0</v>
      </c>
      <c r="M63" s="11">
        <f t="shared" si="29"/>
        <v>0</v>
      </c>
      <c r="O63" s="11">
        <f t="shared" si="29"/>
        <v>0</v>
      </c>
      <c r="Q63" s="11">
        <f t="shared" si="29"/>
        <v>0</v>
      </c>
      <c r="S63" s="11">
        <f t="shared" si="29"/>
        <v>0</v>
      </c>
      <c r="U63" s="11">
        <f t="shared" si="42"/>
        <v>0</v>
      </c>
      <c r="W63" s="11">
        <f t="shared" si="42"/>
        <v>0</v>
      </c>
      <c r="Y63" s="11">
        <f t="shared" si="42"/>
        <v>0</v>
      </c>
      <c r="AA63" s="11">
        <f t="shared" si="42"/>
        <v>0</v>
      </c>
      <c r="AC63" s="11">
        <f t="shared" si="42"/>
        <v>0</v>
      </c>
      <c r="AE63" s="11">
        <f t="shared" si="42"/>
        <v>0</v>
      </c>
      <c r="AG63" s="11">
        <f t="shared" si="42"/>
        <v>0</v>
      </c>
      <c r="AI63" s="11">
        <f t="shared" si="42"/>
        <v>0</v>
      </c>
      <c r="AK63" s="11">
        <f t="shared" si="42"/>
        <v>0</v>
      </c>
      <c r="AM63" s="11">
        <f t="shared" si="42"/>
        <v>0</v>
      </c>
      <c r="AO63" s="11">
        <f t="shared" si="42"/>
        <v>0</v>
      </c>
      <c r="AQ63" s="11">
        <f t="shared" si="42"/>
        <v>0</v>
      </c>
      <c r="AS63" s="11">
        <f t="shared" si="42"/>
        <v>0</v>
      </c>
      <c r="AU63" s="11">
        <f t="shared" si="43"/>
        <v>0</v>
      </c>
      <c r="AW63" s="11">
        <f t="shared" si="43"/>
        <v>0</v>
      </c>
      <c r="AY63" s="11">
        <f t="shared" si="43"/>
        <v>0</v>
      </c>
      <c r="BA63" s="11">
        <f t="shared" si="43"/>
        <v>0</v>
      </c>
      <c r="BC63" s="11">
        <f t="shared" si="43"/>
        <v>0</v>
      </c>
      <c r="BE63" s="11">
        <f t="shared" si="43"/>
        <v>0</v>
      </c>
      <c r="BG63" s="11">
        <f t="shared" si="43"/>
        <v>0</v>
      </c>
      <c r="BI63" s="11">
        <f t="shared" si="43"/>
        <v>0</v>
      </c>
      <c r="BK63" s="11">
        <f t="shared" si="43"/>
        <v>0</v>
      </c>
      <c r="BM63" s="11">
        <f t="shared" si="43"/>
        <v>0</v>
      </c>
      <c r="BN63" s="16">
        <f ca="1">SUMIF(D$2:$BM62,BN$2,D63:BM63)</f>
        <v>0</v>
      </c>
      <c r="BO63" s="16">
        <f>SUMIF(D$2:BM$2,BO$2,D63:BM63)</f>
        <v>0</v>
      </c>
    </row>
    <row r="64" spans="1:67" ht="15" customHeight="1" x14ac:dyDescent="0.25">
      <c r="A64" s="18" t="s">
        <v>5</v>
      </c>
      <c r="B64" s="106" t="s">
        <v>62</v>
      </c>
      <c r="C64" s="107">
        <v>0.5</v>
      </c>
      <c r="D64" s="108"/>
      <c r="E64" s="108">
        <f t="shared" si="2"/>
        <v>0</v>
      </c>
      <c r="F64" s="108">
        <v>1</v>
      </c>
      <c r="G64" s="108">
        <f t="shared" si="2"/>
        <v>0.5</v>
      </c>
      <c r="H64" s="108"/>
      <c r="I64" s="108">
        <f t="shared" si="2"/>
        <v>0</v>
      </c>
      <c r="J64" s="108"/>
      <c r="K64" s="108">
        <f t="shared" si="2"/>
        <v>0</v>
      </c>
      <c r="L64" s="108"/>
      <c r="M64" s="108">
        <f t="shared" si="29"/>
        <v>0</v>
      </c>
      <c r="N64" s="108"/>
      <c r="O64" s="108">
        <f t="shared" si="29"/>
        <v>0</v>
      </c>
      <c r="P64" s="108">
        <v>1</v>
      </c>
      <c r="Q64" s="108">
        <f t="shared" si="29"/>
        <v>0.5</v>
      </c>
      <c r="R64" s="108"/>
      <c r="S64" s="108">
        <f t="shared" si="29"/>
        <v>0</v>
      </c>
      <c r="T64" s="108"/>
      <c r="U64" s="108">
        <f t="shared" si="42"/>
        <v>0</v>
      </c>
      <c r="V64" s="108"/>
      <c r="W64" s="108">
        <f t="shared" si="42"/>
        <v>0</v>
      </c>
      <c r="X64" s="108">
        <v>2</v>
      </c>
      <c r="Y64" s="108">
        <f t="shared" si="42"/>
        <v>1</v>
      </c>
      <c r="Z64" s="108">
        <v>2</v>
      </c>
      <c r="AA64" s="108">
        <f t="shared" si="42"/>
        <v>1</v>
      </c>
      <c r="AB64" s="108">
        <v>1</v>
      </c>
      <c r="AC64" s="108">
        <f t="shared" si="42"/>
        <v>0.5</v>
      </c>
      <c r="AD64" s="108">
        <v>1</v>
      </c>
      <c r="AE64" s="108">
        <f t="shared" si="42"/>
        <v>0.5</v>
      </c>
      <c r="AF64" s="108">
        <v>2</v>
      </c>
      <c r="AG64" s="108">
        <f t="shared" si="42"/>
        <v>1</v>
      </c>
      <c r="AH64" s="108">
        <v>1</v>
      </c>
      <c r="AI64" s="108">
        <f t="shared" si="42"/>
        <v>0.5</v>
      </c>
      <c r="AJ64" s="108"/>
      <c r="AK64" s="108">
        <f t="shared" si="42"/>
        <v>0</v>
      </c>
      <c r="AL64" s="108">
        <v>3</v>
      </c>
      <c r="AM64" s="108">
        <f t="shared" si="42"/>
        <v>1.5</v>
      </c>
      <c r="AN64" s="108"/>
      <c r="AO64" s="108">
        <f t="shared" si="42"/>
        <v>0</v>
      </c>
      <c r="AP64" s="108">
        <v>1</v>
      </c>
      <c r="AQ64" s="108">
        <f t="shared" si="42"/>
        <v>0.5</v>
      </c>
      <c r="AR64" s="108">
        <v>2</v>
      </c>
      <c r="AS64" s="108">
        <f t="shared" si="42"/>
        <v>1</v>
      </c>
      <c r="AT64" s="108">
        <v>3</v>
      </c>
      <c r="AU64" s="108">
        <f t="shared" si="43"/>
        <v>1.5</v>
      </c>
      <c r="AV64" s="108">
        <v>1</v>
      </c>
      <c r="AW64" s="108">
        <f t="shared" si="43"/>
        <v>0.5</v>
      </c>
      <c r="AX64" s="108"/>
      <c r="AY64" s="108">
        <f t="shared" si="43"/>
        <v>0</v>
      </c>
      <c r="AZ64" s="108">
        <v>2</v>
      </c>
      <c r="BA64" s="108">
        <f t="shared" si="43"/>
        <v>1</v>
      </c>
      <c r="BB64" s="108">
        <v>1</v>
      </c>
      <c r="BC64" s="108">
        <f t="shared" si="43"/>
        <v>0.5</v>
      </c>
      <c r="BD64" s="108">
        <v>2</v>
      </c>
      <c r="BE64" s="108">
        <f t="shared" si="43"/>
        <v>1</v>
      </c>
      <c r="BF64" s="108">
        <v>3</v>
      </c>
      <c r="BG64" s="108">
        <f t="shared" si="43"/>
        <v>1.5</v>
      </c>
      <c r="BH64" s="108">
        <v>2</v>
      </c>
      <c r="BI64" s="108">
        <f t="shared" si="43"/>
        <v>1</v>
      </c>
      <c r="BJ64" s="108">
        <v>1</v>
      </c>
      <c r="BK64" s="108">
        <f t="shared" si="43"/>
        <v>0.5</v>
      </c>
      <c r="BL64" s="108"/>
      <c r="BM64" s="108">
        <f t="shared" si="43"/>
        <v>0</v>
      </c>
      <c r="BN64" s="109">
        <f ca="1">SUMIF(D$2:$BM63,BN$2,D64:BM64)</f>
        <v>16</v>
      </c>
      <c r="BO64" s="109">
        <f ca="1">BN64/4</f>
        <v>4</v>
      </c>
    </row>
    <row r="65" spans="1:67" ht="15" customHeight="1" x14ac:dyDescent="0.25">
      <c r="A65" s="14" t="s">
        <v>15</v>
      </c>
      <c r="B65" s="106" t="s">
        <v>152</v>
      </c>
      <c r="C65" s="107">
        <v>0.5</v>
      </c>
      <c r="D65" s="108"/>
      <c r="E65" s="108">
        <f t="shared" ref="E65" si="44">D65*$C65</f>
        <v>0</v>
      </c>
      <c r="F65" s="108"/>
      <c r="G65" s="108">
        <f t="shared" ref="G65" si="45">F65*$C65</f>
        <v>0</v>
      </c>
      <c r="H65" s="108"/>
      <c r="I65" s="108">
        <f t="shared" ref="I65" si="46">H65*$C65</f>
        <v>0</v>
      </c>
      <c r="J65" s="108"/>
      <c r="K65" s="108">
        <f t="shared" ref="K65" si="47">J65*$C65</f>
        <v>0</v>
      </c>
      <c r="L65" s="108"/>
      <c r="M65" s="108">
        <f t="shared" ref="M65" si="48">L65*$C65</f>
        <v>0</v>
      </c>
      <c r="N65" s="108"/>
      <c r="O65" s="108">
        <f t="shared" ref="O65" si="49">N65*$C65</f>
        <v>0</v>
      </c>
      <c r="P65" s="108"/>
      <c r="Q65" s="108">
        <f t="shared" ref="Q65" si="50">P65*$C65</f>
        <v>0</v>
      </c>
      <c r="R65" s="108"/>
      <c r="S65" s="108">
        <f t="shared" ref="S65" si="51">R65*$C65</f>
        <v>0</v>
      </c>
      <c r="T65" s="108"/>
      <c r="U65" s="108">
        <f t="shared" ref="U65" si="52">T65*$C65</f>
        <v>0</v>
      </c>
      <c r="V65" s="108"/>
      <c r="W65" s="108">
        <f t="shared" ref="W65" si="53">V65*$C65</f>
        <v>0</v>
      </c>
      <c r="X65" s="108"/>
      <c r="Y65" s="108">
        <f t="shared" ref="Y65" si="54">X65*$C65</f>
        <v>0</v>
      </c>
      <c r="Z65" s="108"/>
      <c r="AA65" s="108">
        <f t="shared" ref="AA65" si="55">Z65*$C65</f>
        <v>0</v>
      </c>
      <c r="AB65" s="108"/>
      <c r="AC65" s="108">
        <f t="shared" ref="AC65" si="56">AB65*$C65</f>
        <v>0</v>
      </c>
      <c r="AD65" s="108"/>
      <c r="AE65" s="108">
        <f t="shared" ref="AE65" si="57">AD65*$C65</f>
        <v>0</v>
      </c>
      <c r="AF65" s="108"/>
      <c r="AG65" s="108">
        <f t="shared" ref="AG65" si="58">AF65*$C65</f>
        <v>0</v>
      </c>
      <c r="AH65" s="108"/>
      <c r="AI65" s="108">
        <f t="shared" ref="AI65" si="59">AH65*$C65</f>
        <v>0</v>
      </c>
      <c r="AJ65" s="108"/>
      <c r="AK65" s="108">
        <f t="shared" ref="AK65" si="60">AJ65*$C65</f>
        <v>0</v>
      </c>
      <c r="AL65" s="108"/>
      <c r="AM65" s="108">
        <f t="shared" ref="AM65" si="61">AL65*$C65</f>
        <v>0</v>
      </c>
      <c r="AN65" s="108"/>
      <c r="AO65" s="108">
        <f t="shared" ref="AO65" si="62">AN65*$C65</f>
        <v>0</v>
      </c>
      <c r="AP65" s="108"/>
      <c r="AQ65" s="108">
        <f t="shared" ref="AQ65" si="63">AP65*$C65</f>
        <v>0</v>
      </c>
      <c r="AR65" s="108"/>
      <c r="AS65" s="108">
        <f t="shared" ref="AS65" si="64">AR65*$C65</f>
        <v>0</v>
      </c>
      <c r="AT65" s="108"/>
      <c r="AU65" s="108">
        <f t="shared" si="43"/>
        <v>0</v>
      </c>
      <c r="AV65" s="108">
        <v>2</v>
      </c>
      <c r="AW65" s="108">
        <f t="shared" si="43"/>
        <v>1</v>
      </c>
      <c r="AX65" s="108"/>
      <c r="AY65" s="108">
        <f t="shared" si="43"/>
        <v>0</v>
      </c>
      <c r="AZ65" s="108"/>
      <c r="BA65" s="108">
        <f t="shared" si="43"/>
        <v>0</v>
      </c>
      <c r="BB65" s="108">
        <v>1</v>
      </c>
      <c r="BC65" s="108">
        <f t="shared" si="43"/>
        <v>0.5</v>
      </c>
      <c r="BD65" s="108">
        <v>1</v>
      </c>
      <c r="BE65" s="108">
        <f t="shared" si="43"/>
        <v>0.5</v>
      </c>
      <c r="BF65" s="108">
        <v>1</v>
      </c>
      <c r="BG65" s="108">
        <f t="shared" si="43"/>
        <v>0.5</v>
      </c>
      <c r="BH65" s="108"/>
      <c r="BI65" s="108">
        <f t="shared" si="43"/>
        <v>0</v>
      </c>
      <c r="BJ65" s="108"/>
      <c r="BK65" s="108">
        <f>BJ65*$C65</f>
        <v>0</v>
      </c>
      <c r="BL65" s="108"/>
      <c r="BM65" s="108">
        <f t="shared" si="43"/>
        <v>0</v>
      </c>
      <c r="BN65" s="109"/>
      <c r="BO65" s="109"/>
    </row>
    <row r="66" spans="1:67" ht="15" customHeight="1" x14ac:dyDescent="0.25">
      <c r="A66" s="14" t="s">
        <v>15</v>
      </c>
      <c r="B66" s="106" t="s">
        <v>151</v>
      </c>
      <c r="C66" s="107">
        <v>0.5</v>
      </c>
      <c r="D66" s="108">
        <v>1</v>
      </c>
      <c r="E66" s="108">
        <f t="shared" ref="E66:E67" si="65">D66*$C66</f>
        <v>0.5</v>
      </c>
      <c r="F66" s="108"/>
      <c r="G66" s="108">
        <f t="shared" ref="G66:G67" si="66">F66*$C66</f>
        <v>0</v>
      </c>
      <c r="H66" s="108"/>
      <c r="I66" s="108">
        <f t="shared" ref="I66:I67" si="67">H66*$C66</f>
        <v>0</v>
      </c>
      <c r="J66" s="108">
        <v>1</v>
      </c>
      <c r="K66" s="108">
        <f t="shared" ref="K66:K67" si="68">J66*$C66</f>
        <v>0.5</v>
      </c>
      <c r="L66" s="108"/>
      <c r="M66" s="108">
        <f t="shared" ref="M66:S67" si="69">L66*$C66</f>
        <v>0</v>
      </c>
      <c r="N66" s="108">
        <v>2</v>
      </c>
      <c r="O66" s="108">
        <f t="shared" si="69"/>
        <v>1</v>
      </c>
      <c r="P66" s="108"/>
      <c r="Q66" s="108">
        <f t="shared" si="69"/>
        <v>0</v>
      </c>
      <c r="R66" s="108">
        <v>1</v>
      </c>
      <c r="S66" s="108">
        <f t="shared" si="69"/>
        <v>0.5</v>
      </c>
      <c r="T66" s="108"/>
      <c r="U66" s="108">
        <f t="shared" ref="U66:AS67" si="70">T66*$C66</f>
        <v>0</v>
      </c>
      <c r="V66" s="108"/>
      <c r="W66" s="108">
        <f t="shared" si="70"/>
        <v>0</v>
      </c>
      <c r="X66" s="108"/>
      <c r="Y66" s="108">
        <f t="shared" si="70"/>
        <v>0</v>
      </c>
      <c r="Z66" s="108">
        <v>1</v>
      </c>
      <c r="AA66" s="108">
        <f t="shared" si="70"/>
        <v>0.5</v>
      </c>
      <c r="AB66" s="108">
        <v>2</v>
      </c>
      <c r="AC66" s="108">
        <f t="shared" si="70"/>
        <v>1</v>
      </c>
      <c r="AD66" s="108">
        <v>1</v>
      </c>
      <c r="AE66" s="108">
        <f t="shared" si="70"/>
        <v>0.5</v>
      </c>
      <c r="AF66" s="108"/>
      <c r="AG66" s="108">
        <f t="shared" si="70"/>
        <v>0</v>
      </c>
      <c r="AH66" s="108"/>
      <c r="AI66" s="108">
        <f t="shared" si="70"/>
        <v>0</v>
      </c>
      <c r="AJ66" s="108"/>
      <c r="AK66" s="108">
        <f t="shared" si="70"/>
        <v>0</v>
      </c>
      <c r="AL66" s="108"/>
      <c r="AM66" s="108">
        <f t="shared" si="70"/>
        <v>0</v>
      </c>
      <c r="AN66" s="108"/>
      <c r="AO66" s="108">
        <f t="shared" si="70"/>
        <v>0</v>
      </c>
      <c r="AP66" s="108"/>
      <c r="AQ66" s="108">
        <f t="shared" si="70"/>
        <v>0</v>
      </c>
      <c r="AR66" s="108"/>
      <c r="AS66" s="108">
        <f t="shared" si="70"/>
        <v>0</v>
      </c>
      <c r="AT66" s="108"/>
      <c r="AU66" s="108">
        <f t="shared" ref="AU66:AU67" si="71">AT66*$C66</f>
        <v>0</v>
      </c>
      <c r="AV66" s="108">
        <v>1</v>
      </c>
      <c r="AW66" s="108">
        <f t="shared" ref="AW66:AW67" si="72">AV66*$C66</f>
        <v>0.5</v>
      </c>
      <c r="AX66" s="108"/>
      <c r="AY66" s="108">
        <f t="shared" ref="AY66:AY67" si="73">AX66*$C66</f>
        <v>0</v>
      </c>
      <c r="AZ66" s="108"/>
      <c r="BA66" s="108">
        <f t="shared" ref="BA66:BA67" si="74">AZ66*$C66</f>
        <v>0</v>
      </c>
      <c r="BB66" s="108"/>
      <c r="BC66" s="108">
        <f t="shared" ref="BC66:BC67" si="75">BB66*$C66</f>
        <v>0</v>
      </c>
      <c r="BD66" s="108">
        <v>3</v>
      </c>
      <c r="BE66" s="108">
        <f t="shared" ref="BE66:BE67" si="76">BD66*$C66</f>
        <v>1.5</v>
      </c>
      <c r="BF66" s="108"/>
      <c r="BG66" s="108">
        <f t="shared" ref="BG66:BG67" si="77">BF66*$C66</f>
        <v>0</v>
      </c>
      <c r="BH66" s="108">
        <v>1</v>
      </c>
      <c r="BI66" s="108">
        <f t="shared" ref="BI66:BI67" si="78">BH66*$C66</f>
        <v>0.5</v>
      </c>
      <c r="BJ66" s="108"/>
      <c r="BK66" s="108">
        <f t="shared" ref="BK66:BK67" si="79">BJ66*$C66</f>
        <v>0</v>
      </c>
      <c r="BL66" s="108"/>
      <c r="BM66" s="108">
        <f t="shared" ref="BM66:BM67" si="80">BL66*$C66</f>
        <v>0</v>
      </c>
      <c r="BN66" s="109">
        <f ca="1">SUMIF(D$2:$BM64,BN$2,D66:BM66)</f>
        <v>7</v>
      </c>
      <c r="BO66" s="109">
        <f ca="1">BN66/4</f>
        <v>1.75</v>
      </c>
    </row>
    <row r="67" spans="1:67" ht="15" customHeight="1" x14ac:dyDescent="0.25">
      <c r="A67" s="18" t="s">
        <v>5</v>
      </c>
      <c r="B67" s="106" t="s">
        <v>162</v>
      </c>
      <c r="C67" s="107">
        <v>0.5</v>
      </c>
      <c r="D67" s="108"/>
      <c r="E67" s="108">
        <f t="shared" si="65"/>
        <v>0</v>
      </c>
      <c r="F67" s="108"/>
      <c r="G67" s="108">
        <f t="shared" si="66"/>
        <v>0</v>
      </c>
      <c r="H67" s="108"/>
      <c r="I67" s="108">
        <f t="shared" si="67"/>
        <v>0</v>
      </c>
      <c r="J67" s="108"/>
      <c r="K67" s="108">
        <f t="shared" si="68"/>
        <v>0</v>
      </c>
      <c r="L67" s="108"/>
      <c r="M67" s="108">
        <f t="shared" si="69"/>
        <v>0</v>
      </c>
      <c r="N67" s="108">
        <v>1</v>
      </c>
      <c r="O67" s="108">
        <f t="shared" si="69"/>
        <v>0.5</v>
      </c>
      <c r="P67" s="108">
        <v>1</v>
      </c>
      <c r="Q67" s="108">
        <f t="shared" si="69"/>
        <v>0.5</v>
      </c>
      <c r="R67" s="108"/>
      <c r="S67" s="108">
        <f t="shared" si="69"/>
        <v>0</v>
      </c>
      <c r="T67" s="108"/>
      <c r="U67" s="108">
        <f t="shared" si="70"/>
        <v>0</v>
      </c>
      <c r="V67" s="108"/>
      <c r="W67" s="108">
        <f t="shared" si="70"/>
        <v>0</v>
      </c>
      <c r="X67" s="108"/>
      <c r="Y67" s="108">
        <f t="shared" si="70"/>
        <v>0</v>
      </c>
      <c r="Z67" s="108"/>
      <c r="AA67" s="108">
        <f t="shared" si="70"/>
        <v>0</v>
      </c>
      <c r="AB67" s="108"/>
      <c r="AC67" s="108">
        <f t="shared" si="70"/>
        <v>0</v>
      </c>
      <c r="AD67" s="108"/>
      <c r="AE67" s="108">
        <f t="shared" si="70"/>
        <v>0</v>
      </c>
      <c r="AF67" s="108">
        <v>1</v>
      </c>
      <c r="AG67" s="108">
        <f t="shared" si="70"/>
        <v>0.5</v>
      </c>
      <c r="AH67" s="108">
        <v>1</v>
      </c>
      <c r="AI67" s="108">
        <f t="shared" si="70"/>
        <v>0.5</v>
      </c>
      <c r="AJ67" s="108"/>
      <c r="AK67" s="108">
        <f t="shared" si="70"/>
        <v>0</v>
      </c>
      <c r="AL67" s="108">
        <v>1</v>
      </c>
      <c r="AM67" s="108">
        <f t="shared" si="70"/>
        <v>0.5</v>
      </c>
      <c r="AN67" s="108"/>
      <c r="AO67" s="108">
        <f t="shared" si="70"/>
        <v>0</v>
      </c>
      <c r="AP67" s="108"/>
      <c r="AQ67" s="108">
        <f t="shared" si="70"/>
        <v>0</v>
      </c>
      <c r="AR67" s="108">
        <v>1</v>
      </c>
      <c r="AS67" s="108">
        <f t="shared" si="70"/>
        <v>0.5</v>
      </c>
      <c r="AT67" s="108"/>
      <c r="AU67" s="108">
        <f t="shared" si="71"/>
        <v>0</v>
      </c>
      <c r="AV67" s="108"/>
      <c r="AW67" s="108">
        <f t="shared" si="72"/>
        <v>0</v>
      </c>
      <c r="AX67" s="108"/>
      <c r="AY67" s="108">
        <f t="shared" si="73"/>
        <v>0</v>
      </c>
      <c r="AZ67" s="108"/>
      <c r="BA67" s="108">
        <f t="shared" si="74"/>
        <v>0</v>
      </c>
      <c r="BB67" s="108"/>
      <c r="BC67" s="108">
        <f t="shared" si="75"/>
        <v>0</v>
      </c>
      <c r="BD67" s="108"/>
      <c r="BE67" s="108">
        <f t="shared" si="76"/>
        <v>0</v>
      </c>
      <c r="BF67" s="108"/>
      <c r="BG67" s="108">
        <f t="shared" si="77"/>
        <v>0</v>
      </c>
      <c r="BH67" s="108"/>
      <c r="BI67" s="108">
        <f t="shared" si="78"/>
        <v>0</v>
      </c>
      <c r="BJ67" s="108"/>
      <c r="BK67" s="108">
        <f t="shared" si="79"/>
        <v>0</v>
      </c>
      <c r="BL67" s="108"/>
      <c r="BM67" s="108">
        <f t="shared" si="80"/>
        <v>0</v>
      </c>
      <c r="BN67" s="109"/>
      <c r="BO67" s="109"/>
    </row>
    <row r="68" spans="1:67" ht="15" customHeight="1" x14ac:dyDescent="0.25">
      <c r="A68" s="18" t="s">
        <v>5</v>
      </c>
      <c r="B68" s="106" t="s">
        <v>63</v>
      </c>
      <c r="C68" s="107">
        <v>0.5</v>
      </c>
      <c r="D68" s="108">
        <v>1</v>
      </c>
      <c r="E68" s="108">
        <f t="shared" si="2"/>
        <v>0.5</v>
      </c>
      <c r="F68" s="108">
        <v>1</v>
      </c>
      <c r="G68" s="108">
        <f t="shared" si="2"/>
        <v>0.5</v>
      </c>
      <c r="H68" s="108"/>
      <c r="I68" s="108">
        <f t="shared" si="2"/>
        <v>0</v>
      </c>
      <c r="J68" s="108">
        <v>2</v>
      </c>
      <c r="K68" s="108">
        <f t="shared" si="2"/>
        <v>1</v>
      </c>
      <c r="L68" s="108"/>
      <c r="M68" s="108">
        <f t="shared" si="29"/>
        <v>0</v>
      </c>
      <c r="N68" s="108"/>
      <c r="O68" s="108">
        <f t="shared" si="29"/>
        <v>0</v>
      </c>
      <c r="P68" s="108">
        <v>1</v>
      </c>
      <c r="Q68" s="108">
        <f t="shared" si="29"/>
        <v>0.5</v>
      </c>
      <c r="R68" s="108"/>
      <c r="S68" s="108">
        <f t="shared" si="29"/>
        <v>0</v>
      </c>
      <c r="T68" s="108">
        <v>1</v>
      </c>
      <c r="U68" s="108">
        <f t="shared" si="42"/>
        <v>0.5</v>
      </c>
      <c r="V68" s="108"/>
      <c r="W68" s="108">
        <f t="shared" si="42"/>
        <v>0</v>
      </c>
      <c r="X68" s="108"/>
      <c r="Y68" s="108">
        <f t="shared" si="42"/>
        <v>0</v>
      </c>
      <c r="Z68" s="108">
        <v>1</v>
      </c>
      <c r="AA68" s="108">
        <f t="shared" si="42"/>
        <v>0.5</v>
      </c>
      <c r="AB68" s="108">
        <v>2</v>
      </c>
      <c r="AC68" s="108">
        <f t="shared" si="42"/>
        <v>1</v>
      </c>
      <c r="AD68" s="108">
        <v>2</v>
      </c>
      <c r="AE68" s="108">
        <f t="shared" si="42"/>
        <v>1</v>
      </c>
      <c r="AF68" s="108">
        <v>2</v>
      </c>
      <c r="AG68" s="108">
        <f t="shared" si="42"/>
        <v>1</v>
      </c>
      <c r="AH68" s="108">
        <v>1</v>
      </c>
      <c r="AI68" s="108">
        <f t="shared" si="42"/>
        <v>0.5</v>
      </c>
      <c r="AJ68" s="108"/>
      <c r="AK68" s="108">
        <f t="shared" si="42"/>
        <v>0</v>
      </c>
      <c r="AL68" s="108">
        <v>1</v>
      </c>
      <c r="AM68" s="108">
        <f t="shared" si="42"/>
        <v>0.5</v>
      </c>
      <c r="AN68" s="108"/>
      <c r="AO68" s="108">
        <f t="shared" si="42"/>
        <v>0</v>
      </c>
      <c r="AP68" s="108">
        <v>1</v>
      </c>
      <c r="AQ68" s="108">
        <f t="shared" si="42"/>
        <v>0.5</v>
      </c>
      <c r="AR68" s="108">
        <v>1</v>
      </c>
      <c r="AS68" s="108">
        <f t="shared" si="42"/>
        <v>0.5</v>
      </c>
      <c r="AT68" s="108"/>
      <c r="AU68" s="108">
        <f t="shared" si="43"/>
        <v>0</v>
      </c>
      <c r="AV68" s="108">
        <v>1</v>
      </c>
      <c r="AW68" s="108">
        <f t="shared" si="43"/>
        <v>0.5</v>
      </c>
      <c r="AX68" s="108"/>
      <c r="AY68" s="108">
        <f t="shared" si="43"/>
        <v>0</v>
      </c>
      <c r="AZ68" s="108">
        <v>2</v>
      </c>
      <c r="BA68" s="108">
        <f t="shared" si="43"/>
        <v>1</v>
      </c>
      <c r="BB68" s="108">
        <v>1</v>
      </c>
      <c r="BC68" s="108">
        <f t="shared" si="43"/>
        <v>0.5</v>
      </c>
      <c r="BD68" s="108"/>
      <c r="BE68" s="108">
        <f t="shared" si="43"/>
        <v>0</v>
      </c>
      <c r="BF68" s="108">
        <v>2</v>
      </c>
      <c r="BG68" s="108">
        <f t="shared" si="43"/>
        <v>1</v>
      </c>
      <c r="BH68" s="108">
        <v>2</v>
      </c>
      <c r="BI68" s="108">
        <f t="shared" si="43"/>
        <v>1</v>
      </c>
      <c r="BJ68" s="108"/>
      <c r="BK68" s="108">
        <f t="shared" si="43"/>
        <v>0</v>
      </c>
      <c r="BL68" s="108"/>
      <c r="BM68" s="108">
        <f t="shared" si="43"/>
        <v>0</v>
      </c>
      <c r="BN68" s="109">
        <f ca="1">SUMIF(D$2:$BM64,BN$2,D68:BM68)</f>
        <v>12.5</v>
      </c>
      <c r="BO68" s="109">
        <f ca="1">BN68/4</f>
        <v>3.125</v>
      </c>
    </row>
    <row r="69" spans="1:67" ht="15" customHeight="1" x14ac:dyDescent="0.25">
      <c r="A69" s="14" t="s">
        <v>15</v>
      </c>
      <c r="B69" s="17" t="s">
        <v>154</v>
      </c>
      <c r="C69" s="15">
        <v>0.5</v>
      </c>
      <c r="E69" s="11">
        <f t="shared" ref="E69" si="81">D69*$C69</f>
        <v>0</v>
      </c>
      <c r="G69" s="11">
        <f t="shared" ref="G69" si="82">F69*$C69</f>
        <v>0</v>
      </c>
      <c r="I69" s="11">
        <f t="shared" ref="I69" si="83">H69*$C69</f>
        <v>0</v>
      </c>
      <c r="K69" s="11">
        <f>J69*$C69</f>
        <v>0</v>
      </c>
      <c r="L69" s="11">
        <v>1</v>
      </c>
      <c r="M69" s="11">
        <f t="shared" ref="M69" si="84">L69*$C69</f>
        <v>0.5</v>
      </c>
      <c r="O69" s="11">
        <f t="shared" ref="O69" si="85">N69*$C69</f>
        <v>0</v>
      </c>
      <c r="Q69" s="11">
        <f t="shared" ref="Q69" si="86">P69*$C69</f>
        <v>0</v>
      </c>
      <c r="S69" s="11">
        <f t="shared" ref="S69:S70" si="87">R69*$C69</f>
        <v>0</v>
      </c>
      <c r="U69" s="11">
        <f t="shared" ref="U69:U71" si="88">T69*$C69</f>
        <v>0</v>
      </c>
      <c r="W69" s="11">
        <f t="shared" ref="W69:W71" si="89">V69*$C69</f>
        <v>0</v>
      </c>
      <c r="Y69" s="11">
        <f t="shared" ref="Y69" si="90">X69*$C69</f>
        <v>0</v>
      </c>
      <c r="AA69" s="11">
        <f t="shared" ref="AA69" si="91">Z69*$C69</f>
        <v>0</v>
      </c>
      <c r="AC69" s="11">
        <f t="shared" ref="AC69" si="92">AB69*$C69</f>
        <v>0</v>
      </c>
      <c r="AE69" s="11">
        <f t="shared" ref="AE69" si="93">AD69*$C69</f>
        <v>0</v>
      </c>
      <c r="AG69" s="11">
        <f t="shared" ref="AG69" si="94">AF69*$C69</f>
        <v>0</v>
      </c>
      <c r="AI69" s="11">
        <f t="shared" ref="AI69" si="95">AH69*$C69</f>
        <v>0</v>
      </c>
      <c r="AK69" s="11">
        <f t="shared" ref="AK69" si="96">AJ69*$C69</f>
        <v>0</v>
      </c>
      <c r="AM69" s="11">
        <f t="shared" ref="AM69" si="97">AL69*$C69</f>
        <v>0</v>
      </c>
      <c r="AO69" s="11">
        <f t="shared" ref="AO69" si="98">AN69*$C69</f>
        <v>0</v>
      </c>
      <c r="AQ69" s="11">
        <f t="shared" ref="AQ69" si="99">AP69*$C69</f>
        <v>0</v>
      </c>
      <c r="AS69" s="11">
        <f t="shared" ref="AS69" si="100">AR69*$C69</f>
        <v>0</v>
      </c>
      <c r="AU69" s="11">
        <f t="shared" si="43"/>
        <v>0</v>
      </c>
      <c r="AW69" s="11">
        <f t="shared" si="43"/>
        <v>0</v>
      </c>
      <c r="AY69" s="11">
        <f t="shared" si="43"/>
        <v>0</v>
      </c>
      <c r="BA69" s="11">
        <f t="shared" si="43"/>
        <v>0</v>
      </c>
      <c r="BB69" s="11">
        <v>1</v>
      </c>
      <c r="BC69" s="11">
        <f t="shared" si="43"/>
        <v>0.5</v>
      </c>
      <c r="BE69" s="11">
        <f t="shared" si="43"/>
        <v>0</v>
      </c>
      <c r="BG69" s="11">
        <f t="shared" si="43"/>
        <v>0</v>
      </c>
      <c r="BI69" s="11">
        <f t="shared" si="43"/>
        <v>0</v>
      </c>
      <c r="BK69" s="11">
        <f t="shared" si="43"/>
        <v>0</v>
      </c>
      <c r="BM69" s="11">
        <f t="shared" si="43"/>
        <v>0</v>
      </c>
      <c r="BN69" s="16"/>
      <c r="BO69" s="16"/>
    </row>
    <row r="70" spans="1:67" ht="15" customHeight="1" x14ac:dyDescent="0.25">
      <c r="A70" s="18" t="s">
        <v>5</v>
      </c>
      <c r="B70" s="17" t="s">
        <v>64</v>
      </c>
      <c r="C70" s="15">
        <v>0.5</v>
      </c>
      <c r="E70" s="11">
        <f t="shared" si="2"/>
        <v>0</v>
      </c>
      <c r="G70" s="11">
        <f t="shared" si="2"/>
        <v>0</v>
      </c>
      <c r="I70" s="11">
        <f t="shared" si="2"/>
        <v>0</v>
      </c>
      <c r="K70" s="11">
        <f t="shared" si="2"/>
        <v>0</v>
      </c>
      <c r="M70" s="11">
        <f t="shared" si="29"/>
        <v>0</v>
      </c>
      <c r="O70" s="11">
        <f t="shared" si="29"/>
        <v>0</v>
      </c>
      <c r="Q70" s="11">
        <f t="shared" si="29"/>
        <v>0</v>
      </c>
      <c r="R70" s="11">
        <v>2</v>
      </c>
      <c r="S70" s="11">
        <f t="shared" si="87"/>
        <v>1</v>
      </c>
      <c r="T70" s="11">
        <v>1</v>
      </c>
      <c r="U70" s="11">
        <f t="shared" si="88"/>
        <v>0.5</v>
      </c>
      <c r="V70" s="11">
        <v>1</v>
      </c>
      <c r="W70" s="11">
        <f t="shared" si="89"/>
        <v>0.5</v>
      </c>
      <c r="X70" s="11">
        <v>1</v>
      </c>
      <c r="Y70" s="11">
        <f t="shared" si="42"/>
        <v>0.5</v>
      </c>
      <c r="AA70" s="11">
        <f t="shared" si="42"/>
        <v>0</v>
      </c>
      <c r="AC70" s="11">
        <f t="shared" si="42"/>
        <v>0</v>
      </c>
      <c r="AD70" s="11">
        <v>1</v>
      </c>
      <c r="AE70" s="11">
        <f t="shared" si="42"/>
        <v>0.5</v>
      </c>
      <c r="AF70" s="11">
        <v>1</v>
      </c>
      <c r="AG70" s="11">
        <f t="shared" si="42"/>
        <v>0.5</v>
      </c>
      <c r="AH70" s="11">
        <v>3</v>
      </c>
      <c r="AI70" s="11">
        <f t="shared" si="42"/>
        <v>1.5</v>
      </c>
      <c r="AJ70" s="11">
        <v>1</v>
      </c>
      <c r="AK70" s="11">
        <f t="shared" si="42"/>
        <v>0.5</v>
      </c>
      <c r="AM70" s="11">
        <f t="shared" si="42"/>
        <v>0</v>
      </c>
      <c r="AO70" s="11">
        <f t="shared" si="42"/>
        <v>0</v>
      </c>
      <c r="AQ70" s="11">
        <f t="shared" si="42"/>
        <v>0</v>
      </c>
      <c r="AS70" s="11">
        <f t="shared" si="42"/>
        <v>0</v>
      </c>
      <c r="AT70" s="11">
        <v>1</v>
      </c>
      <c r="AU70" s="11">
        <f t="shared" si="43"/>
        <v>0.5</v>
      </c>
      <c r="AW70" s="11">
        <f t="shared" si="43"/>
        <v>0</v>
      </c>
      <c r="AX70" s="11">
        <v>1</v>
      </c>
      <c r="AY70" s="11">
        <f t="shared" si="43"/>
        <v>0.5</v>
      </c>
      <c r="AZ70" s="11">
        <v>1</v>
      </c>
      <c r="BA70" s="11">
        <f t="shared" si="43"/>
        <v>0.5</v>
      </c>
      <c r="BB70" s="11">
        <v>1</v>
      </c>
      <c r="BC70" s="11">
        <f t="shared" si="43"/>
        <v>0.5</v>
      </c>
      <c r="BE70" s="11">
        <f t="shared" si="43"/>
        <v>0</v>
      </c>
      <c r="BF70" s="11">
        <v>1</v>
      </c>
      <c r="BG70" s="11">
        <f t="shared" si="43"/>
        <v>0.5</v>
      </c>
      <c r="BI70" s="11">
        <f t="shared" si="43"/>
        <v>0</v>
      </c>
      <c r="BK70" s="11">
        <f t="shared" si="43"/>
        <v>0</v>
      </c>
      <c r="BM70" s="11">
        <f t="shared" si="43"/>
        <v>0</v>
      </c>
      <c r="BN70" s="16">
        <f ca="1">SUMIF(D$2:$BM68,BN$2,D70:BM70)</f>
        <v>8</v>
      </c>
      <c r="BO70" s="16">
        <f ca="1">BN70/4</f>
        <v>2</v>
      </c>
    </row>
    <row r="71" spans="1:67" ht="15" customHeight="1" x14ac:dyDescent="0.25">
      <c r="A71" s="14"/>
      <c r="B71" s="17" t="s">
        <v>65</v>
      </c>
      <c r="C71" s="15"/>
      <c r="E71" s="11">
        <f t="shared" si="2"/>
        <v>0</v>
      </c>
      <c r="G71" s="11">
        <f t="shared" si="2"/>
        <v>0</v>
      </c>
      <c r="I71" s="11">
        <f t="shared" si="2"/>
        <v>0</v>
      </c>
      <c r="K71" s="11">
        <f t="shared" si="2"/>
        <v>0</v>
      </c>
      <c r="M71" s="11">
        <f t="shared" si="29"/>
        <v>0</v>
      </c>
      <c r="O71" s="11">
        <f t="shared" si="29"/>
        <v>0</v>
      </c>
      <c r="Q71" s="11">
        <f t="shared" si="29"/>
        <v>0</v>
      </c>
      <c r="S71" s="11">
        <f t="shared" si="29"/>
        <v>0</v>
      </c>
      <c r="U71" s="11">
        <f t="shared" si="88"/>
        <v>0</v>
      </c>
      <c r="W71" s="11">
        <f t="shared" si="89"/>
        <v>0</v>
      </c>
      <c r="Y71" s="11">
        <f t="shared" si="42"/>
        <v>0</v>
      </c>
      <c r="AA71" s="11">
        <f t="shared" si="42"/>
        <v>0</v>
      </c>
      <c r="AC71" s="11">
        <f t="shared" si="42"/>
        <v>0</v>
      </c>
      <c r="AE71" s="11">
        <f t="shared" si="42"/>
        <v>0</v>
      </c>
      <c r="AG71" s="11">
        <f t="shared" si="42"/>
        <v>0</v>
      </c>
      <c r="AI71" s="11">
        <f t="shared" si="42"/>
        <v>0</v>
      </c>
      <c r="AK71" s="11">
        <f t="shared" si="42"/>
        <v>0</v>
      </c>
      <c r="AM71" s="11">
        <f t="shared" si="42"/>
        <v>0</v>
      </c>
      <c r="AO71" s="11">
        <f t="shared" si="42"/>
        <v>0</v>
      </c>
      <c r="AQ71" s="11">
        <f t="shared" si="42"/>
        <v>0</v>
      </c>
      <c r="AS71" s="11">
        <f t="shared" si="42"/>
        <v>0</v>
      </c>
      <c r="AU71" s="11">
        <f t="shared" si="43"/>
        <v>0</v>
      </c>
      <c r="AW71" s="11">
        <f t="shared" si="43"/>
        <v>0</v>
      </c>
      <c r="AY71" s="11">
        <f t="shared" si="43"/>
        <v>0</v>
      </c>
      <c r="BA71" s="11">
        <f t="shared" si="43"/>
        <v>0</v>
      </c>
      <c r="BC71" s="11">
        <f t="shared" si="43"/>
        <v>0</v>
      </c>
      <c r="BE71" s="11">
        <f t="shared" si="43"/>
        <v>0</v>
      </c>
      <c r="BG71" s="11">
        <f t="shared" si="43"/>
        <v>0</v>
      </c>
      <c r="BI71" s="11">
        <f t="shared" si="43"/>
        <v>0</v>
      </c>
      <c r="BK71" s="11">
        <f t="shared" si="43"/>
        <v>0</v>
      </c>
      <c r="BM71" s="11">
        <f t="shared" si="43"/>
        <v>0</v>
      </c>
      <c r="BN71" s="16">
        <f ca="1">SUMIF(D$2:$BM70,BN$2,D71:BM71)</f>
        <v>0</v>
      </c>
      <c r="BO71" s="16">
        <f>SUMIF(D$2:BM$2,BO$2,D71:BM71)</f>
        <v>0</v>
      </c>
    </row>
    <row r="72" spans="1:67" ht="15" customHeight="1" x14ac:dyDescent="0.25">
      <c r="A72" s="14" t="s">
        <v>15</v>
      </c>
      <c r="B72" s="17" t="s">
        <v>153</v>
      </c>
      <c r="C72" s="15">
        <v>0.5</v>
      </c>
      <c r="E72" s="11">
        <f t="shared" ref="E72:K72" si="101">D72*$C72</f>
        <v>0</v>
      </c>
      <c r="G72" s="11">
        <f t="shared" si="101"/>
        <v>0</v>
      </c>
      <c r="I72" s="11">
        <f t="shared" si="101"/>
        <v>0</v>
      </c>
      <c r="J72" s="11">
        <v>1</v>
      </c>
      <c r="K72" s="11">
        <f t="shared" si="101"/>
        <v>0.5</v>
      </c>
      <c r="M72" s="11">
        <f t="shared" ref="M72:S72" si="102">L72*$C72</f>
        <v>0</v>
      </c>
      <c r="O72" s="11">
        <f t="shared" si="102"/>
        <v>0</v>
      </c>
      <c r="Q72" s="11">
        <f t="shared" si="102"/>
        <v>0</v>
      </c>
      <c r="R72" s="11">
        <v>1</v>
      </c>
      <c r="S72" s="11">
        <f t="shared" si="102"/>
        <v>0.5</v>
      </c>
      <c r="T72" s="11">
        <v>1</v>
      </c>
      <c r="U72" s="11">
        <f t="shared" ref="U72:AS72" si="103">T72*$C72</f>
        <v>0.5</v>
      </c>
      <c r="V72" s="11">
        <v>1</v>
      </c>
      <c r="W72" s="11">
        <f t="shared" si="103"/>
        <v>0.5</v>
      </c>
      <c r="X72" s="11">
        <v>2</v>
      </c>
      <c r="Y72" s="11">
        <f t="shared" si="103"/>
        <v>1</v>
      </c>
      <c r="AA72" s="11">
        <f t="shared" si="103"/>
        <v>0</v>
      </c>
      <c r="AC72" s="11">
        <f t="shared" si="103"/>
        <v>0</v>
      </c>
      <c r="AE72" s="11">
        <f t="shared" si="103"/>
        <v>0</v>
      </c>
      <c r="AG72" s="11">
        <f t="shared" si="103"/>
        <v>0</v>
      </c>
      <c r="AI72" s="11">
        <f t="shared" si="103"/>
        <v>0</v>
      </c>
      <c r="AK72" s="11">
        <f t="shared" si="103"/>
        <v>0</v>
      </c>
      <c r="AM72" s="11">
        <f t="shared" si="103"/>
        <v>0</v>
      </c>
      <c r="AO72" s="11">
        <f t="shared" si="103"/>
        <v>0</v>
      </c>
      <c r="AQ72" s="11">
        <f t="shared" si="103"/>
        <v>0</v>
      </c>
      <c r="AS72" s="11">
        <f t="shared" si="103"/>
        <v>0</v>
      </c>
      <c r="AU72" s="11">
        <f t="shared" ref="AU72" si="104">AT72*$C72</f>
        <v>0</v>
      </c>
      <c r="AW72" s="11">
        <f t="shared" ref="AW72" si="105">AV72*$C72</f>
        <v>0</v>
      </c>
      <c r="AY72" s="11">
        <f t="shared" ref="AY72" si="106">AX72*$C72</f>
        <v>0</v>
      </c>
      <c r="BA72" s="11">
        <f t="shared" ref="BA72" si="107">AZ72*$C72</f>
        <v>0</v>
      </c>
      <c r="BC72" s="11">
        <f t="shared" ref="BC72" si="108">BB72*$C72</f>
        <v>0</v>
      </c>
      <c r="BE72" s="11">
        <f t="shared" ref="BE72" si="109">BD72*$C72</f>
        <v>0</v>
      </c>
      <c r="BG72" s="11">
        <f t="shared" ref="BG72" si="110">BF72*$C72</f>
        <v>0</v>
      </c>
      <c r="BI72" s="11">
        <f t="shared" ref="BI72" si="111">BH72*$C72</f>
        <v>0</v>
      </c>
      <c r="BK72" s="11">
        <f t="shared" ref="BK72" si="112">BJ72*$C72</f>
        <v>0</v>
      </c>
      <c r="BM72" s="11">
        <f t="shared" ref="BM72" si="113">BL72*$C72</f>
        <v>0</v>
      </c>
      <c r="BN72" s="16">
        <f ca="1">SUMIF(D$2:$BM71,BN$2,D72:BM72)</f>
        <v>3</v>
      </c>
      <c r="BO72" s="16">
        <f>SUMIF(D$2:BM$2,BO$2,D72:BM72)</f>
        <v>0</v>
      </c>
    </row>
    <row r="73" spans="1:67" ht="15" customHeight="1" x14ac:dyDescent="0.25">
      <c r="A73" s="14" t="s">
        <v>5</v>
      </c>
      <c r="B73" s="17" t="s">
        <v>66</v>
      </c>
      <c r="C73" s="15">
        <v>0.5</v>
      </c>
      <c r="E73" s="11">
        <f t="shared" si="2"/>
        <v>0</v>
      </c>
      <c r="G73" s="11">
        <f t="shared" si="2"/>
        <v>0</v>
      </c>
      <c r="H73" s="11">
        <v>1</v>
      </c>
      <c r="I73" s="11">
        <f t="shared" si="2"/>
        <v>0.5</v>
      </c>
      <c r="J73" s="11">
        <v>3</v>
      </c>
      <c r="K73" s="11">
        <f t="shared" si="2"/>
        <v>1.5</v>
      </c>
      <c r="M73" s="11">
        <f t="shared" si="29"/>
        <v>0</v>
      </c>
      <c r="O73" s="11">
        <f t="shared" si="29"/>
        <v>0</v>
      </c>
      <c r="P73" s="11">
        <v>1</v>
      </c>
      <c r="Q73" s="11">
        <f t="shared" si="29"/>
        <v>0.5</v>
      </c>
      <c r="S73" s="11">
        <f t="shared" si="29"/>
        <v>0</v>
      </c>
      <c r="U73" s="11">
        <f t="shared" si="42"/>
        <v>0</v>
      </c>
      <c r="W73" s="11">
        <f t="shared" si="42"/>
        <v>0</v>
      </c>
      <c r="Y73" s="11">
        <f t="shared" si="42"/>
        <v>0</v>
      </c>
      <c r="Z73" s="11">
        <v>1</v>
      </c>
      <c r="AA73" s="11">
        <f t="shared" si="42"/>
        <v>0.5</v>
      </c>
      <c r="AC73" s="11">
        <f t="shared" si="42"/>
        <v>0</v>
      </c>
      <c r="AE73" s="11">
        <f t="shared" si="42"/>
        <v>0</v>
      </c>
      <c r="AG73" s="11">
        <f t="shared" si="42"/>
        <v>0</v>
      </c>
      <c r="AI73" s="11">
        <f t="shared" si="42"/>
        <v>0</v>
      </c>
      <c r="AK73" s="11">
        <f t="shared" si="42"/>
        <v>0</v>
      </c>
      <c r="AM73" s="11">
        <f t="shared" si="42"/>
        <v>0</v>
      </c>
      <c r="AO73" s="11">
        <f t="shared" si="42"/>
        <v>0</v>
      </c>
      <c r="AQ73" s="11">
        <f t="shared" si="42"/>
        <v>0</v>
      </c>
      <c r="AS73" s="11">
        <f t="shared" ref="AS73:BM77" si="114">AR73*$C73</f>
        <v>0</v>
      </c>
      <c r="AU73" s="11">
        <f t="shared" si="114"/>
        <v>0</v>
      </c>
      <c r="AW73" s="11">
        <f t="shared" si="114"/>
        <v>0</v>
      </c>
      <c r="AY73" s="11">
        <f t="shared" si="114"/>
        <v>0</v>
      </c>
      <c r="BA73" s="11">
        <f t="shared" si="114"/>
        <v>0</v>
      </c>
      <c r="BC73" s="11">
        <f t="shared" si="114"/>
        <v>0</v>
      </c>
      <c r="BD73" s="11">
        <v>1</v>
      </c>
      <c r="BE73" s="11">
        <f t="shared" si="114"/>
        <v>0.5</v>
      </c>
      <c r="BG73" s="11">
        <f t="shared" si="114"/>
        <v>0</v>
      </c>
      <c r="BI73" s="11">
        <f t="shared" si="114"/>
        <v>0</v>
      </c>
      <c r="BK73" s="11">
        <f t="shared" si="114"/>
        <v>0</v>
      </c>
      <c r="BM73" s="11">
        <f t="shared" si="114"/>
        <v>0</v>
      </c>
      <c r="BN73" s="16">
        <f ca="1">SUMIF(D$2:$BM71,BN$2,D73:BM73)</f>
        <v>3.5</v>
      </c>
      <c r="BO73" s="16">
        <f ca="1">BN73/4</f>
        <v>0.875</v>
      </c>
    </row>
    <row r="74" spans="1:67" ht="15" customHeight="1" x14ac:dyDescent="0.25">
      <c r="A74" s="14" t="s">
        <v>5</v>
      </c>
      <c r="B74" s="17" t="s">
        <v>67</v>
      </c>
      <c r="C74" s="15">
        <v>0.5</v>
      </c>
      <c r="D74" s="11">
        <v>1</v>
      </c>
      <c r="E74" s="11">
        <f t="shared" si="2"/>
        <v>0.5</v>
      </c>
      <c r="G74" s="11">
        <f t="shared" si="2"/>
        <v>0</v>
      </c>
      <c r="H74" s="11">
        <v>2</v>
      </c>
      <c r="I74" s="11">
        <f t="shared" si="2"/>
        <v>1</v>
      </c>
      <c r="K74" s="11">
        <f t="shared" si="2"/>
        <v>0</v>
      </c>
      <c r="L74" s="11">
        <v>1</v>
      </c>
      <c r="M74" s="11">
        <f t="shared" si="29"/>
        <v>0.5</v>
      </c>
      <c r="O74" s="11">
        <f t="shared" si="29"/>
        <v>0</v>
      </c>
      <c r="P74" s="11">
        <v>2</v>
      </c>
      <c r="Q74" s="11">
        <f t="shared" si="29"/>
        <v>1</v>
      </c>
      <c r="R74" s="11">
        <v>2</v>
      </c>
      <c r="S74" s="11">
        <f t="shared" si="29"/>
        <v>1</v>
      </c>
      <c r="U74" s="11">
        <f t="shared" si="42"/>
        <v>0</v>
      </c>
      <c r="W74" s="11">
        <f t="shared" si="42"/>
        <v>0</v>
      </c>
      <c r="X74" s="11">
        <v>3</v>
      </c>
      <c r="Y74" s="11">
        <f t="shared" si="42"/>
        <v>1.5</v>
      </c>
      <c r="Z74" s="11">
        <v>1</v>
      </c>
      <c r="AA74" s="11">
        <f t="shared" si="42"/>
        <v>0.5</v>
      </c>
      <c r="AB74" s="11">
        <v>1</v>
      </c>
      <c r="AC74" s="11">
        <f t="shared" si="42"/>
        <v>0.5</v>
      </c>
      <c r="AE74" s="11">
        <f t="shared" si="42"/>
        <v>0</v>
      </c>
      <c r="AF74" s="11">
        <v>2</v>
      </c>
      <c r="AG74" s="11">
        <f t="shared" si="42"/>
        <v>1</v>
      </c>
      <c r="AI74" s="11">
        <f t="shared" si="42"/>
        <v>0</v>
      </c>
      <c r="AK74" s="11">
        <f t="shared" si="42"/>
        <v>0</v>
      </c>
      <c r="AM74" s="11">
        <f t="shared" si="42"/>
        <v>0</v>
      </c>
      <c r="AN74" s="11">
        <v>1</v>
      </c>
      <c r="AO74" s="11">
        <f t="shared" si="42"/>
        <v>0.5</v>
      </c>
      <c r="AP74" s="11">
        <v>2</v>
      </c>
      <c r="AQ74" s="11">
        <f t="shared" si="42"/>
        <v>1</v>
      </c>
      <c r="AS74" s="11">
        <f t="shared" si="114"/>
        <v>0</v>
      </c>
      <c r="AU74" s="11">
        <f t="shared" si="114"/>
        <v>0</v>
      </c>
      <c r="AV74" s="11">
        <v>1</v>
      </c>
      <c r="AW74" s="11">
        <f t="shared" si="114"/>
        <v>0.5</v>
      </c>
      <c r="AY74" s="11">
        <f t="shared" si="114"/>
        <v>0</v>
      </c>
      <c r="AZ74" s="11">
        <v>2</v>
      </c>
      <c r="BA74" s="11">
        <f t="shared" si="114"/>
        <v>1</v>
      </c>
      <c r="BB74" s="11">
        <v>2</v>
      </c>
      <c r="BC74" s="11">
        <f t="shared" si="114"/>
        <v>1</v>
      </c>
      <c r="BE74" s="11">
        <f t="shared" si="114"/>
        <v>0</v>
      </c>
      <c r="BG74" s="11">
        <f t="shared" si="114"/>
        <v>0</v>
      </c>
      <c r="BI74" s="11">
        <f t="shared" si="114"/>
        <v>0</v>
      </c>
      <c r="BJ74" s="11">
        <v>2</v>
      </c>
      <c r="BK74" s="11">
        <f t="shared" si="114"/>
        <v>1</v>
      </c>
      <c r="BM74" s="11">
        <f t="shared" si="114"/>
        <v>0</v>
      </c>
      <c r="BN74" s="16">
        <f ca="1">SUMIF(D$2:$BM73,BN$2,D74:BM74)</f>
        <v>12.5</v>
      </c>
      <c r="BO74" s="16">
        <f ca="1">BN74/4</f>
        <v>3.125</v>
      </c>
    </row>
    <row r="75" spans="1:67" ht="15" customHeight="1" x14ac:dyDescent="0.25">
      <c r="A75" s="18"/>
      <c r="B75" s="17" t="s">
        <v>68</v>
      </c>
      <c r="C75" s="15"/>
      <c r="E75" s="11">
        <f t="shared" si="2"/>
        <v>0</v>
      </c>
      <c r="G75" s="11">
        <f t="shared" si="2"/>
        <v>0</v>
      </c>
      <c r="I75" s="11">
        <f t="shared" si="2"/>
        <v>0</v>
      </c>
      <c r="K75" s="11">
        <f t="shared" si="2"/>
        <v>0</v>
      </c>
      <c r="M75" s="11">
        <f t="shared" si="29"/>
        <v>0</v>
      </c>
      <c r="O75" s="11">
        <f t="shared" si="29"/>
        <v>0</v>
      </c>
      <c r="Q75" s="11">
        <f t="shared" si="29"/>
        <v>0</v>
      </c>
      <c r="S75" s="11">
        <f t="shared" si="29"/>
        <v>0</v>
      </c>
      <c r="U75" s="11">
        <f t="shared" si="42"/>
        <v>0</v>
      </c>
      <c r="W75" s="11">
        <f t="shared" si="42"/>
        <v>0</v>
      </c>
      <c r="Y75" s="11">
        <f t="shared" si="42"/>
        <v>0</v>
      </c>
      <c r="AA75" s="11">
        <f t="shared" si="42"/>
        <v>0</v>
      </c>
      <c r="AC75" s="11">
        <f t="shared" si="42"/>
        <v>0</v>
      </c>
      <c r="AE75" s="11">
        <f t="shared" si="42"/>
        <v>0</v>
      </c>
      <c r="AG75" s="11">
        <f t="shared" si="42"/>
        <v>0</v>
      </c>
      <c r="AI75" s="11">
        <f t="shared" si="42"/>
        <v>0</v>
      </c>
      <c r="AK75" s="11">
        <f t="shared" si="42"/>
        <v>0</v>
      </c>
      <c r="AM75" s="11">
        <f t="shared" si="42"/>
        <v>0</v>
      </c>
      <c r="AO75" s="11">
        <f t="shared" si="42"/>
        <v>0</v>
      </c>
      <c r="AQ75" s="11">
        <f t="shared" si="42"/>
        <v>0</v>
      </c>
      <c r="AS75" s="11">
        <f t="shared" si="114"/>
        <v>0</v>
      </c>
      <c r="AU75" s="11">
        <f t="shared" si="114"/>
        <v>0</v>
      </c>
      <c r="AW75" s="11">
        <f t="shared" si="114"/>
        <v>0</v>
      </c>
      <c r="AY75" s="11">
        <f t="shared" si="114"/>
        <v>0</v>
      </c>
      <c r="BA75" s="11">
        <f t="shared" si="114"/>
        <v>0</v>
      </c>
      <c r="BC75" s="11">
        <f t="shared" si="114"/>
        <v>0</v>
      </c>
      <c r="BE75" s="11">
        <f t="shared" si="114"/>
        <v>0</v>
      </c>
      <c r="BG75" s="11">
        <f t="shared" si="114"/>
        <v>0</v>
      </c>
      <c r="BI75" s="11">
        <f t="shared" si="114"/>
        <v>0</v>
      </c>
      <c r="BK75" s="11">
        <f t="shared" si="114"/>
        <v>0</v>
      </c>
      <c r="BM75" s="11">
        <f t="shared" si="114"/>
        <v>0</v>
      </c>
      <c r="BN75" s="16">
        <f ca="1">SUMIF(D$2:$BM74,BN$2,D75:BM75)</f>
        <v>0</v>
      </c>
      <c r="BO75" s="16">
        <f t="shared" ref="BO75:BO119" si="115">SUMIF(D$2:BM$2,BO$2,D75:BM75)</f>
        <v>0</v>
      </c>
    </row>
    <row r="76" spans="1:67" ht="15" customHeight="1" x14ac:dyDescent="0.25">
      <c r="A76" s="18"/>
      <c r="B76" s="17" t="s">
        <v>69</v>
      </c>
      <c r="C76" s="15"/>
      <c r="E76" s="11">
        <f t="shared" si="2"/>
        <v>0</v>
      </c>
      <c r="G76" s="11">
        <f t="shared" si="2"/>
        <v>0</v>
      </c>
      <c r="I76" s="11">
        <f t="shared" si="2"/>
        <v>0</v>
      </c>
      <c r="K76" s="11">
        <f t="shared" si="2"/>
        <v>0</v>
      </c>
      <c r="M76" s="11">
        <f t="shared" si="29"/>
        <v>0</v>
      </c>
      <c r="O76" s="11">
        <f t="shared" si="29"/>
        <v>0</v>
      </c>
      <c r="Q76" s="11">
        <f t="shared" si="29"/>
        <v>0</v>
      </c>
      <c r="S76" s="11">
        <f t="shared" si="29"/>
        <v>0</v>
      </c>
      <c r="U76" s="11">
        <f t="shared" si="42"/>
        <v>0</v>
      </c>
      <c r="W76" s="11">
        <f t="shared" si="42"/>
        <v>0</v>
      </c>
      <c r="Y76" s="11">
        <f t="shared" si="42"/>
        <v>0</v>
      </c>
      <c r="AA76" s="11">
        <f t="shared" si="42"/>
        <v>0</v>
      </c>
      <c r="AC76" s="11">
        <f t="shared" si="42"/>
        <v>0</v>
      </c>
      <c r="AE76" s="11">
        <f t="shared" si="42"/>
        <v>0</v>
      </c>
      <c r="AG76" s="11">
        <f t="shared" si="42"/>
        <v>0</v>
      </c>
      <c r="AI76" s="11">
        <f t="shared" si="42"/>
        <v>0</v>
      </c>
      <c r="AK76" s="11">
        <f t="shared" si="42"/>
        <v>0</v>
      </c>
      <c r="AM76" s="11">
        <f t="shared" si="42"/>
        <v>0</v>
      </c>
      <c r="AO76" s="11">
        <f t="shared" si="42"/>
        <v>0</v>
      </c>
      <c r="AQ76" s="11">
        <f t="shared" si="42"/>
        <v>0</v>
      </c>
      <c r="AS76" s="11">
        <f t="shared" si="114"/>
        <v>0</v>
      </c>
      <c r="AU76" s="11">
        <f t="shared" si="114"/>
        <v>0</v>
      </c>
      <c r="AW76" s="11">
        <f t="shared" si="114"/>
        <v>0</v>
      </c>
      <c r="AY76" s="11">
        <f t="shared" si="114"/>
        <v>0</v>
      </c>
      <c r="BA76" s="11">
        <f t="shared" si="114"/>
        <v>0</v>
      </c>
      <c r="BC76" s="11">
        <f t="shared" si="114"/>
        <v>0</v>
      </c>
      <c r="BE76" s="11">
        <f t="shared" si="114"/>
        <v>0</v>
      </c>
      <c r="BG76" s="11">
        <f t="shared" si="114"/>
        <v>0</v>
      </c>
      <c r="BI76" s="11">
        <f t="shared" si="114"/>
        <v>0</v>
      </c>
      <c r="BK76" s="11">
        <f t="shared" si="114"/>
        <v>0</v>
      </c>
      <c r="BM76" s="11">
        <f t="shared" si="114"/>
        <v>0</v>
      </c>
      <c r="BN76" s="16">
        <f ca="1">SUMIF(D$2:$BM75,BN$2,D76:BM76)</f>
        <v>0</v>
      </c>
      <c r="BO76" s="16">
        <f t="shared" si="115"/>
        <v>0</v>
      </c>
    </row>
    <row r="77" spans="1:67" ht="15" customHeight="1" x14ac:dyDescent="0.25">
      <c r="A77" s="18"/>
      <c r="B77" s="17" t="s">
        <v>70</v>
      </c>
      <c r="C77" s="15"/>
      <c r="E77" s="11">
        <f t="shared" si="2"/>
        <v>0</v>
      </c>
      <c r="G77" s="11">
        <f t="shared" si="2"/>
        <v>0</v>
      </c>
      <c r="I77" s="11">
        <f t="shared" si="2"/>
        <v>0</v>
      </c>
      <c r="K77" s="11">
        <f t="shared" si="2"/>
        <v>0</v>
      </c>
      <c r="M77" s="11">
        <f t="shared" si="29"/>
        <v>0</v>
      </c>
      <c r="O77" s="11">
        <f t="shared" si="29"/>
        <v>0</v>
      </c>
      <c r="Q77" s="11">
        <f t="shared" si="29"/>
        <v>0</v>
      </c>
      <c r="S77" s="11">
        <f t="shared" si="29"/>
        <v>0</v>
      </c>
      <c r="U77" s="11">
        <f t="shared" si="42"/>
        <v>0</v>
      </c>
      <c r="W77" s="11">
        <f t="shared" si="42"/>
        <v>0</v>
      </c>
      <c r="Y77" s="11">
        <f t="shared" si="42"/>
        <v>0</v>
      </c>
      <c r="AA77" s="11">
        <f t="shared" si="42"/>
        <v>0</v>
      </c>
      <c r="AC77" s="11">
        <f t="shared" si="42"/>
        <v>0</v>
      </c>
      <c r="AE77" s="11">
        <f t="shared" si="42"/>
        <v>0</v>
      </c>
      <c r="AG77" s="11">
        <f t="shared" si="42"/>
        <v>0</v>
      </c>
      <c r="AI77" s="11">
        <f t="shared" si="42"/>
        <v>0</v>
      </c>
      <c r="AK77" s="11">
        <f t="shared" si="42"/>
        <v>0</v>
      </c>
      <c r="AM77" s="11">
        <f t="shared" si="42"/>
        <v>0</v>
      </c>
      <c r="AO77" s="11">
        <f t="shared" si="42"/>
        <v>0</v>
      </c>
      <c r="AQ77" s="11">
        <f t="shared" si="42"/>
        <v>0</v>
      </c>
      <c r="AS77" s="11">
        <f t="shared" si="114"/>
        <v>0</v>
      </c>
      <c r="AU77" s="11">
        <f t="shared" si="114"/>
        <v>0</v>
      </c>
      <c r="AW77" s="11">
        <f t="shared" si="114"/>
        <v>0</v>
      </c>
      <c r="AY77" s="11">
        <f t="shared" si="114"/>
        <v>0</v>
      </c>
      <c r="BA77" s="11">
        <f t="shared" si="114"/>
        <v>0</v>
      </c>
      <c r="BC77" s="11">
        <f t="shared" si="114"/>
        <v>0</v>
      </c>
      <c r="BE77" s="11">
        <f t="shared" si="114"/>
        <v>0</v>
      </c>
      <c r="BG77" s="11">
        <f t="shared" si="114"/>
        <v>0</v>
      </c>
      <c r="BI77" s="11">
        <f t="shared" si="114"/>
        <v>0</v>
      </c>
      <c r="BK77" s="11">
        <f t="shared" si="114"/>
        <v>0</v>
      </c>
      <c r="BM77" s="11">
        <f t="shared" si="114"/>
        <v>0</v>
      </c>
      <c r="BN77" s="16">
        <f ca="1">SUMIF(D$2:$BM76,BN$2,D77:BM77)</f>
        <v>0</v>
      </c>
      <c r="BO77" s="16">
        <f t="shared" si="115"/>
        <v>0</v>
      </c>
    </row>
    <row r="78" spans="1:67" ht="15" customHeight="1" x14ac:dyDescent="0.25">
      <c r="A78" s="14"/>
      <c r="B78" s="17" t="s">
        <v>71</v>
      </c>
      <c r="C78" s="15"/>
      <c r="E78" s="11">
        <f t="shared" ref="E78:M136" si="116">D78*$C78</f>
        <v>0</v>
      </c>
      <c r="G78" s="11">
        <f t="shared" si="116"/>
        <v>0</v>
      </c>
      <c r="I78" s="11">
        <f t="shared" si="116"/>
        <v>0</v>
      </c>
      <c r="K78" s="11">
        <f t="shared" si="116"/>
        <v>0</v>
      </c>
      <c r="M78" s="11">
        <f t="shared" si="116"/>
        <v>0</v>
      </c>
      <c r="O78" s="11">
        <f t="shared" ref="O78:AO96" si="117">N78*$C78</f>
        <v>0</v>
      </c>
      <c r="Q78" s="11">
        <f t="shared" si="117"/>
        <v>0</v>
      </c>
      <c r="S78" s="11">
        <f t="shared" si="117"/>
        <v>0</v>
      </c>
      <c r="U78" s="11">
        <f t="shared" si="117"/>
        <v>0</v>
      </c>
      <c r="W78" s="11">
        <f t="shared" si="117"/>
        <v>0</v>
      </c>
      <c r="Y78" s="11">
        <f t="shared" si="117"/>
        <v>0</v>
      </c>
      <c r="AA78" s="11">
        <f t="shared" si="117"/>
        <v>0</v>
      </c>
      <c r="AC78" s="11">
        <f t="shared" si="117"/>
        <v>0</v>
      </c>
      <c r="AE78" s="11">
        <f t="shared" si="117"/>
        <v>0</v>
      </c>
      <c r="AG78" s="11">
        <f t="shared" si="117"/>
        <v>0</v>
      </c>
      <c r="AI78" s="11">
        <f t="shared" si="117"/>
        <v>0</v>
      </c>
      <c r="AK78" s="11">
        <f t="shared" si="117"/>
        <v>0</v>
      </c>
      <c r="AM78" s="11">
        <f t="shared" si="117"/>
        <v>0</v>
      </c>
      <c r="AO78" s="11">
        <f t="shared" si="117"/>
        <v>0</v>
      </c>
      <c r="AQ78" s="11">
        <f t="shared" ref="AQ78:BM85" si="118">AP78*$C78</f>
        <v>0</v>
      </c>
      <c r="AS78" s="11">
        <f t="shared" si="118"/>
        <v>0</v>
      </c>
      <c r="AU78" s="11">
        <f t="shared" si="118"/>
        <v>0</v>
      </c>
      <c r="AW78" s="11">
        <f t="shared" si="118"/>
        <v>0</v>
      </c>
      <c r="AY78" s="11">
        <f t="shared" si="118"/>
        <v>0</v>
      </c>
      <c r="BA78" s="11">
        <f t="shared" si="118"/>
        <v>0</v>
      </c>
      <c r="BC78" s="11">
        <f t="shared" si="118"/>
        <v>0</v>
      </c>
      <c r="BE78" s="11">
        <f t="shared" si="118"/>
        <v>0</v>
      </c>
      <c r="BG78" s="11">
        <f t="shared" si="118"/>
        <v>0</v>
      </c>
      <c r="BI78" s="11">
        <f t="shared" si="118"/>
        <v>0</v>
      </c>
      <c r="BK78" s="11">
        <f t="shared" si="118"/>
        <v>0</v>
      </c>
      <c r="BM78" s="11">
        <f t="shared" si="118"/>
        <v>0</v>
      </c>
      <c r="BN78" s="16">
        <f ca="1">SUMIF(D$2:$BM77,BN$2,D78:BM78)</f>
        <v>0</v>
      </c>
      <c r="BO78" s="16">
        <f t="shared" si="115"/>
        <v>0</v>
      </c>
    </row>
    <row r="79" spans="1:67" ht="15" customHeight="1" x14ac:dyDescent="0.25">
      <c r="A79" s="14"/>
      <c r="B79" s="17" t="s">
        <v>72</v>
      </c>
      <c r="C79" s="15"/>
      <c r="E79" s="11">
        <f t="shared" si="116"/>
        <v>0</v>
      </c>
      <c r="G79" s="11">
        <f t="shared" si="116"/>
        <v>0</v>
      </c>
      <c r="I79" s="11">
        <f t="shared" si="116"/>
        <v>0</v>
      </c>
      <c r="K79" s="11">
        <f t="shared" si="116"/>
        <v>0</v>
      </c>
      <c r="M79" s="11">
        <f t="shared" si="116"/>
        <v>0</v>
      </c>
      <c r="O79" s="11">
        <f t="shared" si="117"/>
        <v>0</v>
      </c>
      <c r="Q79" s="11">
        <f t="shared" si="117"/>
        <v>0</v>
      </c>
      <c r="S79" s="11">
        <f t="shared" si="117"/>
        <v>0</v>
      </c>
      <c r="U79" s="11">
        <f t="shared" si="117"/>
        <v>0</v>
      </c>
      <c r="W79" s="11">
        <f t="shared" si="117"/>
        <v>0</v>
      </c>
      <c r="Y79" s="11">
        <f t="shared" si="117"/>
        <v>0</v>
      </c>
      <c r="AA79" s="11">
        <f t="shared" si="117"/>
        <v>0</v>
      </c>
      <c r="AC79" s="11">
        <f t="shared" si="117"/>
        <v>0</v>
      </c>
      <c r="AE79" s="11">
        <f t="shared" si="117"/>
        <v>0</v>
      </c>
      <c r="AG79" s="11">
        <f t="shared" si="117"/>
        <v>0</v>
      </c>
      <c r="AI79" s="11">
        <f t="shared" si="117"/>
        <v>0</v>
      </c>
      <c r="AK79" s="11">
        <f t="shared" si="117"/>
        <v>0</v>
      </c>
      <c r="AM79" s="11">
        <f t="shared" si="117"/>
        <v>0</v>
      </c>
      <c r="AO79" s="11">
        <f t="shared" si="117"/>
        <v>0</v>
      </c>
      <c r="AQ79" s="11">
        <f t="shared" si="118"/>
        <v>0</v>
      </c>
      <c r="AS79" s="11">
        <f t="shared" si="118"/>
        <v>0</v>
      </c>
      <c r="AU79" s="11">
        <f t="shared" si="118"/>
        <v>0</v>
      </c>
      <c r="AW79" s="11">
        <f t="shared" si="118"/>
        <v>0</v>
      </c>
      <c r="AY79" s="11">
        <f t="shared" si="118"/>
        <v>0</v>
      </c>
      <c r="BA79" s="11">
        <f t="shared" si="118"/>
        <v>0</v>
      </c>
      <c r="BC79" s="11">
        <f t="shared" si="118"/>
        <v>0</v>
      </c>
      <c r="BE79" s="11">
        <f t="shared" si="118"/>
        <v>0</v>
      </c>
      <c r="BG79" s="11">
        <f t="shared" si="118"/>
        <v>0</v>
      </c>
      <c r="BI79" s="11">
        <f t="shared" si="118"/>
        <v>0</v>
      </c>
      <c r="BK79" s="11">
        <f t="shared" si="118"/>
        <v>0</v>
      </c>
      <c r="BM79" s="11">
        <f t="shared" si="118"/>
        <v>0</v>
      </c>
      <c r="BN79" s="16">
        <f ca="1">SUMIF(D$2:$BM78,BN$2,D79:BM79)</f>
        <v>0</v>
      </c>
      <c r="BO79" s="16">
        <f t="shared" si="115"/>
        <v>0</v>
      </c>
    </row>
    <row r="80" spans="1:67" ht="15" customHeight="1" x14ac:dyDescent="0.25">
      <c r="A80" s="18"/>
      <c r="B80" s="17" t="s">
        <v>73</v>
      </c>
      <c r="C80" s="15">
        <f>C79-D64</f>
        <v>0</v>
      </c>
      <c r="E80" s="11">
        <f t="shared" si="116"/>
        <v>0</v>
      </c>
      <c r="G80" s="11">
        <f t="shared" si="116"/>
        <v>0</v>
      </c>
      <c r="I80" s="11">
        <f t="shared" si="116"/>
        <v>0</v>
      </c>
      <c r="K80" s="11">
        <f t="shared" si="116"/>
        <v>0</v>
      </c>
      <c r="M80" s="11">
        <f t="shared" si="116"/>
        <v>0</v>
      </c>
      <c r="O80" s="11">
        <f t="shared" si="117"/>
        <v>0</v>
      </c>
      <c r="Q80" s="11">
        <f t="shared" si="117"/>
        <v>0</v>
      </c>
      <c r="S80" s="11">
        <f t="shared" si="117"/>
        <v>0</v>
      </c>
      <c r="U80" s="11">
        <f t="shared" si="117"/>
        <v>0</v>
      </c>
      <c r="W80" s="11">
        <f t="shared" si="117"/>
        <v>0</v>
      </c>
      <c r="Y80" s="11">
        <f t="shared" si="117"/>
        <v>0</v>
      </c>
      <c r="AA80" s="11">
        <f t="shared" si="117"/>
        <v>0</v>
      </c>
      <c r="AC80" s="11">
        <f t="shared" si="117"/>
        <v>0</v>
      </c>
      <c r="AE80" s="11">
        <f t="shared" si="117"/>
        <v>0</v>
      </c>
      <c r="AG80" s="11">
        <f t="shared" si="117"/>
        <v>0</v>
      </c>
      <c r="AI80" s="11">
        <f t="shared" si="117"/>
        <v>0</v>
      </c>
      <c r="AK80" s="11">
        <f t="shared" si="117"/>
        <v>0</v>
      </c>
      <c r="AM80" s="11">
        <f t="shared" si="117"/>
        <v>0</v>
      </c>
      <c r="AO80" s="11">
        <f t="shared" si="117"/>
        <v>0</v>
      </c>
      <c r="AQ80" s="11">
        <f t="shared" si="118"/>
        <v>0</v>
      </c>
      <c r="AS80" s="11">
        <f t="shared" si="118"/>
        <v>0</v>
      </c>
      <c r="AU80" s="11">
        <f t="shared" si="118"/>
        <v>0</v>
      </c>
      <c r="AW80" s="11">
        <f t="shared" si="118"/>
        <v>0</v>
      </c>
      <c r="AY80" s="11">
        <f t="shared" si="118"/>
        <v>0</v>
      </c>
      <c r="BA80" s="11">
        <f t="shared" si="118"/>
        <v>0</v>
      </c>
      <c r="BC80" s="11">
        <f t="shared" si="118"/>
        <v>0</v>
      </c>
      <c r="BE80" s="11">
        <f t="shared" si="118"/>
        <v>0</v>
      </c>
      <c r="BG80" s="11">
        <f t="shared" si="118"/>
        <v>0</v>
      </c>
      <c r="BI80" s="11">
        <f t="shared" si="118"/>
        <v>0</v>
      </c>
      <c r="BK80" s="11">
        <f t="shared" si="118"/>
        <v>0</v>
      </c>
      <c r="BM80" s="11">
        <f t="shared" si="118"/>
        <v>0</v>
      </c>
      <c r="BN80" s="16">
        <f ca="1">SUMIF(D$2:$BM79,BN$2,D80:BM80)</f>
        <v>0</v>
      </c>
      <c r="BO80" s="16">
        <f t="shared" si="115"/>
        <v>0</v>
      </c>
    </row>
    <row r="81" spans="1:67" ht="15" customHeight="1" x14ac:dyDescent="0.25">
      <c r="A81" s="18"/>
      <c r="B81" s="17" t="s">
        <v>74</v>
      </c>
      <c r="C81" s="15">
        <f>C80*0.05</f>
        <v>0</v>
      </c>
      <c r="E81" s="11">
        <f t="shared" si="116"/>
        <v>0</v>
      </c>
      <c r="G81" s="11">
        <f t="shared" si="116"/>
        <v>0</v>
      </c>
      <c r="I81" s="11">
        <f t="shared" si="116"/>
        <v>0</v>
      </c>
      <c r="K81" s="11">
        <f t="shared" si="116"/>
        <v>0</v>
      </c>
      <c r="M81" s="11">
        <f t="shared" si="116"/>
        <v>0</v>
      </c>
      <c r="O81" s="11">
        <f t="shared" si="117"/>
        <v>0</v>
      </c>
      <c r="Q81" s="11">
        <f t="shared" si="117"/>
        <v>0</v>
      </c>
      <c r="S81" s="11">
        <f t="shared" si="117"/>
        <v>0</v>
      </c>
      <c r="U81" s="11">
        <f t="shared" si="117"/>
        <v>0</v>
      </c>
      <c r="W81" s="11">
        <f t="shared" si="117"/>
        <v>0</v>
      </c>
      <c r="Y81" s="11">
        <f t="shared" si="117"/>
        <v>0</v>
      </c>
      <c r="AA81" s="11">
        <f t="shared" si="117"/>
        <v>0</v>
      </c>
      <c r="AC81" s="11">
        <f t="shared" si="117"/>
        <v>0</v>
      </c>
      <c r="AE81" s="11">
        <f t="shared" si="117"/>
        <v>0</v>
      </c>
      <c r="AG81" s="11">
        <f t="shared" si="117"/>
        <v>0</v>
      </c>
      <c r="AI81" s="11">
        <f t="shared" si="117"/>
        <v>0</v>
      </c>
      <c r="AK81" s="11">
        <f t="shared" si="117"/>
        <v>0</v>
      </c>
      <c r="AM81" s="11">
        <f t="shared" si="117"/>
        <v>0</v>
      </c>
      <c r="AO81" s="11">
        <f t="shared" si="117"/>
        <v>0</v>
      </c>
      <c r="AQ81" s="11">
        <f t="shared" si="118"/>
        <v>0</v>
      </c>
      <c r="AS81" s="11">
        <f t="shared" si="118"/>
        <v>0</v>
      </c>
      <c r="AU81" s="11">
        <f t="shared" si="118"/>
        <v>0</v>
      </c>
      <c r="AW81" s="11">
        <f t="shared" si="118"/>
        <v>0</v>
      </c>
      <c r="AY81" s="11">
        <f t="shared" si="118"/>
        <v>0</v>
      </c>
      <c r="BA81" s="11">
        <f t="shared" si="118"/>
        <v>0</v>
      </c>
      <c r="BC81" s="11">
        <f t="shared" si="118"/>
        <v>0</v>
      </c>
      <c r="BE81" s="11">
        <f t="shared" si="118"/>
        <v>0</v>
      </c>
      <c r="BG81" s="11">
        <f t="shared" si="118"/>
        <v>0</v>
      </c>
      <c r="BI81" s="11">
        <f t="shared" si="118"/>
        <v>0</v>
      </c>
      <c r="BK81" s="11">
        <f t="shared" si="118"/>
        <v>0</v>
      </c>
      <c r="BM81" s="11">
        <f t="shared" si="118"/>
        <v>0</v>
      </c>
      <c r="BN81" s="16">
        <f ca="1">SUMIF(D$2:$BM80,BN$2,D81:BM81)</f>
        <v>0</v>
      </c>
      <c r="BO81" s="16">
        <f t="shared" si="115"/>
        <v>0</v>
      </c>
    </row>
    <row r="82" spans="1:67" ht="15" customHeight="1" x14ac:dyDescent="0.25">
      <c r="A82" s="18"/>
      <c r="B82" s="17" t="s">
        <v>75</v>
      </c>
      <c r="C82" s="15"/>
      <c r="E82" s="11">
        <f t="shared" si="116"/>
        <v>0</v>
      </c>
      <c r="G82" s="11">
        <f t="shared" si="116"/>
        <v>0</v>
      </c>
      <c r="I82" s="11">
        <f t="shared" si="116"/>
        <v>0</v>
      </c>
      <c r="K82" s="11">
        <f t="shared" si="116"/>
        <v>0</v>
      </c>
      <c r="M82" s="11">
        <f t="shared" si="116"/>
        <v>0</v>
      </c>
      <c r="O82" s="11">
        <f t="shared" si="117"/>
        <v>0</v>
      </c>
      <c r="Q82" s="11">
        <f t="shared" si="117"/>
        <v>0</v>
      </c>
      <c r="S82" s="11">
        <f t="shared" si="117"/>
        <v>0</v>
      </c>
      <c r="U82" s="11">
        <f t="shared" si="117"/>
        <v>0</v>
      </c>
      <c r="W82" s="11">
        <f t="shared" si="117"/>
        <v>0</v>
      </c>
      <c r="Y82" s="11">
        <f t="shared" si="117"/>
        <v>0</v>
      </c>
      <c r="AA82" s="11">
        <f t="shared" si="117"/>
        <v>0</v>
      </c>
      <c r="AC82" s="11">
        <f t="shared" si="117"/>
        <v>0</v>
      </c>
      <c r="AE82" s="11">
        <f t="shared" si="117"/>
        <v>0</v>
      </c>
      <c r="AG82" s="11">
        <f t="shared" si="117"/>
        <v>0</v>
      </c>
      <c r="AI82" s="11">
        <f t="shared" si="117"/>
        <v>0</v>
      </c>
      <c r="AK82" s="11">
        <f t="shared" si="117"/>
        <v>0</v>
      </c>
      <c r="AM82" s="11">
        <f t="shared" si="117"/>
        <v>0</v>
      </c>
      <c r="AO82" s="11">
        <f t="shared" si="117"/>
        <v>0</v>
      </c>
      <c r="AQ82" s="11">
        <f t="shared" si="118"/>
        <v>0</v>
      </c>
      <c r="AS82" s="11">
        <f t="shared" si="118"/>
        <v>0</v>
      </c>
      <c r="AU82" s="11">
        <f t="shared" si="118"/>
        <v>0</v>
      </c>
      <c r="AW82" s="11">
        <f t="shared" si="118"/>
        <v>0</v>
      </c>
      <c r="AY82" s="11">
        <f t="shared" si="118"/>
        <v>0</v>
      </c>
      <c r="BA82" s="11">
        <f t="shared" si="118"/>
        <v>0</v>
      </c>
      <c r="BC82" s="11">
        <f t="shared" si="118"/>
        <v>0</v>
      </c>
      <c r="BE82" s="11">
        <f t="shared" si="118"/>
        <v>0</v>
      </c>
      <c r="BG82" s="11">
        <f t="shared" si="118"/>
        <v>0</v>
      </c>
      <c r="BI82" s="11">
        <f t="shared" si="118"/>
        <v>0</v>
      </c>
      <c r="BK82" s="11">
        <f t="shared" si="118"/>
        <v>0</v>
      </c>
      <c r="BM82" s="11">
        <f t="shared" si="118"/>
        <v>0</v>
      </c>
      <c r="BN82" s="16">
        <f ca="1">SUMIF(D$2:$BM81,BN$2,D82:BM82)</f>
        <v>0</v>
      </c>
      <c r="BO82" s="16">
        <f t="shared" si="115"/>
        <v>0</v>
      </c>
    </row>
    <row r="83" spans="1:67" ht="15" customHeight="1" x14ac:dyDescent="0.25">
      <c r="A83" s="18"/>
      <c r="B83" s="17" t="s">
        <v>76</v>
      </c>
      <c r="C83" s="15"/>
      <c r="E83" s="11">
        <f t="shared" si="116"/>
        <v>0</v>
      </c>
      <c r="G83" s="11">
        <f t="shared" si="116"/>
        <v>0</v>
      </c>
      <c r="I83" s="11">
        <f t="shared" si="116"/>
        <v>0</v>
      </c>
      <c r="K83" s="11">
        <f t="shared" si="116"/>
        <v>0</v>
      </c>
      <c r="M83" s="11">
        <f t="shared" si="116"/>
        <v>0</v>
      </c>
      <c r="O83" s="11">
        <f t="shared" si="117"/>
        <v>0</v>
      </c>
      <c r="Q83" s="11">
        <f t="shared" si="117"/>
        <v>0</v>
      </c>
      <c r="S83" s="11">
        <f t="shared" si="117"/>
        <v>0</v>
      </c>
      <c r="U83" s="11">
        <f t="shared" si="117"/>
        <v>0</v>
      </c>
      <c r="W83" s="11">
        <f t="shared" si="117"/>
        <v>0</v>
      </c>
      <c r="Y83" s="11">
        <f t="shared" si="117"/>
        <v>0</v>
      </c>
      <c r="AA83" s="11">
        <f t="shared" si="117"/>
        <v>0</v>
      </c>
      <c r="AC83" s="11">
        <f t="shared" si="117"/>
        <v>0</v>
      </c>
      <c r="AE83" s="11">
        <f t="shared" si="117"/>
        <v>0</v>
      </c>
      <c r="AG83" s="11">
        <f t="shared" si="117"/>
        <v>0</v>
      </c>
      <c r="AI83" s="11">
        <f t="shared" si="117"/>
        <v>0</v>
      </c>
      <c r="AK83" s="11">
        <f t="shared" si="117"/>
        <v>0</v>
      </c>
      <c r="AM83" s="11">
        <f t="shared" si="117"/>
        <v>0</v>
      </c>
      <c r="AO83" s="11">
        <f t="shared" si="117"/>
        <v>0</v>
      </c>
      <c r="AQ83" s="11">
        <f t="shared" si="118"/>
        <v>0</v>
      </c>
      <c r="AS83" s="11">
        <f t="shared" si="118"/>
        <v>0</v>
      </c>
      <c r="AU83" s="11">
        <f t="shared" si="118"/>
        <v>0</v>
      </c>
      <c r="AW83" s="11">
        <f t="shared" si="118"/>
        <v>0</v>
      </c>
      <c r="AY83" s="11">
        <f t="shared" si="118"/>
        <v>0</v>
      </c>
      <c r="BA83" s="11">
        <f t="shared" si="118"/>
        <v>0</v>
      </c>
      <c r="BC83" s="11">
        <f t="shared" si="118"/>
        <v>0</v>
      </c>
      <c r="BE83" s="11">
        <f t="shared" si="118"/>
        <v>0</v>
      </c>
      <c r="BG83" s="11">
        <f t="shared" si="118"/>
        <v>0</v>
      </c>
      <c r="BI83" s="11">
        <f t="shared" si="118"/>
        <v>0</v>
      </c>
      <c r="BK83" s="11">
        <f t="shared" si="118"/>
        <v>0</v>
      </c>
      <c r="BM83" s="11">
        <f t="shared" si="118"/>
        <v>0</v>
      </c>
      <c r="BN83" s="16">
        <f ca="1">SUMIF(D$2:$BM82,BN$2,D83:BM83)</f>
        <v>0</v>
      </c>
      <c r="BO83" s="16">
        <f t="shared" si="115"/>
        <v>0</v>
      </c>
    </row>
    <row r="84" spans="1:67" ht="15" customHeight="1" x14ac:dyDescent="0.25">
      <c r="A84" s="18"/>
      <c r="B84" s="17" t="s">
        <v>77</v>
      </c>
      <c r="C84" s="15"/>
      <c r="E84" s="11">
        <f t="shared" si="116"/>
        <v>0</v>
      </c>
      <c r="G84" s="11">
        <f t="shared" si="116"/>
        <v>0</v>
      </c>
      <c r="I84" s="11">
        <f t="shared" si="116"/>
        <v>0</v>
      </c>
      <c r="K84" s="11">
        <f t="shared" si="116"/>
        <v>0</v>
      </c>
      <c r="M84" s="11">
        <f t="shared" si="116"/>
        <v>0</v>
      </c>
      <c r="O84" s="11">
        <f t="shared" si="117"/>
        <v>0</v>
      </c>
      <c r="Q84" s="11">
        <f t="shared" si="117"/>
        <v>0</v>
      </c>
      <c r="S84" s="11">
        <f t="shared" si="117"/>
        <v>0</v>
      </c>
      <c r="U84" s="11">
        <f t="shared" si="117"/>
        <v>0</v>
      </c>
      <c r="W84" s="11">
        <f t="shared" si="117"/>
        <v>0</v>
      </c>
      <c r="Y84" s="11">
        <f t="shared" si="117"/>
        <v>0</v>
      </c>
      <c r="AA84" s="11">
        <f t="shared" si="117"/>
        <v>0</v>
      </c>
      <c r="AC84" s="11">
        <f t="shared" si="117"/>
        <v>0</v>
      </c>
      <c r="AE84" s="11">
        <f t="shared" si="117"/>
        <v>0</v>
      </c>
      <c r="AG84" s="11">
        <f t="shared" si="117"/>
        <v>0</v>
      </c>
      <c r="AI84" s="11">
        <f t="shared" si="117"/>
        <v>0</v>
      </c>
      <c r="AK84" s="11">
        <f t="shared" si="117"/>
        <v>0</v>
      </c>
      <c r="AM84" s="11">
        <f t="shared" si="117"/>
        <v>0</v>
      </c>
      <c r="AO84" s="11">
        <f t="shared" si="117"/>
        <v>0</v>
      </c>
      <c r="AQ84" s="11">
        <f t="shared" si="118"/>
        <v>0</v>
      </c>
      <c r="AS84" s="11">
        <f t="shared" si="118"/>
        <v>0</v>
      </c>
      <c r="AU84" s="11">
        <f t="shared" si="118"/>
        <v>0</v>
      </c>
      <c r="AW84" s="11">
        <f t="shared" si="118"/>
        <v>0</v>
      </c>
      <c r="AY84" s="11">
        <f t="shared" si="118"/>
        <v>0</v>
      </c>
      <c r="BA84" s="11">
        <f t="shared" si="118"/>
        <v>0</v>
      </c>
      <c r="BC84" s="11">
        <f t="shared" si="118"/>
        <v>0</v>
      </c>
      <c r="BE84" s="11">
        <f t="shared" si="118"/>
        <v>0</v>
      </c>
      <c r="BG84" s="11">
        <f t="shared" si="118"/>
        <v>0</v>
      </c>
      <c r="BI84" s="11">
        <f t="shared" si="118"/>
        <v>0</v>
      </c>
      <c r="BK84" s="11">
        <f t="shared" si="118"/>
        <v>0</v>
      </c>
      <c r="BM84" s="11">
        <f t="shared" si="118"/>
        <v>0</v>
      </c>
      <c r="BN84" s="16">
        <f ca="1">SUMIF(D$2:$BM83,BN$2,D84:BM84)</f>
        <v>0</v>
      </c>
      <c r="BO84" s="16">
        <f t="shared" si="115"/>
        <v>0</v>
      </c>
    </row>
    <row r="85" spans="1:67" ht="15" customHeight="1" x14ac:dyDescent="0.25">
      <c r="A85" s="18"/>
      <c r="B85" s="17" t="s">
        <v>78</v>
      </c>
      <c r="C85" s="15"/>
      <c r="E85" s="11">
        <f t="shared" si="116"/>
        <v>0</v>
      </c>
      <c r="G85" s="11">
        <f t="shared" si="116"/>
        <v>0</v>
      </c>
      <c r="I85" s="11">
        <f t="shared" si="116"/>
        <v>0</v>
      </c>
      <c r="K85" s="11">
        <f t="shared" si="116"/>
        <v>0</v>
      </c>
      <c r="M85" s="11">
        <f t="shared" si="116"/>
        <v>0</v>
      </c>
      <c r="O85" s="11">
        <f t="shared" si="117"/>
        <v>0</v>
      </c>
      <c r="Q85" s="11">
        <f t="shared" si="117"/>
        <v>0</v>
      </c>
      <c r="S85" s="11">
        <f t="shared" si="117"/>
        <v>0</v>
      </c>
      <c r="U85" s="11">
        <f t="shared" si="117"/>
        <v>0</v>
      </c>
      <c r="W85" s="11">
        <f t="shared" si="117"/>
        <v>0</v>
      </c>
      <c r="Y85" s="11">
        <f t="shared" si="117"/>
        <v>0</v>
      </c>
      <c r="AA85" s="11">
        <f t="shared" si="117"/>
        <v>0</v>
      </c>
      <c r="AC85" s="11">
        <f t="shared" si="117"/>
        <v>0</v>
      </c>
      <c r="AE85" s="11">
        <f t="shared" si="117"/>
        <v>0</v>
      </c>
      <c r="AG85" s="11">
        <f t="shared" si="117"/>
        <v>0</v>
      </c>
      <c r="AI85" s="11">
        <f t="shared" si="117"/>
        <v>0</v>
      </c>
      <c r="AK85" s="11">
        <f t="shared" si="117"/>
        <v>0</v>
      </c>
      <c r="AM85" s="11">
        <f t="shared" si="117"/>
        <v>0</v>
      </c>
      <c r="AO85" s="11">
        <f t="shared" si="117"/>
        <v>0</v>
      </c>
      <c r="AQ85" s="11">
        <f t="shared" si="118"/>
        <v>0</v>
      </c>
      <c r="AS85" s="11">
        <f t="shared" si="118"/>
        <v>0</v>
      </c>
      <c r="AU85" s="11">
        <f t="shared" si="118"/>
        <v>0</v>
      </c>
      <c r="AW85" s="11">
        <f t="shared" si="118"/>
        <v>0</v>
      </c>
      <c r="AY85" s="11">
        <f t="shared" si="118"/>
        <v>0</v>
      </c>
      <c r="BA85" s="11">
        <f t="shared" si="118"/>
        <v>0</v>
      </c>
      <c r="BC85" s="11">
        <f t="shared" si="118"/>
        <v>0</v>
      </c>
      <c r="BE85" s="11">
        <f t="shared" si="118"/>
        <v>0</v>
      </c>
      <c r="BG85" s="11">
        <f t="shared" si="118"/>
        <v>0</v>
      </c>
      <c r="BI85" s="11">
        <f t="shared" si="118"/>
        <v>0</v>
      </c>
      <c r="BK85" s="11">
        <f t="shared" si="118"/>
        <v>0</v>
      </c>
      <c r="BM85" s="11">
        <f t="shared" si="118"/>
        <v>0</v>
      </c>
      <c r="BN85" s="16">
        <f ca="1">SUMIF(D$2:$BM84,BN$2,D85:BM85)</f>
        <v>0</v>
      </c>
      <c r="BO85" s="16">
        <f t="shared" si="115"/>
        <v>0</v>
      </c>
    </row>
    <row r="86" spans="1:67" ht="15" customHeight="1" x14ac:dyDescent="0.25">
      <c r="A86" s="18"/>
      <c r="B86" s="17" t="s">
        <v>79</v>
      </c>
      <c r="C86" s="15"/>
      <c r="E86" s="11">
        <f t="shared" si="116"/>
        <v>0</v>
      </c>
      <c r="G86" s="11">
        <f t="shared" si="116"/>
        <v>0</v>
      </c>
      <c r="I86" s="11">
        <f t="shared" si="116"/>
        <v>0</v>
      </c>
      <c r="K86" s="11">
        <f t="shared" si="116"/>
        <v>0</v>
      </c>
      <c r="M86" s="11">
        <f t="shared" si="116"/>
        <v>0</v>
      </c>
      <c r="O86" s="11">
        <f t="shared" si="117"/>
        <v>0</v>
      </c>
      <c r="Q86" s="11">
        <f t="shared" si="117"/>
        <v>0</v>
      </c>
      <c r="S86" s="11">
        <f t="shared" si="117"/>
        <v>0</v>
      </c>
      <c r="U86" s="11">
        <f t="shared" si="117"/>
        <v>0</v>
      </c>
      <c r="W86" s="11">
        <f t="shared" si="117"/>
        <v>0</v>
      </c>
      <c r="Y86" s="11">
        <f t="shared" si="117"/>
        <v>0</v>
      </c>
      <c r="AA86" s="11">
        <f t="shared" si="117"/>
        <v>0</v>
      </c>
      <c r="AC86" s="11">
        <f t="shared" si="117"/>
        <v>0</v>
      </c>
      <c r="AE86" s="11">
        <f t="shared" si="117"/>
        <v>0</v>
      </c>
      <c r="AG86" s="11">
        <f t="shared" si="117"/>
        <v>0</v>
      </c>
      <c r="AI86" s="11">
        <f t="shared" si="117"/>
        <v>0</v>
      </c>
      <c r="AK86" s="11">
        <f t="shared" si="117"/>
        <v>0</v>
      </c>
      <c r="AM86" s="11">
        <f t="shared" si="117"/>
        <v>0</v>
      </c>
      <c r="AO86" s="11">
        <f t="shared" ref="AO86:BM101" si="119">AN86*$C86</f>
        <v>0</v>
      </c>
      <c r="AQ86" s="11">
        <f t="shared" si="119"/>
        <v>0</v>
      </c>
      <c r="AS86" s="11">
        <f t="shared" si="119"/>
        <v>0</v>
      </c>
      <c r="AU86" s="11">
        <f t="shared" si="119"/>
        <v>0</v>
      </c>
      <c r="AW86" s="11">
        <f t="shared" si="119"/>
        <v>0</v>
      </c>
      <c r="AY86" s="11">
        <f t="shared" si="119"/>
        <v>0</v>
      </c>
      <c r="BA86" s="11">
        <f t="shared" si="119"/>
        <v>0</v>
      </c>
      <c r="BC86" s="11">
        <f t="shared" si="119"/>
        <v>0</v>
      </c>
      <c r="BE86" s="11">
        <f t="shared" si="119"/>
        <v>0</v>
      </c>
      <c r="BG86" s="11">
        <f t="shared" si="119"/>
        <v>0</v>
      </c>
      <c r="BI86" s="11">
        <f t="shared" si="119"/>
        <v>0</v>
      </c>
      <c r="BK86" s="11">
        <f t="shared" si="119"/>
        <v>0</v>
      </c>
      <c r="BM86" s="11">
        <f t="shared" si="119"/>
        <v>0</v>
      </c>
      <c r="BN86" s="16">
        <f ca="1">SUMIF(D$2:$BM85,BN$2,D86:BM86)</f>
        <v>0</v>
      </c>
      <c r="BO86" s="16">
        <f t="shared" si="115"/>
        <v>0</v>
      </c>
    </row>
    <row r="87" spans="1:67" ht="15" customHeight="1" x14ac:dyDescent="0.25">
      <c r="A87" s="18"/>
      <c r="B87" s="17" t="s">
        <v>80</v>
      </c>
      <c r="C87" s="15"/>
      <c r="E87" s="11">
        <f t="shared" si="116"/>
        <v>0</v>
      </c>
      <c r="G87" s="11">
        <f t="shared" si="116"/>
        <v>0</v>
      </c>
      <c r="I87" s="11">
        <f t="shared" si="116"/>
        <v>0</v>
      </c>
      <c r="K87" s="11">
        <f t="shared" si="116"/>
        <v>0</v>
      </c>
      <c r="M87" s="11">
        <f t="shared" si="116"/>
        <v>0</v>
      </c>
      <c r="O87" s="11">
        <f t="shared" si="117"/>
        <v>0</v>
      </c>
      <c r="Q87" s="11">
        <f t="shared" si="117"/>
        <v>0</v>
      </c>
      <c r="S87" s="11">
        <f t="shared" si="117"/>
        <v>0</v>
      </c>
      <c r="U87" s="11">
        <f t="shared" si="117"/>
        <v>0</v>
      </c>
      <c r="W87" s="11">
        <f t="shared" si="117"/>
        <v>0</v>
      </c>
      <c r="Y87" s="11">
        <f t="shared" si="117"/>
        <v>0</v>
      </c>
      <c r="AA87" s="11">
        <f t="shared" si="117"/>
        <v>0</v>
      </c>
      <c r="AC87" s="11">
        <f t="shared" si="117"/>
        <v>0</v>
      </c>
      <c r="AE87" s="11">
        <f t="shared" si="117"/>
        <v>0</v>
      </c>
      <c r="AG87" s="11">
        <f t="shared" si="117"/>
        <v>0</v>
      </c>
      <c r="AI87" s="11">
        <f t="shared" si="117"/>
        <v>0</v>
      </c>
      <c r="AK87" s="11">
        <f t="shared" si="117"/>
        <v>0</v>
      </c>
      <c r="AM87" s="11">
        <f t="shared" si="117"/>
        <v>0</v>
      </c>
      <c r="AO87" s="11">
        <f t="shared" si="119"/>
        <v>0</v>
      </c>
      <c r="AQ87" s="11">
        <f t="shared" si="119"/>
        <v>0</v>
      </c>
      <c r="AS87" s="11">
        <f t="shared" si="119"/>
        <v>0</v>
      </c>
      <c r="AU87" s="11">
        <f t="shared" si="119"/>
        <v>0</v>
      </c>
      <c r="AW87" s="11">
        <f t="shared" si="119"/>
        <v>0</v>
      </c>
      <c r="AY87" s="11">
        <f t="shared" si="119"/>
        <v>0</v>
      </c>
      <c r="BA87" s="11">
        <f t="shared" si="119"/>
        <v>0</v>
      </c>
      <c r="BC87" s="11">
        <f t="shared" si="119"/>
        <v>0</v>
      </c>
      <c r="BE87" s="11">
        <f t="shared" si="119"/>
        <v>0</v>
      </c>
      <c r="BG87" s="11">
        <f t="shared" si="119"/>
        <v>0</v>
      </c>
      <c r="BI87" s="11">
        <f t="shared" si="119"/>
        <v>0</v>
      </c>
      <c r="BK87" s="11">
        <f t="shared" si="119"/>
        <v>0</v>
      </c>
      <c r="BM87" s="11">
        <f t="shared" si="119"/>
        <v>0</v>
      </c>
      <c r="BN87" s="16">
        <f ca="1">SUMIF(D$2:$BM86,BN$2,D87:BM87)</f>
        <v>0</v>
      </c>
      <c r="BO87" s="16">
        <f t="shared" si="115"/>
        <v>0</v>
      </c>
    </row>
    <row r="88" spans="1:67" ht="15" customHeight="1" x14ac:dyDescent="0.25">
      <c r="A88" s="18"/>
      <c r="B88" s="17" t="s">
        <v>81</v>
      </c>
      <c r="C88" s="15"/>
      <c r="E88" s="11">
        <f t="shared" si="116"/>
        <v>0</v>
      </c>
      <c r="G88" s="11">
        <f t="shared" si="116"/>
        <v>0</v>
      </c>
      <c r="I88" s="11">
        <f t="shared" si="116"/>
        <v>0</v>
      </c>
      <c r="K88" s="11">
        <f t="shared" si="116"/>
        <v>0</v>
      </c>
      <c r="M88" s="11">
        <f t="shared" si="116"/>
        <v>0</v>
      </c>
      <c r="O88" s="11">
        <f t="shared" si="117"/>
        <v>0</v>
      </c>
      <c r="Q88" s="11">
        <f t="shared" si="117"/>
        <v>0</v>
      </c>
      <c r="S88" s="11">
        <f t="shared" si="117"/>
        <v>0</v>
      </c>
      <c r="U88" s="11">
        <f t="shared" si="117"/>
        <v>0</v>
      </c>
      <c r="W88" s="11">
        <f t="shared" si="117"/>
        <v>0</v>
      </c>
      <c r="Y88" s="11">
        <f t="shared" si="117"/>
        <v>0</v>
      </c>
      <c r="AA88" s="11">
        <f t="shared" si="117"/>
        <v>0</v>
      </c>
      <c r="AC88" s="11">
        <f t="shared" si="117"/>
        <v>0</v>
      </c>
      <c r="AE88" s="11">
        <f t="shared" si="117"/>
        <v>0</v>
      </c>
      <c r="AG88" s="11">
        <f t="shared" si="117"/>
        <v>0</v>
      </c>
      <c r="AI88" s="11">
        <f t="shared" si="117"/>
        <v>0</v>
      </c>
      <c r="AK88" s="11">
        <f t="shared" si="117"/>
        <v>0</v>
      </c>
      <c r="AM88" s="11">
        <f t="shared" si="117"/>
        <v>0</v>
      </c>
      <c r="AO88" s="11">
        <f t="shared" si="119"/>
        <v>0</v>
      </c>
      <c r="AQ88" s="11">
        <f t="shared" si="119"/>
        <v>0</v>
      </c>
      <c r="AS88" s="11">
        <f t="shared" si="119"/>
        <v>0</v>
      </c>
      <c r="AU88" s="11">
        <f t="shared" si="119"/>
        <v>0</v>
      </c>
      <c r="AW88" s="11">
        <f t="shared" si="119"/>
        <v>0</v>
      </c>
      <c r="AY88" s="11">
        <f t="shared" si="119"/>
        <v>0</v>
      </c>
      <c r="BA88" s="11">
        <f t="shared" si="119"/>
        <v>0</v>
      </c>
      <c r="BC88" s="11">
        <f t="shared" si="119"/>
        <v>0</v>
      </c>
      <c r="BE88" s="11">
        <f t="shared" si="119"/>
        <v>0</v>
      </c>
      <c r="BG88" s="11">
        <f t="shared" si="119"/>
        <v>0</v>
      </c>
      <c r="BI88" s="11">
        <f t="shared" si="119"/>
        <v>0</v>
      </c>
      <c r="BK88" s="11">
        <f t="shared" si="119"/>
        <v>0</v>
      </c>
      <c r="BM88" s="11">
        <f t="shared" si="119"/>
        <v>0</v>
      </c>
      <c r="BN88" s="16">
        <f ca="1">SUMIF(D$2:$BM87,BN$2,D88:BM88)</f>
        <v>0</v>
      </c>
      <c r="BO88" s="16">
        <f t="shared" si="115"/>
        <v>0</v>
      </c>
    </row>
    <row r="89" spans="1:67" ht="15" customHeight="1" x14ac:dyDescent="0.25">
      <c r="A89" s="18"/>
      <c r="B89" s="17" t="s">
        <v>82</v>
      </c>
      <c r="C89" s="15"/>
      <c r="E89" s="11">
        <f t="shared" si="116"/>
        <v>0</v>
      </c>
      <c r="G89" s="11">
        <f t="shared" si="116"/>
        <v>0</v>
      </c>
      <c r="I89" s="11">
        <f t="shared" si="116"/>
        <v>0</v>
      </c>
      <c r="K89" s="11">
        <f t="shared" si="116"/>
        <v>0</v>
      </c>
      <c r="M89" s="11">
        <f t="shared" si="116"/>
        <v>0</v>
      </c>
      <c r="O89" s="11">
        <f t="shared" si="117"/>
        <v>0</v>
      </c>
      <c r="Q89" s="11">
        <f t="shared" si="117"/>
        <v>0</v>
      </c>
      <c r="S89" s="11">
        <f t="shared" si="117"/>
        <v>0</v>
      </c>
      <c r="U89" s="11">
        <f t="shared" si="117"/>
        <v>0</v>
      </c>
      <c r="W89" s="11">
        <f t="shared" si="117"/>
        <v>0</v>
      </c>
      <c r="Y89" s="11">
        <f t="shared" si="117"/>
        <v>0</v>
      </c>
      <c r="AA89" s="11">
        <f t="shared" si="117"/>
        <v>0</v>
      </c>
      <c r="AC89" s="11">
        <f t="shared" si="117"/>
        <v>0</v>
      </c>
      <c r="AE89" s="11">
        <f t="shared" si="117"/>
        <v>0</v>
      </c>
      <c r="AG89" s="11">
        <f t="shared" si="117"/>
        <v>0</v>
      </c>
      <c r="AI89" s="11">
        <f t="shared" si="117"/>
        <v>0</v>
      </c>
      <c r="AK89" s="11">
        <f t="shared" si="117"/>
        <v>0</v>
      </c>
      <c r="AM89" s="11">
        <f t="shared" si="117"/>
        <v>0</v>
      </c>
      <c r="AO89" s="11">
        <f t="shared" si="119"/>
        <v>0</v>
      </c>
      <c r="AQ89" s="11">
        <f t="shared" si="119"/>
        <v>0</v>
      </c>
      <c r="AS89" s="11">
        <f t="shared" si="119"/>
        <v>0</v>
      </c>
      <c r="AU89" s="11">
        <f t="shared" si="119"/>
        <v>0</v>
      </c>
      <c r="AW89" s="11">
        <f t="shared" si="119"/>
        <v>0</v>
      </c>
      <c r="AY89" s="11">
        <f t="shared" si="119"/>
        <v>0</v>
      </c>
      <c r="BA89" s="11">
        <f t="shared" si="119"/>
        <v>0</v>
      </c>
      <c r="BC89" s="11">
        <f t="shared" si="119"/>
        <v>0</v>
      </c>
      <c r="BE89" s="11">
        <f t="shared" si="119"/>
        <v>0</v>
      </c>
      <c r="BG89" s="11">
        <f t="shared" si="119"/>
        <v>0</v>
      </c>
      <c r="BI89" s="11">
        <f t="shared" si="119"/>
        <v>0</v>
      </c>
      <c r="BK89" s="11">
        <f t="shared" si="119"/>
        <v>0</v>
      </c>
      <c r="BM89" s="11">
        <f t="shared" si="119"/>
        <v>0</v>
      </c>
      <c r="BN89" s="16">
        <f ca="1">SUMIF(D$2:$BM88,BN$2,D89:BM89)</f>
        <v>0</v>
      </c>
      <c r="BO89" s="16">
        <f t="shared" si="115"/>
        <v>0</v>
      </c>
    </row>
    <row r="90" spans="1:67" ht="15" customHeight="1" x14ac:dyDescent="0.25">
      <c r="A90" s="18"/>
      <c r="B90" s="17" t="s">
        <v>83</v>
      </c>
      <c r="C90" s="15"/>
      <c r="E90" s="11">
        <f t="shared" si="116"/>
        <v>0</v>
      </c>
      <c r="G90" s="11">
        <f t="shared" si="116"/>
        <v>0</v>
      </c>
      <c r="I90" s="11">
        <f t="shared" si="116"/>
        <v>0</v>
      </c>
      <c r="K90" s="11">
        <f t="shared" si="116"/>
        <v>0</v>
      </c>
      <c r="M90" s="11">
        <f t="shared" si="116"/>
        <v>0</v>
      </c>
      <c r="O90" s="11">
        <f t="shared" si="117"/>
        <v>0</v>
      </c>
      <c r="Q90" s="11">
        <f t="shared" si="117"/>
        <v>0</v>
      </c>
      <c r="S90" s="11">
        <f t="shared" si="117"/>
        <v>0</v>
      </c>
      <c r="U90" s="11">
        <f t="shared" si="117"/>
        <v>0</v>
      </c>
      <c r="W90" s="11">
        <f t="shared" si="117"/>
        <v>0</v>
      </c>
      <c r="Y90" s="11">
        <f t="shared" si="117"/>
        <v>0</v>
      </c>
      <c r="AA90" s="11">
        <f t="shared" si="117"/>
        <v>0</v>
      </c>
      <c r="AC90" s="11">
        <f t="shared" si="117"/>
        <v>0</v>
      </c>
      <c r="AE90" s="11">
        <f t="shared" si="117"/>
        <v>0</v>
      </c>
      <c r="AG90" s="11">
        <f t="shared" si="117"/>
        <v>0</v>
      </c>
      <c r="AI90" s="11">
        <f t="shared" si="117"/>
        <v>0</v>
      </c>
      <c r="AK90" s="11">
        <f t="shared" si="117"/>
        <v>0</v>
      </c>
      <c r="AM90" s="11">
        <f t="shared" si="117"/>
        <v>0</v>
      </c>
      <c r="AO90" s="11">
        <f t="shared" si="119"/>
        <v>0</v>
      </c>
      <c r="AQ90" s="11">
        <f t="shared" si="119"/>
        <v>0</v>
      </c>
      <c r="AS90" s="11">
        <f t="shared" si="119"/>
        <v>0</v>
      </c>
      <c r="AU90" s="11">
        <f t="shared" si="119"/>
        <v>0</v>
      </c>
      <c r="AW90" s="11">
        <f t="shared" si="119"/>
        <v>0</v>
      </c>
      <c r="AY90" s="11">
        <f t="shared" si="119"/>
        <v>0</v>
      </c>
      <c r="BA90" s="11">
        <f t="shared" si="119"/>
        <v>0</v>
      </c>
      <c r="BC90" s="11">
        <f t="shared" si="119"/>
        <v>0</v>
      </c>
      <c r="BE90" s="11">
        <f t="shared" si="119"/>
        <v>0</v>
      </c>
      <c r="BG90" s="11">
        <f t="shared" si="119"/>
        <v>0</v>
      </c>
      <c r="BI90" s="11">
        <f t="shared" si="119"/>
        <v>0</v>
      </c>
      <c r="BK90" s="11">
        <f t="shared" si="119"/>
        <v>0</v>
      </c>
      <c r="BM90" s="11">
        <f t="shared" si="119"/>
        <v>0</v>
      </c>
      <c r="BN90" s="16">
        <f ca="1">SUMIF(D$2:$BM89,BN$2,D90:BM90)</f>
        <v>0</v>
      </c>
      <c r="BO90" s="16">
        <f t="shared" si="115"/>
        <v>0</v>
      </c>
    </row>
    <row r="91" spans="1:67" ht="15" customHeight="1" x14ac:dyDescent="0.25">
      <c r="A91" s="18"/>
      <c r="B91" s="17" t="s">
        <v>84</v>
      </c>
      <c r="C91" s="15"/>
      <c r="E91" s="11">
        <f t="shared" si="116"/>
        <v>0</v>
      </c>
      <c r="G91" s="11">
        <f t="shared" si="116"/>
        <v>0</v>
      </c>
      <c r="I91" s="11">
        <f t="shared" si="116"/>
        <v>0</v>
      </c>
      <c r="K91" s="11">
        <f t="shared" si="116"/>
        <v>0</v>
      </c>
      <c r="M91" s="11">
        <f t="shared" si="116"/>
        <v>0</v>
      </c>
      <c r="O91" s="11">
        <f t="shared" si="117"/>
        <v>0</v>
      </c>
      <c r="Q91" s="11">
        <f t="shared" si="117"/>
        <v>0</v>
      </c>
      <c r="S91" s="11">
        <f t="shared" si="117"/>
        <v>0</v>
      </c>
      <c r="U91" s="11">
        <f t="shared" si="117"/>
        <v>0</v>
      </c>
      <c r="W91" s="11">
        <f t="shared" si="117"/>
        <v>0</v>
      </c>
      <c r="Y91" s="11">
        <f t="shared" si="117"/>
        <v>0</v>
      </c>
      <c r="AA91" s="11">
        <f t="shared" si="117"/>
        <v>0</v>
      </c>
      <c r="AC91" s="11">
        <f t="shared" si="117"/>
        <v>0</v>
      </c>
      <c r="AE91" s="11">
        <f t="shared" si="117"/>
        <v>0</v>
      </c>
      <c r="AG91" s="11">
        <f t="shared" si="117"/>
        <v>0</v>
      </c>
      <c r="AI91" s="11">
        <f t="shared" si="117"/>
        <v>0</v>
      </c>
      <c r="AK91" s="11">
        <f t="shared" si="117"/>
        <v>0</v>
      </c>
      <c r="AM91" s="11">
        <f t="shared" si="117"/>
        <v>0</v>
      </c>
      <c r="AO91" s="11">
        <f t="shared" si="119"/>
        <v>0</v>
      </c>
      <c r="AQ91" s="11">
        <f t="shared" si="119"/>
        <v>0</v>
      </c>
      <c r="AS91" s="11">
        <f t="shared" si="119"/>
        <v>0</v>
      </c>
      <c r="AU91" s="11">
        <f t="shared" si="119"/>
        <v>0</v>
      </c>
      <c r="AW91" s="11">
        <f t="shared" si="119"/>
        <v>0</v>
      </c>
      <c r="AY91" s="11">
        <f t="shared" si="119"/>
        <v>0</v>
      </c>
      <c r="BA91" s="11">
        <f t="shared" si="119"/>
        <v>0</v>
      </c>
      <c r="BC91" s="11">
        <f t="shared" si="119"/>
        <v>0</v>
      </c>
      <c r="BE91" s="11">
        <f t="shared" si="119"/>
        <v>0</v>
      </c>
      <c r="BG91" s="11">
        <f t="shared" si="119"/>
        <v>0</v>
      </c>
      <c r="BI91" s="11">
        <f t="shared" si="119"/>
        <v>0</v>
      </c>
      <c r="BK91" s="11">
        <f t="shared" si="119"/>
        <v>0</v>
      </c>
      <c r="BM91" s="11">
        <f t="shared" si="119"/>
        <v>0</v>
      </c>
      <c r="BN91" s="16">
        <f ca="1">SUMIF(D$2:$BM90,BN$2,D91:BM91)</f>
        <v>0</v>
      </c>
      <c r="BO91" s="16">
        <f t="shared" si="115"/>
        <v>0</v>
      </c>
    </row>
    <row r="92" spans="1:67" ht="15" customHeight="1" x14ac:dyDescent="0.25">
      <c r="A92" s="18"/>
      <c r="B92" s="17" t="s">
        <v>85</v>
      </c>
      <c r="C92" s="15"/>
      <c r="E92" s="11">
        <f t="shared" si="116"/>
        <v>0</v>
      </c>
      <c r="G92" s="11">
        <f t="shared" si="116"/>
        <v>0</v>
      </c>
      <c r="I92" s="11">
        <f t="shared" si="116"/>
        <v>0</v>
      </c>
      <c r="K92" s="11">
        <f t="shared" si="116"/>
        <v>0</v>
      </c>
      <c r="M92" s="11">
        <f t="shared" si="116"/>
        <v>0</v>
      </c>
      <c r="O92" s="11">
        <f t="shared" si="117"/>
        <v>0</v>
      </c>
      <c r="Q92" s="11">
        <f t="shared" si="117"/>
        <v>0</v>
      </c>
      <c r="S92" s="11">
        <f t="shared" si="117"/>
        <v>0</v>
      </c>
      <c r="U92" s="11">
        <f t="shared" si="117"/>
        <v>0</v>
      </c>
      <c r="W92" s="11">
        <f t="shared" si="117"/>
        <v>0</v>
      </c>
      <c r="Y92" s="11">
        <f t="shared" si="117"/>
        <v>0</v>
      </c>
      <c r="AA92" s="11">
        <f t="shared" si="117"/>
        <v>0</v>
      </c>
      <c r="AC92" s="11">
        <f t="shared" si="117"/>
        <v>0</v>
      </c>
      <c r="AE92" s="11">
        <f t="shared" si="117"/>
        <v>0</v>
      </c>
      <c r="AG92" s="11">
        <f t="shared" si="117"/>
        <v>0</v>
      </c>
      <c r="AI92" s="11">
        <f t="shared" si="117"/>
        <v>0</v>
      </c>
      <c r="AK92" s="11">
        <f t="shared" si="117"/>
        <v>0</v>
      </c>
      <c r="AM92" s="11">
        <f t="shared" si="117"/>
        <v>0</v>
      </c>
      <c r="AO92" s="11">
        <f t="shared" si="119"/>
        <v>0</v>
      </c>
      <c r="AQ92" s="11">
        <f t="shared" si="119"/>
        <v>0</v>
      </c>
      <c r="AS92" s="11">
        <f t="shared" si="119"/>
        <v>0</v>
      </c>
      <c r="AU92" s="11">
        <f t="shared" si="119"/>
        <v>0</v>
      </c>
      <c r="AW92" s="11">
        <f t="shared" si="119"/>
        <v>0</v>
      </c>
      <c r="AY92" s="11">
        <f t="shared" si="119"/>
        <v>0</v>
      </c>
      <c r="BA92" s="11">
        <f t="shared" si="119"/>
        <v>0</v>
      </c>
      <c r="BC92" s="11">
        <f t="shared" si="119"/>
        <v>0</v>
      </c>
      <c r="BE92" s="11">
        <f t="shared" si="119"/>
        <v>0</v>
      </c>
      <c r="BG92" s="11">
        <f t="shared" si="119"/>
        <v>0</v>
      </c>
      <c r="BI92" s="11">
        <f t="shared" si="119"/>
        <v>0</v>
      </c>
      <c r="BK92" s="11">
        <f t="shared" si="119"/>
        <v>0</v>
      </c>
      <c r="BM92" s="11">
        <f t="shared" si="119"/>
        <v>0</v>
      </c>
      <c r="BN92" s="16">
        <f ca="1">SUMIF(D$2:$BM91,BN$2,D92:BM92)</f>
        <v>0</v>
      </c>
      <c r="BO92" s="16">
        <f t="shared" si="115"/>
        <v>0</v>
      </c>
    </row>
    <row r="93" spans="1:67" ht="15" customHeight="1" x14ac:dyDescent="0.25">
      <c r="A93" s="18"/>
      <c r="B93" s="17" t="s">
        <v>86</v>
      </c>
      <c r="C93" s="15"/>
      <c r="E93" s="11">
        <f t="shared" si="116"/>
        <v>0</v>
      </c>
      <c r="G93" s="11">
        <f t="shared" si="116"/>
        <v>0</v>
      </c>
      <c r="I93" s="11">
        <f t="shared" si="116"/>
        <v>0</v>
      </c>
      <c r="K93" s="11">
        <f t="shared" si="116"/>
        <v>0</v>
      </c>
      <c r="M93" s="11">
        <f t="shared" si="116"/>
        <v>0</v>
      </c>
      <c r="O93" s="11">
        <f t="shared" si="117"/>
        <v>0</v>
      </c>
      <c r="Q93" s="11">
        <f t="shared" si="117"/>
        <v>0</v>
      </c>
      <c r="S93" s="11">
        <f t="shared" si="117"/>
        <v>0</v>
      </c>
      <c r="U93" s="11">
        <f t="shared" si="117"/>
        <v>0</v>
      </c>
      <c r="W93" s="11">
        <f t="shared" si="117"/>
        <v>0</v>
      </c>
      <c r="Y93" s="11">
        <f t="shared" si="117"/>
        <v>0</v>
      </c>
      <c r="AA93" s="11">
        <f t="shared" si="117"/>
        <v>0</v>
      </c>
      <c r="AC93" s="11">
        <f t="shared" si="117"/>
        <v>0</v>
      </c>
      <c r="AE93" s="11">
        <f t="shared" si="117"/>
        <v>0</v>
      </c>
      <c r="AG93" s="11">
        <f t="shared" si="117"/>
        <v>0</v>
      </c>
      <c r="AI93" s="11">
        <f t="shared" si="117"/>
        <v>0</v>
      </c>
      <c r="AK93" s="11">
        <f t="shared" si="117"/>
        <v>0</v>
      </c>
      <c r="AM93" s="11">
        <f t="shared" si="117"/>
        <v>0</v>
      </c>
      <c r="AO93" s="11">
        <f t="shared" si="119"/>
        <v>0</v>
      </c>
      <c r="AQ93" s="11">
        <f t="shared" si="119"/>
        <v>0</v>
      </c>
      <c r="AS93" s="11">
        <f t="shared" si="119"/>
        <v>0</v>
      </c>
      <c r="AU93" s="11">
        <f t="shared" si="119"/>
        <v>0</v>
      </c>
      <c r="AW93" s="11">
        <f t="shared" si="119"/>
        <v>0</v>
      </c>
      <c r="AY93" s="11">
        <f t="shared" si="119"/>
        <v>0</v>
      </c>
      <c r="BA93" s="11">
        <f t="shared" si="119"/>
        <v>0</v>
      </c>
      <c r="BC93" s="11">
        <f t="shared" si="119"/>
        <v>0</v>
      </c>
      <c r="BE93" s="11">
        <f t="shared" si="119"/>
        <v>0</v>
      </c>
      <c r="BG93" s="11">
        <f t="shared" si="119"/>
        <v>0</v>
      </c>
      <c r="BI93" s="11">
        <f t="shared" si="119"/>
        <v>0</v>
      </c>
      <c r="BK93" s="11">
        <f t="shared" si="119"/>
        <v>0</v>
      </c>
      <c r="BM93" s="11">
        <f t="shared" si="119"/>
        <v>0</v>
      </c>
      <c r="BN93" s="16">
        <f ca="1">SUMIF(D$2:$BM92,BN$2,D93:BM93)</f>
        <v>0</v>
      </c>
      <c r="BO93" s="16">
        <f t="shared" si="115"/>
        <v>0</v>
      </c>
    </row>
    <row r="94" spans="1:67" ht="15" customHeight="1" x14ac:dyDescent="0.25">
      <c r="A94" s="18"/>
      <c r="B94" s="17" t="s">
        <v>87</v>
      </c>
      <c r="C94" s="15"/>
      <c r="E94" s="11">
        <f t="shared" si="116"/>
        <v>0</v>
      </c>
      <c r="G94" s="11">
        <f t="shared" si="116"/>
        <v>0</v>
      </c>
      <c r="I94" s="11">
        <f t="shared" si="116"/>
        <v>0</v>
      </c>
      <c r="K94" s="11">
        <f t="shared" si="116"/>
        <v>0</v>
      </c>
      <c r="M94" s="11">
        <f t="shared" si="116"/>
        <v>0</v>
      </c>
      <c r="O94" s="11">
        <f t="shared" si="117"/>
        <v>0</v>
      </c>
      <c r="Q94" s="11">
        <f t="shared" si="117"/>
        <v>0</v>
      </c>
      <c r="S94" s="11">
        <f t="shared" si="117"/>
        <v>0</v>
      </c>
      <c r="U94" s="11">
        <f t="shared" si="117"/>
        <v>0</v>
      </c>
      <c r="W94" s="11">
        <f t="shared" si="117"/>
        <v>0</v>
      </c>
      <c r="Y94" s="11">
        <f t="shared" si="117"/>
        <v>0</v>
      </c>
      <c r="AA94" s="11">
        <f t="shared" si="117"/>
        <v>0</v>
      </c>
      <c r="AC94" s="11">
        <f t="shared" si="117"/>
        <v>0</v>
      </c>
      <c r="AE94" s="11">
        <f t="shared" si="117"/>
        <v>0</v>
      </c>
      <c r="AG94" s="11">
        <f t="shared" si="117"/>
        <v>0</v>
      </c>
      <c r="AI94" s="11">
        <f t="shared" si="117"/>
        <v>0</v>
      </c>
      <c r="AK94" s="11">
        <f t="shared" si="117"/>
        <v>0</v>
      </c>
      <c r="AM94" s="11">
        <f t="shared" si="117"/>
        <v>0</v>
      </c>
      <c r="AO94" s="11">
        <f t="shared" si="119"/>
        <v>0</v>
      </c>
      <c r="AQ94" s="11">
        <f t="shared" si="119"/>
        <v>0</v>
      </c>
      <c r="AS94" s="11">
        <f t="shared" si="119"/>
        <v>0</v>
      </c>
      <c r="AU94" s="11">
        <f t="shared" si="119"/>
        <v>0</v>
      </c>
      <c r="AW94" s="11">
        <f t="shared" si="119"/>
        <v>0</v>
      </c>
      <c r="AY94" s="11">
        <f t="shared" si="119"/>
        <v>0</v>
      </c>
      <c r="BA94" s="11">
        <f t="shared" si="119"/>
        <v>0</v>
      </c>
      <c r="BC94" s="11">
        <f t="shared" si="119"/>
        <v>0</v>
      </c>
      <c r="BE94" s="11">
        <f t="shared" si="119"/>
        <v>0</v>
      </c>
      <c r="BG94" s="11">
        <f t="shared" si="119"/>
        <v>0</v>
      </c>
      <c r="BI94" s="11">
        <f t="shared" si="119"/>
        <v>0</v>
      </c>
      <c r="BK94" s="11">
        <f t="shared" si="119"/>
        <v>0</v>
      </c>
      <c r="BM94" s="11">
        <f t="shared" si="119"/>
        <v>0</v>
      </c>
      <c r="BN94" s="16">
        <f ca="1">SUMIF(D$2:$BM93,BN$2,D94:BM94)</f>
        <v>0</v>
      </c>
      <c r="BO94" s="16">
        <f t="shared" si="115"/>
        <v>0</v>
      </c>
    </row>
    <row r="95" spans="1:67" ht="15" customHeight="1" x14ac:dyDescent="0.25">
      <c r="A95" s="18"/>
      <c r="B95" s="17" t="s">
        <v>88</v>
      </c>
      <c r="C95" s="15"/>
      <c r="E95" s="11">
        <f t="shared" si="116"/>
        <v>0</v>
      </c>
      <c r="G95" s="11">
        <f t="shared" si="116"/>
        <v>0</v>
      </c>
      <c r="I95" s="11">
        <f t="shared" si="116"/>
        <v>0</v>
      </c>
      <c r="K95" s="11">
        <f t="shared" si="116"/>
        <v>0</v>
      </c>
      <c r="M95" s="11">
        <f t="shared" si="116"/>
        <v>0</v>
      </c>
      <c r="O95" s="11">
        <f t="shared" si="117"/>
        <v>0</v>
      </c>
      <c r="Q95" s="11">
        <f t="shared" si="117"/>
        <v>0</v>
      </c>
      <c r="S95" s="11">
        <f t="shared" si="117"/>
        <v>0</v>
      </c>
      <c r="U95" s="11">
        <f t="shared" si="117"/>
        <v>0</v>
      </c>
      <c r="W95" s="11">
        <f t="shared" si="117"/>
        <v>0</v>
      </c>
      <c r="Y95" s="11">
        <f t="shared" si="117"/>
        <v>0</v>
      </c>
      <c r="AA95" s="11">
        <f t="shared" si="117"/>
        <v>0</v>
      </c>
      <c r="AC95" s="11">
        <f t="shared" si="117"/>
        <v>0</v>
      </c>
      <c r="AE95" s="11">
        <f t="shared" si="117"/>
        <v>0</v>
      </c>
      <c r="AG95" s="11">
        <f t="shared" si="117"/>
        <v>0</v>
      </c>
      <c r="AI95" s="11">
        <f t="shared" si="117"/>
        <v>0</v>
      </c>
      <c r="AK95" s="11">
        <f t="shared" si="117"/>
        <v>0</v>
      </c>
      <c r="AM95" s="11">
        <f t="shared" si="117"/>
        <v>0</v>
      </c>
      <c r="AO95" s="11">
        <f t="shared" si="119"/>
        <v>0</v>
      </c>
      <c r="AQ95" s="11">
        <f t="shared" si="119"/>
        <v>0</v>
      </c>
      <c r="AS95" s="11">
        <f t="shared" si="119"/>
        <v>0</v>
      </c>
      <c r="AU95" s="11">
        <f t="shared" si="119"/>
        <v>0</v>
      </c>
      <c r="AW95" s="11">
        <f t="shared" si="119"/>
        <v>0</v>
      </c>
      <c r="AY95" s="11">
        <f t="shared" si="119"/>
        <v>0</v>
      </c>
      <c r="BA95" s="11">
        <f t="shared" si="119"/>
        <v>0</v>
      </c>
      <c r="BC95" s="11">
        <f t="shared" si="119"/>
        <v>0</v>
      </c>
      <c r="BE95" s="11">
        <f t="shared" si="119"/>
        <v>0</v>
      </c>
      <c r="BG95" s="11">
        <f t="shared" si="119"/>
        <v>0</v>
      </c>
      <c r="BI95" s="11">
        <f t="shared" si="119"/>
        <v>0</v>
      </c>
      <c r="BK95" s="11">
        <f t="shared" si="119"/>
        <v>0</v>
      </c>
      <c r="BM95" s="11">
        <f t="shared" si="119"/>
        <v>0</v>
      </c>
      <c r="BN95" s="16">
        <f ca="1">SUMIF(D$2:$BM94,BN$2,D95:BM95)</f>
        <v>0</v>
      </c>
      <c r="BO95" s="16">
        <f t="shared" si="115"/>
        <v>0</v>
      </c>
    </row>
    <row r="96" spans="1:67" ht="15" customHeight="1" x14ac:dyDescent="0.25">
      <c r="A96" s="18"/>
      <c r="B96" s="17" t="s">
        <v>89</v>
      </c>
      <c r="C96" s="15"/>
      <c r="E96" s="11">
        <f t="shared" si="116"/>
        <v>0</v>
      </c>
      <c r="G96" s="11">
        <f t="shared" si="116"/>
        <v>0</v>
      </c>
      <c r="I96" s="11">
        <f t="shared" si="116"/>
        <v>0</v>
      </c>
      <c r="K96" s="11">
        <f t="shared" si="116"/>
        <v>0</v>
      </c>
      <c r="M96" s="11">
        <f t="shared" si="116"/>
        <v>0</v>
      </c>
      <c r="O96" s="11">
        <f t="shared" si="117"/>
        <v>0</v>
      </c>
      <c r="Q96" s="11">
        <f t="shared" si="117"/>
        <v>0</v>
      </c>
      <c r="S96" s="11">
        <f t="shared" si="117"/>
        <v>0</v>
      </c>
      <c r="U96" s="11">
        <f t="shared" si="117"/>
        <v>0</v>
      </c>
      <c r="W96" s="11">
        <f t="shared" si="117"/>
        <v>0</v>
      </c>
      <c r="Y96" s="11">
        <f t="shared" si="117"/>
        <v>0</v>
      </c>
      <c r="AA96" s="11">
        <f t="shared" si="117"/>
        <v>0</v>
      </c>
      <c r="AC96" s="11">
        <f t="shared" si="117"/>
        <v>0</v>
      </c>
      <c r="AE96" s="11">
        <f t="shared" si="117"/>
        <v>0</v>
      </c>
      <c r="AG96" s="11">
        <f t="shared" si="117"/>
        <v>0</v>
      </c>
      <c r="AI96" s="11">
        <f t="shared" si="117"/>
        <v>0</v>
      </c>
      <c r="AK96" s="11">
        <f t="shared" si="117"/>
        <v>0</v>
      </c>
      <c r="AM96" s="11">
        <f t="shared" si="117"/>
        <v>0</v>
      </c>
      <c r="AO96" s="11">
        <f t="shared" si="119"/>
        <v>0</v>
      </c>
      <c r="AQ96" s="11">
        <f t="shared" si="119"/>
        <v>0</v>
      </c>
      <c r="AS96" s="11">
        <f t="shared" si="119"/>
        <v>0</v>
      </c>
      <c r="AU96" s="11">
        <f t="shared" si="119"/>
        <v>0</v>
      </c>
      <c r="AW96" s="11">
        <f t="shared" si="119"/>
        <v>0</v>
      </c>
      <c r="AY96" s="11">
        <f t="shared" si="119"/>
        <v>0</v>
      </c>
      <c r="BA96" s="11">
        <f t="shared" si="119"/>
        <v>0</v>
      </c>
      <c r="BC96" s="11">
        <f t="shared" si="119"/>
        <v>0</v>
      </c>
      <c r="BE96" s="11">
        <f t="shared" si="119"/>
        <v>0</v>
      </c>
      <c r="BG96" s="11">
        <f t="shared" si="119"/>
        <v>0</v>
      </c>
      <c r="BI96" s="11">
        <f t="shared" si="119"/>
        <v>0</v>
      </c>
      <c r="BK96" s="11">
        <f t="shared" si="119"/>
        <v>0</v>
      </c>
      <c r="BM96" s="11">
        <f t="shared" si="119"/>
        <v>0</v>
      </c>
      <c r="BN96" s="16">
        <f ca="1">SUMIF(D$2:$BM95,BN$2,D96:BM96)</f>
        <v>0</v>
      </c>
      <c r="BO96" s="16">
        <f t="shared" si="115"/>
        <v>0</v>
      </c>
    </row>
    <row r="97" spans="1:67" ht="15" customHeight="1" x14ac:dyDescent="0.25">
      <c r="A97" s="18"/>
      <c r="B97" s="17" t="s">
        <v>90</v>
      </c>
      <c r="C97" s="15"/>
      <c r="E97" s="11">
        <f t="shared" si="116"/>
        <v>0</v>
      </c>
      <c r="G97" s="11">
        <f t="shared" si="116"/>
        <v>0</v>
      </c>
      <c r="I97" s="11">
        <f t="shared" si="116"/>
        <v>0</v>
      </c>
      <c r="K97" s="11">
        <f t="shared" si="116"/>
        <v>0</v>
      </c>
      <c r="M97" s="11">
        <f t="shared" ref="M97:Y136" si="120">L97*$C97</f>
        <v>0</v>
      </c>
      <c r="O97" s="11">
        <f t="shared" si="120"/>
        <v>0</v>
      </c>
      <c r="Q97" s="11">
        <f t="shared" si="120"/>
        <v>0</v>
      </c>
      <c r="S97" s="11">
        <f t="shared" si="120"/>
        <v>0</v>
      </c>
      <c r="U97" s="11">
        <f t="shared" si="120"/>
        <v>0</v>
      </c>
      <c r="W97" s="11">
        <f t="shared" si="120"/>
        <v>0</v>
      </c>
      <c r="Y97" s="11">
        <f t="shared" si="120"/>
        <v>0</v>
      </c>
      <c r="AA97" s="11">
        <f t="shared" ref="AA97:BG112" si="121">Z97*$C97</f>
        <v>0</v>
      </c>
      <c r="AC97" s="11">
        <f t="shared" si="121"/>
        <v>0</v>
      </c>
      <c r="AE97" s="11">
        <f t="shared" si="121"/>
        <v>0</v>
      </c>
      <c r="AG97" s="11">
        <f t="shared" si="121"/>
        <v>0</v>
      </c>
      <c r="AI97" s="11">
        <f t="shared" si="121"/>
        <v>0</v>
      </c>
      <c r="AK97" s="11">
        <f t="shared" si="121"/>
        <v>0</v>
      </c>
      <c r="AM97" s="11">
        <f t="shared" si="121"/>
        <v>0</v>
      </c>
      <c r="AO97" s="11">
        <f t="shared" si="121"/>
        <v>0</v>
      </c>
      <c r="AQ97" s="11">
        <f t="shared" si="121"/>
        <v>0</v>
      </c>
      <c r="AS97" s="11">
        <f t="shared" si="121"/>
        <v>0</v>
      </c>
      <c r="AU97" s="11">
        <f t="shared" si="121"/>
        <v>0</v>
      </c>
      <c r="AW97" s="11">
        <f t="shared" si="121"/>
        <v>0</v>
      </c>
      <c r="AY97" s="11">
        <f t="shared" si="121"/>
        <v>0</v>
      </c>
      <c r="BA97" s="11">
        <f t="shared" si="121"/>
        <v>0</v>
      </c>
      <c r="BC97" s="11">
        <f t="shared" si="121"/>
        <v>0</v>
      </c>
      <c r="BE97" s="11">
        <f t="shared" si="121"/>
        <v>0</v>
      </c>
      <c r="BG97" s="11">
        <f t="shared" si="121"/>
        <v>0</v>
      </c>
      <c r="BI97" s="11">
        <f t="shared" si="119"/>
        <v>0</v>
      </c>
      <c r="BK97" s="11">
        <f t="shared" si="119"/>
        <v>0</v>
      </c>
      <c r="BM97" s="11">
        <f t="shared" si="119"/>
        <v>0</v>
      </c>
      <c r="BN97" s="16">
        <f ca="1">SUMIF(D$2:$BM96,BN$2,D97:BM97)</f>
        <v>0</v>
      </c>
      <c r="BO97" s="16">
        <f t="shared" si="115"/>
        <v>0</v>
      </c>
    </row>
    <row r="98" spans="1:67" ht="15" customHeight="1" x14ac:dyDescent="0.25">
      <c r="A98" s="18"/>
      <c r="B98" s="17" t="s">
        <v>91</v>
      </c>
      <c r="C98" s="15"/>
      <c r="E98" s="11">
        <f t="shared" si="116"/>
        <v>0</v>
      </c>
      <c r="G98" s="11">
        <f t="shared" si="116"/>
        <v>0</v>
      </c>
      <c r="I98" s="11">
        <f t="shared" si="116"/>
        <v>0</v>
      </c>
      <c r="K98" s="11">
        <f t="shared" si="116"/>
        <v>0</v>
      </c>
      <c r="M98" s="11">
        <f t="shared" si="120"/>
        <v>0</v>
      </c>
      <c r="O98" s="11">
        <f t="shared" si="120"/>
        <v>0</v>
      </c>
      <c r="Q98" s="11">
        <f t="shared" si="120"/>
        <v>0</v>
      </c>
      <c r="S98" s="11">
        <f t="shared" si="120"/>
        <v>0</v>
      </c>
      <c r="U98" s="11">
        <f t="shared" si="120"/>
        <v>0</v>
      </c>
      <c r="W98" s="11">
        <f t="shared" si="120"/>
        <v>0</v>
      </c>
      <c r="Y98" s="11">
        <f t="shared" si="120"/>
        <v>0</v>
      </c>
      <c r="AA98" s="11">
        <f t="shared" si="121"/>
        <v>0</v>
      </c>
      <c r="AC98" s="11">
        <f t="shared" si="121"/>
        <v>0</v>
      </c>
      <c r="AE98" s="11">
        <f t="shared" si="121"/>
        <v>0</v>
      </c>
      <c r="AG98" s="11">
        <f t="shared" si="121"/>
        <v>0</v>
      </c>
      <c r="AI98" s="11">
        <f t="shared" si="121"/>
        <v>0</v>
      </c>
      <c r="AK98" s="11">
        <f t="shared" si="121"/>
        <v>0</v>
      </c>
      <c r="AM98" s="11">
        <f t="shared" si="121"/>
        <v>0</v>
      </c>
      <c r="AO98" s="11">
        <f t="shared" si="121"/>
        <v>0</v>
      </c>
      <c r="AQ98" s="11">
        <f t="shared" si="121"/>
        <v>0</v>
      </c>
      <c r="AS98" s="11">
        <f t="shared" si="121"/>
        <v>0</v>
      </c>
      <c r="AU98" s="11">
        <f t="shared" si="121"/>
        <v>0</v>
      </c>
      <c r="AW98" s="11">
        <f t="shared" si="121"/>
        <v>0</v>
      </c>
      <c r="AY98" s="11">
        <f t="shared" si="121"/>
        <v>0</v>
      </c>
      <c r="BA98" s="11">
        <f t="shared" si="121"/>
        <v>0</v>
      </c>
      <c r="BC98" s="11">
        <f t="shared" si="121"/>
        <v>0</v>
      </c>
      <c r="BE98" s="11">
        <f t="shared" si="121"/>
        <v>0</v>
      </c>
      <c r="BG98" s="11">
        <f t="shared" si="121"/>
        <v>0</v>
      </c>
      <c r="BI98" s="11">
        <f t="shared" si="119"/>
        <v>0</v>
      </c>
      <c r="BK98" s="11">
        <f t="shared" si="119"/>
        <v>0</v>
      </c>
      <c r="BM98" s="11">
        <f t="shared" si="119"/>
        <v>0</v>
      </c>
      <c r="BN98" s="16">
        <f ca="1">SUMIF(D$2:$BM97,BN$2,D98:BM98)</f>
        <v>0</v>
      </c>
      <c r="BO98" s="16">
        <f t="shared" si="115"/>
        <v>0</v>
      </c>
    </row>
    <row r="99" spans="1:67" ht="15" customHeight="1" x14ac:dyDescent="0.25">
      <c r="A99" s="18"/>
      <c r="B99" s="17" t="s">
        <v>92</v>
      </c>
      <c r="C99" s="15"/>
      <c r="E99" s="11">
        <f t="shared" si="116"/>
        <v>0</v>
      </c>
      <c r="G99" s="11">
        <f t="shared" si="116"/>
        <v>0</v>
      </c>
      <c r="I99" s="11">
        <f t="shared" si="116"/>
        <v>0</v>
      </c>
      <c r="K99" s="11">
        <f t="shared" si="116"/>
        <v>0</v>
      </c>
      <c r="M99" s="11">
        <f t="shared" si="120"/>
        <v>0</v>
      </c>
      <c r="O99" s="11">
        <f t="shared" si="120"/>
        <v>0</v>
      </c>
      <c r="Q99" s="11">
        <f t="shared" si="120"/>
        <v>0</v>
      </c>
      <c r="S99" s="11">
        <f t="shared" si="120"/>
        <v>0</v>
      </c>
      <c r="U99" s="11">
        <f t="shared" si="120"/>
        <v>0</v>
      </c>
      <c r="W99" s="11">
        <f t="shared" si="120"/>
        <v>0</v>
      </c>
      <c r="Y99" s="11">
        <f t="shared" si="120"/>
        <v>0</v>
      </c>
      <c r="AA99" s="11">
        <f t="shared" si="121"/>
        <v>0</v>
      </c>
      <c r="AC99" s="11">
        <f t="shared" si="121"/>
        <v>0</v>
      </c>
      <c r="AE99" s="11">
        <f t="shared" si="121"/>
        <v>0</v>
      </c>
      <c r="AG99" s="11">
        <f t="shared" si="121"/>
        <v>0</v>
      </c>
      <c r="AI99" s="11">
        <f t="shared" si="121"/>
        <v>0</v>
      </c>
      <c r="AK99" s="11">
        <f t="shared" si="121"/>
        <v>0</v>
      </c>
      <c r="AM99" s="11">
        <f t="shared" si="121"/>
        <v>0</v>
      </c>
      <c r="AO99" s="11">
        <f t="shared" si="121"/>
        <v>0</v>
      </c>
      <c r="AQ99" s="11">
        <f t="shared" si="121"/>
        <v>0</v>
      </c>
      <c r="AS99" s="11">
        <f t="shared" si="121"/>
        <v>0</v>
      </c>
      <c r="AU99" s="11">
        <f t="shared" si="121"/>
        <v>0</v>
      </c>
      <c r="AW99" s="11">
        <f t="shared" si="121"/>
        <v>0</v>
      </c>
      <c r="AY99" s="11">
        <f t="shared" si="121"/>
        <v>0</v>
      </c>
      <c r="BA99" s="11">
        <f t="shared" si="121"/>
        <v>0</v>
      </c>
      <c r="BC99" s="11">
        <f t="shared" si="121"/>
        <v>0</v>
      </c>
      <c r="BE99" s="11">
        <f t="shared" si="121"/>
        <v>0</v>
      </c>
      <c r="BG99" s="11">
        <f t="shared" si="121"/>
        <v>0</v>
      </c>
      <c r="BI99" s="11">
        <f t="shared" si="119"/>
        <v>0</v>
      </c>
      <c r="BK99" s="11">
        <f t="shared" si="119"/>
        <v>0</v>
      </c>
      <c r="BM99" s="11">
        <f t="shared" si="119"/>
        <v>0</v>
      </c>
      <c r="BN99" s="16">
        <f ca="1">SUMIF(D$2:$BM98,BN$2,D99:BM99)</f>
        <v>0</v>
      </c>
      <c r="BO99" s="16">
        <f t="shared" si="115"/>
        <v>0</v>
      </c>
    </row>
    <row r="100" spans="1:67" ht="15" customHeight="1" x14ac:dyDescent="0.25">
      <c r="A100" s="18"/>
      <c r="B100" s="17" t="s">
        <v>93</v>
      </c>
      <c r="C100" s="15"/>
      <c r="E100" s="11">
        <f t="shared" si="116"/>
        <v>0</v>
      </c>
      <c r="G100" s="11">
        <f t="shared" si="116"/>
        <v>0</v>
      </c>
      <c r="I100" s="11">
        <f t="shared" si="116"/>
        <v>0</v>
      </c>
      <c r="K100" s="11">
        <f t="shared" si="116"/>
        <v>0</v>
      </c>
      <c r="M100" s="11">
        <f t="shared" si="120"/>
        <v>0</v>
      </c>
      <c r="O100" s="11">
        <f t="shared" si="120"/>
        <v>0</v>
      </c>
      <c r="Q100" s="11">
        <f t="shared" si="120"/>
        <v>0</v>
      </c>
      <c r="S100" s="11">
        <f t="shared" si="120"/>
        <v>0</v>
      </c>
      <c r="U100" s="11">
        <f t="shared" si="120"/>
        <v>0</v>
      </c>
      <c r="W100" s="11">
        <f t="shared" si="120"/>
        <v>0</v>
      </c>
      <c r="Y100" s="11">
        <f t="shared" si="120"/>
        <v>0</v>
      </c>
      <c r="AA100" s="11">
        <f t="shared" si="121"/>
        <v>0</v>
      </c>
      <c r="AC100" s="11">
        <f t="shared" si="121"/>
        <v>0</v>
      </c>
      <c r="AE100" s="11">
        <f t="shared" si="121"/>
        <v>0</v>
      </c>
      <c r="AG100" s="11">
        <f t="shared" si="121"/>
        <v>0</v>
      </c>
      <c r="AI100" s="11">
        <f t="shared" si="121"/>
        <v>0</v>
      </c>
      <c r="AK100" s="11">
        <f t="shared" si="121"/>
        <v>0</v>
      </c>
      <c r="AM100" s="11">
        <f t="shared" si="121"/>
        <v>0</v>
      </c>
      <c r="AO100" s="11">
        <f t="shared" si="121"/>
        <v>0</v>
      </c>
      <c r="AQ100" s="11">
        <f t="shared" si="121"/>
        <v>0</v>
      </c>
      <c r="AS100" s="11">
        <f t="shared" si="121"/>
        <v>0</v>
      </c>
      <c r="AU100" s="11">
        <f t="shared" si="121"/>
        <v>0</v>
      </c>
      <c r="AW100" s="11">
        <f t="shared" si="121"/>
        <v>0</v>
      </c>
      <c r="AY100" s="11">
        <f t="shared" si="121"/>
        <v>0</v>
      </c>
      <c r="BA100" s="11">
        <f t="shared" si="121"/>
        <v>0</v>
      </c>
      <c r="BC100" s="11">
        <f t="shared" si="121"/>
        <v>0</v>
      </c>
      <c r="BE100" s="11">
        <f t="shared" si="121"/>
        <v>0</v>
      </c>
      <c r="BG100" s="11">
        <f t="shared" si="121"/>
        <v>0</v>
      </c>
      <c r="BI100" s="11">
        <f t="shared" si="119"/>
        <v>0</v>
      </c>
      <c r="BK100" s="11">
        <f t="shared" si="119"/>
        <v>0</v>
      </c>
      <c r="BM100" s="11">
        <f t="shared" si="119"/>
        <v>0</v>
      </c>
      <c r="BN100" s="16">
        <f ca="1">SUMIF(D$2:$BM99,BN$2,D100:BM100)</f>
        <v>0</v>
      </c>
      <c r="BO100" s="16">
        <f t="shared" si="115"/>
        <v>0</v>
      </c>
    </row>
    <row r="101" spans="1:67" ht="15" customHeight="1" x14ac:dyDescent="0.25">
      <c r="A101" s="18"/>
      <c r="B101" s="17" t="s">
        <v>94</v>
      </c>
      <c r="C101" s="15"/>
      <c r="E101" s="11">
        <f t="shared" si="116"/>
        <v>0</v>
      </c>
      <c r="G101" s="11">
        <f t="shared" si="116"/>
        <v>0</v>
      </c>
      <c r="I101" s="11">
        <f t="shared" si="116"/>
        <v>0</v>
      </c>
      <c r="K101" s="11">
        <f t="shared" si="116"/>
        <v>0</v>
      </c>
      <c r="M101" s="11">
        <f t="shared" si="120"/>
        <v>0</v>
      </c>
      <c r="O101" s="11">
        <f t="shared" si="120"/>
        <v>0</v>
      </c>
      <c r="Q101" s="11">
        <f t="shared" si="120"/>
        <v>0</v>
      </c>
      <c r="S101" s="11">
        <f t="shared" si="120"/>
        <v>0</v>
      </c>
      <c r="U101" s="11">
        <f t="shared" si="120"/>
        <v>0</v>
      </c>
      <c r="W101" s="11">
        <f t="shared" si="120"/>
        <v>0</v>
      </c>
      <c r="Y101" s="11">
        <f t="shared" si="120"/>
        <v>0</v>
      </c>
      <c r="AA101" s="11">
        <f t="shared" si="121"/>
        <v>0</v>
      </c>
      <c r="AC101" s="11">
        <f t="shared" si="121"/>
        <v>0</v>
      </c>
      <c r="AE101" s="11">
        <f t="shared" si="121"/>
        <v>0</v>
      </c>
      <c r="AG101" s="11">
        <f t="shared" si="121"/>
        <v>0</v>
      </c>
      <c r="AI101" s="11">
        <f t="shared" si="121"/>
        <v>0</v>
      </c>
      <c r="AK101" s="11">
        <f t="shared" si="121"/>
        <v>0</v>
      </c>
      <c r="AM101" s="11">
        <f t="shared" si="121"/>
        <v>0</v>
      </c>
      <c r="AO101" s="11">
        <f t="shared" si="121"/>
        <v>0</v>
      </c>
      <c r="AQ101" s="11">
        <f t="shared" si="121"/>
        <v>0</v>
      </c>
      <c r="AS101" s="11">
        <f t="shared" si="121"/>
        <v>0</v>
      </c>
      <c r="AU101" s="11">
        <f t="shared" si="121"/>
        <v>0</v>
      </c>
      <c r="AW101" s="11">
        <f t="shared" si="121"/>
        <v>0</v>
      </c>
      <c r="AY101" s="11">
        <f t="shared" si="121"/>
        <v>0</v>
      </c>
      <c r="BA101" s="11">
        <f t="shared" si="121"/>
        <v>0</v>
      </c>
      <c r="BC101" s="11">
        <f t="shared" si="121"/>
        <v>0</v>
      </c>
      <c r="BE101" s="11">
        <f t="shared" si="121"/>
        <v>0</v>
      </c>
      <c r="BG101" s="11">
        <f t="shared" si="121"/>
        <v>0</v>
      </c>
      <c r="BI101" s="11">
        <f t="shared" si="119"/>
        <v>0</v>
      </c>
      <c r="BK101" s="11">
        <f t="shared" si="119"/>
        <v>0</v>
      </c>
      <c r="BM101" s="11">
        <f t="shared" si="119"/>
        <v>0</v>
      </c>
      <c r="BN101" s="16">
        <f ca="1">SUMIF(D$2:$BM100,BN$2,D101:BM101)</f>
        <v>0</v>
      </c>
      <c r="BO101" s="16">
        <f t="shared" si="115"/>
        <v>0</v>
      </c>
    </row>
    <row r="102" spans="1:67" ht="15" customHeight="1" x14ac:dyDescent="0.25">
      <c r="A102" s="18"/>
      <c r="B102" s="17" t="s">
        <v>95</v>
      </c>
      <c r="C102" s="15"/>
      <c r="E102" s="11">
        <f t="shared" si="116"/>
        <v>0</v>
      </c>
      <c r="G102" s="11">
        <f t="shared" si="116"/>
        <v>0</v>
      </c>
      <c r="I102" s="11">
        <f t="shared" si="116"/>
        <v>0</v>
      </c>
      <c r="K102" s="11">
        <f t="shared" si="116"/>
        <v>0</v>
      </c>
      <c r="M102" s="11">
        <f t="shared" si="120"/>
        <v>0</v>
      </c>
      <c r="O102" s="11">
        <f t="shared" si="120"/>
        <v>0</v>
      </c>
      <c r="Q102" s="11">
        <f t="shared" si="120"/>
        <v>0</v>
      </c>
      <c r="S102" s="11">
        <f t="shared" si="120"/>
        <v>0</v>
      </c>
      <c r="U102" s="11">
        <f t="shared" si="120"/>
        <v>0</v>
      </c>
      <c r="W102" s="11">
        <f t="shared" si="120"/>
        <v>0</v>
      </c>
      <c r="Y102" s="11">
        <f t="shared" si="120"/>
        <v>0</v>
      </c>
      <c r="AA102" s="11">
        <f t="shared" si="121"/>
        <v>0</v>
      </c>
      <c r="AC102" s="11">
        <f t="shared" si="121"/>
        <v>0</v>
      </c>
      <c r="AE102" s="11">
        <f t="shared" si="121"/>
        <v>0</v>
      </c>
      <c r="AG102" s="11">
        <f t="shared" si="121"/>
        <v>0</v>
      </c>
      <c r="AI102" s="11">
        <f t="shared" si="121"/>
        <v>0</v>
      </c>
      <c r="AK102" s="11">
        <f t="shared" si="121"/>
        <v>0</v>
      </c>
      <c r="AM102" s="11">
        <f t="shared" si="121"/>
        <v>0</v>
      </c>
      <c r="AO102" s="11">
        <f t="shared" si="121"/>
        <v>0</v>
      </c>
      <c r="AQ102" s="11">
        <f t="shared" si="121"/>
        <v>0</v>
      </c>
      <c r="AS102" s="11">
        <f t="shared" si="121"/>
        <v>0</v>
      </c>
      <c r="AU102" s="11">
        <f t="shared" si="121"/>
        <v>0</v>
      </c>
      <c r="AW102" s="11">
        <f t="shared" si="121"/>
        <v>0</v>
      </c>
      <c r="AY102" s="11">
        <f t="shared" si="121"/>
        <v>0</v>
      </c>
      <c r="BA102" s="11">
        <f t="shared" si="121"/>
        <v>0</v>
      </c>
      <c r="BC102" s="11">
        <f t="shared" si="121"/>
        <v>0</v>
      </c>
      <c r="BE102" s="11">
        <f t="shared" si="121"/>
        <v>0</v>
      </c>
      <c r="BG102" s="11">
        <f t="shared" si="121"/>
        <v>0</v>
      </c>
      <c r="BI102" s="11">
        <f t="shared" ref="BI102:BM105" si="122">BH102*$C102</f>
        <v>0</v>
      </c>
      <c r="BK102" s="11">
        <f t="shared" si="122"/>
        <v>0</v>
      </c>
      <c r="BM102" s="11">
        <f t="shared" si="122"/>
        <v>0</v>
      </c>
      <c r="BN102" s="16">
        <f ca="1">SUMIF(D$2:$BM101,BN$2,D102:BM102)</f>
        <v>0</v>
      </c>
      <c r="BO102" s="16">
        <f t="shared" si="115"/>
        <v>0</v>
      </c>
    </row>
    <row r="103" spans="1:67" ht="15" customHeight="1" x14ac:dyDescent="0.25">
      <c r="A103" s="18"/>
      <c r="B103" s="17" t="s">
        <v>96</v>
      </c>
      <c r="C103" s="15"/>
      <c r="E103" s="11">
        <f t="shared" si="116"/>
        <v>0</v>
      </c>
      <c r="G103" s="11">
        <f t="shared" si="116"/>
        <v>0</v>
      </c>
      <c r="I103" s="11">
        <f t="shared" si="116"/>
        <v>0</v>
      </c>
      <c r="K103" s="11">
        <f t="shared" si="116"/>
        <v>0</v>
      </c>
      <c r="M103" s="11">
        <f t="shared" si="120"/>
        <v>0</v>
      </c>
      <c r="O103" s="11">
        <f t="shared" si="120"/>
        <v>0</v>
      </c>
      <c r="Q103" s="11">
        <f t="shared" si="120"/>
        <v>0</v>
      </c>
      <c r="S103" s="11">
        <f t="shared" si="120"/>
        <v>0</v>
      </c>
      <c r="U103" s="11">
        <f t="shared" si="120"/>
        <v>0</v>
      </c>
      <c r="W103" s="11">
        <f t="shared" si="120"/>
        <v>0</v>
      </c>
      <c r="Y103" s="11">
        <f t="shared" si="120"/>
        <v>0</v>
      </c>
      <c r="AA103" s="11">
        <f t="shared" si="121"/>
        <v>0</v>
      </c>
      <c r="AC103" s="11">
        <f t="shared" si="121"/>
        <v>0</v>
      </c>
      <c r="AE103" s="11">
        <f t="shared" si="121"/>
        <v>0</v>
      </c>
      <c r="AG103" s="11">
        <f t="shared" si="121"/>
        <v>0</v>
      </c>
      <c r="AI103" s="11">
        <f t="shared" si="121"/>
        <v>0</v>
      </c>
      <c r="AK103" s="11">
        <f t="shared" si="121"/>
        <v>0</v>
      </c>
      <c r="AM103" s="11">
        <f t="shared" si="121"/>
        <v>0</v>
      </c>
      <c r="AO103" s="11">
        <f t="shared" si="121"/>
        <v>0</v>
      </c>
      <c r="AQ103" s="11">
        <f t="shared" si="121"/>
        <v>0</v>
      </c>
      <c r="AS103" s="11">
        <f t="shared" si="121"/>
        <v>0</v>
      </c>
      <c r="AU103" s="11">
        <f t="shared" si="121"/>
        <v>0</v>
      </c>
      <c r="AW103" s="11">
        <f t="shared" si="121"/>
        <v>0</v>
      </c>
      <c r="AY103" s="11">
        <f t="shared" si="121"/>
        <v>0</v>
      </c>
      <c r="BA103" s="11">
        <f t="shared" si="121"/>
        <v>0</v>
      </c>
      <c r="BC103" s="11">
        <f t="shared" si="121"/>
        <v>0</v>
      </c>
      <c r="BE103" s="11">
        <f t="shared" si="121"/>
        <v>0</v>
      </c>
      <c r="BG103" s="11">
        <f t="shared" si="121"/>
        <v>0</v>
      </c>
      <c r="BI103" s="11">
        <f t="shared" si="122"/>
        <v>0</v>
      </c>
      <c r="BK103" s="11">
        <f t="shared" si="122"/>
        <v>0</v>
      </c>
      <c r="BM103" s="11">
        <f t="shared" si="122"/>
        <v>0</v>
      </c>
      <c r="BN103" s="16">
        <f ca="1">SUMIF(D$2:$BM102,BN$2,D103:BM103)</f>
        <v>0</v>
      </c>
      <c r="BO103" s="16">
        <f t="shared" si="115"/>
        <v>0</v>
      </c>
    </row>
    <row r="104" spans="1:67" ht="15" customHeight="1" x14ac:dyDescent="0.25">
      <c r="A104" s="18"/>
      <c r="B104" s="17" t="s">
        <v>97</v>
      </c>
      <c r="C104" s="15"/>
      <c r="E104" s="11">
        <f t="shared" si="116"/>
        <v>0</v>
      </c>
      <c r="G104" s="11">
        <f t="shared" si="116"/>
        <v>0</v>
      </c>
      <c r="I104" s="11">
        <f t="shared" si="116"/>
        <v>0</v>
      </c>
      <c r="K104" s="11">
        <f t="shared" si="116"/>
        <v>0</v>
      </c>
      <c r="M104" s="11">
        <f t="shared" si="120"/>
        <v>0</v>
      </c>
      <c r="O104" s="11">
        <f t="shared" si="120"/>
        <v>0</v>
      </c>
      <c r="Q104" s="11">
        <f t="shared" si="120"/>
        <v>0</v>
      </c>
      <c r="S104" s="11">
        <f t="shared" si="120"/>
        <v>0</v>
      </c>
      <c r="U104" s="11">
        <f t="shared" si="120"/>
        <v>0</v>
      </c>
      <c r="W104" s="11">
        <f t="shared" si="120"/>
        <v>0</v>
      </c>
      <c r="Y104" s="11">
        <f t="shared" si="120"/>
        <v>0</v>
      </c>
      <c r="AA104" s="11">
        <f t="shared" si="121"/>
        <v>0</v>
      </c>
      <c r="AC104" s="11">
        <f t="shared" si="121"/>
        <v>0</v>
      </c>
      <c r="AE104" s="11">
        <f t="shared" si="121"/>
        <v>0</v>
      </c>
      <c r="AG104" s="11">
        <f t="shared" si="121"/>
        <v>0</v>
      </c>
      <c r="AI104" s="11">
        <f t="shared" si="121"/>
        <v>0</v>
      </c>
      <c r="AK104" s="11">
        <f t="shared" si="121"/>
        <v>0</v>
      </c>
      <c r="AM104" s="11">
        <f t="shared" si="121"/>
        <v>0</v>
      </c>
      <c r="AO104" s="11">
        <f t="shared" si="121"/>
        <v>0</v>
      </c>
      <c r="AQ104" s="11">
        <f t="shared" si="121"/>
        <v>0</v>
      </c>
      <c r="AS104" s="11">
        <f t="shared" si="121"/>
        <v>0</v>
      </c>
      <c r="AU104" s="11">
        <f t="shared" si="121"/>
        <v>0</v>
      </c>
      <c r="AW104" s="11">
        <f t="shared" si="121"/>
        <v>0</v>
      </c>
      <c r="AY104" s="11">
        <f t="shared" si="121"/>
        <v>0</v>
      </c>
      <c r="BA104" s="11">
        <f t="shared" si="121"/>
        <v>0</v>
      </c>
      <c r="BC104" s="11">
        <f t="shared" si="121"/>
        <v>0</v>
      </c>
      <c r="BE104" s="11">
        <f t="shared" si="121"/>
        <v>0</v>
      </c>
      <c r="BG104" s="11">
        <f t="shared" si="121"/>
        <v>0</v>
      </c>
      <c r="BI104" s="11">
        <f t="shared" si="122"/>
        <v>0</v>
      </c>
      <c r="BK104" s="11">
        <f t="shared" si="122"/>
        <v>0</v>
      </c>
      <c r="BM104" s="11">
        <f t="shared" si="122"/>
        <v>0</v>
      </c>
      <c r="BN104" s="16">
        <f ca="1">SUMIF(D$2:$BM103,BN$2,D104:BM104)</f>
        <v>0</v>
      </c>
      <c r="BO104" s="16">
        <f t="shared" si="115"/>
        <v>0</v>
      </c>
    </row>
    <row r="105" spans="1:67" ht="15" customHeight="1" x14ac:dyDescent="0.25">
      <c r="A105" s="18"/>
      <c r="B105" s="17" t="s">
        <v>98</v>
      </c>
      <c r="C105" s="15"/>
      <c r="E105" s="11">
        <f t="shared" si="116"/>
        <v>0</v>
      </c>
      <c r="G105" s="11">
        <f t="shared" si="116"/>
        <v>0</v>
      </c>
      <c r="I105" s="11">
        <f t="shared" si="116"/>
        <v>0</v>
      </c>
      <c r="K105" s="11">
        <f t="shared" si="116"/>
        <v>0</v>
      </c>
      <c r="M105" s="11">
        <f t="shared" si="120"/>
        <v>0</v>
      </c>
      <c r="O105" s="11">
        <f t="shared" si="120"/>
        <v>0</v>
      </c>
      <c r="Q105" s="11">
        <f t="shared" si="120"/>
        <v>0</v>
      </c>
      <c r="S105" s="11">
        <f t="shared" si="120"/>
        <v>0</v>
      </c>
      <c r="U105" s="11">
        <f t="shared" si="120"/>
        <v>0</v>
      </c>
      <c r="W105" s="11">
        <f t="shared" si="120"/>
        <v>0</v>
      </c>
      <c r="Y105" s="11">
        <f t="shared" si="120"/>
        <v>0</v>
      </c>
      <c r="AA105" s="11">
        <f t="shared" si="121"/>
        <v>0</v>
      </c>
      <c r="AC105" s="11">
        <f t="shared" si="121"/>
        <v>0</v>
      </c>
      <c r="AE105" s="11">
        <f t="shared" si="121"/>
        <v>0</v>
      </c>
      <c r="AG105" s="11">
        <f t="shared" si="121"/>
        <v>0</v>
      </c>
      <c r="AI105" s="11">
        <f t="shared" si="121"/>
        <v>0</v>
      </c>
      <c r="AK105" s="11">
        <f t="shared" si="121"/>
        <v>0</v>
      </c>
      <c r="AM105" s="11">
        <f t="shared" si="121"/>
        <v>0</v>
      </c>
      <c r="AO105" s="11">
        <f t="shared" si="121"/>
        <v>0</v>
      </c>
      <c r="AQ105" s="11">
        <f t="shared" si="121"/>
        <v>0</v>
      </c>
      <c r="AS105" s="11">
        <f t="shared" si="121"/>
        <v>0</v>
      </c>
      <c r="AU105" s="11">
        <f t="shared" si="121"/>
        <v>0</v>
      </c>
      <c r="AW105" s="11">
        <f t="shared" si="121"/>
        <v>0</v>
      </c>
      <c r="AY105" s="11">
        <f t="shared" si="121"/>
        <v>0</v>
      </c>
      <c r="BA105" s="11">
        <f t="shared" si="121"/>
        <v>0</v>
      </c>
      <c r="BC105" s="11">
        <f t="shared" si="121"/>
        <v>0</v>
      </c>
      <c r="BE105" s="11">
        <f t="shared" si="121"/>
        <v>0</v>
      </c>
      <c r="BG105" s="11">
        <f t="shared" si="121"/>
        <v>0</v>
      </c>
      <c r="BI105" s="11">
        <f t="shared" si="122"/>
        <v>0</v>
      </c>
      <c r="BK105" s="11">
        <f t="shared" si="122"/>
        <v>0</v>
      </c>
      <c r="BM105" s="11">
        <f t="shared" si="122"/>
        <v>0</v>
      </c>
      <c r="BN105" s="16">
        <f ca="1">SUMIF(D$2:$BM104,BN$2,D105:BM105)</f>
        <v>0</v>
      </c>
      <c r="BO105" s="16">
        <f t="shared" si="115"/>
        <v>0</v>
      </c>
    </row>
    <row r="106" spans="1:67" ht="15" customHeight="1" x14ac:dyDescent="0.25">
      <c r="A106" s="18"/>
      <c r="B106" s="17" t="s">
        <v>99</v>
      </c>
      <c r="C106" s="15"/>
      <c r="E106" s="11">
        <f t="shared" si="116"/>
        <v>0</v>
      </c>
      <c r="G106" s="11">
        <f t="shared" si="116"/>
        <v>0</v>
      </c>
      <c r="I106" s="11">
        <f t="shared" si="116"/>
        <v>0</v>
      </c>
      <c r="K106" s="11">
        <f t="shared" si="116"/>
        <v>0</v>
      </c>
      <c r="M106" s="11">
        <f t="shared" si="120"/>
        <v>0</v>
      </c>
      <c r="O106" s="11">
        <f t="shared" si="120"/>
        <v>0</v>
      </c>
      <c r="Q106" s="11">
        <f t="shared" si="120"/>
        <v>0</v>
      </c>
      <c r="S106" s="11">
        <f t="shared" si="120"/>
        <v>0</v>
      </c>
      <c r="U106" s="11">
        <f t="shared" si="120"/>
        <v>0</v>
      </c>
      <c r="W106" s="11">
        <f t="shared" si="120"/>
        <v>0</v>
      </c>
      <c r="Y106" s="11">
        <f t="shared" si="120"/>
        <v>0</v>
      </c>
      <c r="AA106" s="11">
        <f t="shared" si="121"/>
        <v>0</v>
      </c>
      <c r="AC106" s="11">
        <f t="shared" si="121"/>
        <v>0</v>
      </c>
      <c r="AE106" s="11">
        <f t="shared" si="121"/>
        <v>0</v>
      </c>
      <c r="AG106" s="11">
        <f t="shared" si="121"/>
        <v>0</v>
      </c>
      <c r="AI106" s="11">
        <f t="shared" si="121"/>
        <v>0</v>
      </c>
      <c r="AK106" s="11">
        <f t="shared" si="121"/>
        <v>0</v>
      </c>
      <c r="AM106" s="11">
        <f t="shared" si="121"/>
        <v>0</v>
      </c>
      <c r="AO106" s="11">
        <f t="shared" si="121"/>
        <v>0</v>
      </c>
      <c r="AQ106" s="11">
        <f t="shared" si="121"/>
        <v>0</v>
      </c>
      <c r="AS106" s="11">
        <f t="shared" si="121"/>
        <v>0</v>
      </c>
      <c r="AU106" s="11">
        <f t="shared" si="121"/>
        <v>0</v>
      </c>
      <c r="AW106" s="11">
        <f t="shared" si="121"/>
        <v>0</v>
      </c>
      <c r="AY106" s="11">
        <f t="shared" si="121"/>
        <v>0</v>
      </c>
      <c r="BA106" s="11">
        <f t="shared" si="121"/>
        <v>0</v>
      </c>
      <c r="BC106" s="11">
        <f t="shared" si="121"/>
        <v>0</v>
      </c>
      <c r="BE106" s="11">
        <f t="shared" si="121"/>
        <v>0</v>
      </c>
      <c r="BG106" s="11">
        <f t="shared" ref="BG106:BM112" si="123">BF106*$C106</f>
        <v>0</v>
      </c>
      <c r="BI106" s="11">
        <f t="shared" si="123"/>
        <v>0</v>
      </c>
      <c r="BK106" s="11">
        <f t="shared" si="123"/>
        <v>0</v>
      </c>
      <c r="BM106" s="11">
        <f t="shared" si="123"/>
        <v>0</v>
      </c>
      <c r="BN106" s="16">
        <f ca="1">SUMIF(D$2:$BM105,BN$2,D106:BM106)</f>
        <v>0</v>
      </c>
      <c r="BO106" s="16">
        <f t="shared" si="115"/>
        <v>0</v>
      </c>
    </row>
    <row r="107" spans="1:67" ht="15" customHeight="1" x14ac:dyDescent="0.25">
      <c r="A107" s="18"/>
      <c r="B107" s="17" t="s">
        <v>100</v>
      </c>
      <c r="C107" s="15"/>
      <c r="E107" s="11">
        <f t="shared" si="116"/>
        <v>0</v>
      </c>
      <c r="G107" s="11">
        <f t="shared" si="116"/>
        <v>0</v>
      </c>
      <c r="I107" s="11">
        <f t="shared" si="116"/>
        <v>0</v>
      </c>
      <c r="K107" s="11">
        <f t="shared" si="116"/>
        <v>0</v>
      </c>
      <c r="M107" s="11">
        <f t="shared" si="120"/>
        <v>0</v>
      </c>
      <c r="O107" s="11">
        <f t="shared" si="120"/>
        <v>0</v>
      </c>
      <c r="Q107" s="11">
        <f t="shared" si="120"/>
        <v>0</v>
      </c>
      <c r="S107" s="11">
        <f t="shared" si="120"/>
        <v>0</v>
      </c>
      <c r="U107" s="11">
        <f t="shared" si="120"/>
        <v>0</v>
      </c>
      <c r="W107" s="11">
        <f t="shared" si="120"/>
        <v>0</v>
      </c>
      <c r="Y107" s="11">
        <f t="shared" si="120"/>
        <v>0</v>
      </c>
      <c r="AA107" s="11">
        <f t="shared" si="121"/>
        <v>0</v>
      </c>
      <c r="AC107" s="11">
        <f t="shared" si="121"/>
        <v>0</v>
      </c>
      <c r="AE107" s="11">
        <f t="shared" si="121"/>
        <v>0</v>
      </c>
      <c r="AG107" s="11">
        <f t="shared" si="121"/>
        <v>0</v>
      </c>
      <c r="AI107" s="11">
        <f t="shared" si="121"/>
        <v>0</v>
      </c>
      <c r="AK107" s="11">
        <f t="shared" si="121"/>
        <v>0</v>
      </c>
      <c r="AM107" s="11">
        <f t="shared" si="121"/>
        <v>0</v>
      </c>
      <c r="AO107" s="11">
        <f t="shared" si="121"/>
        <v>0</v>
      </c>
      <c r="AQ107" s="11">
        <f t="shared" si="121"/>
        <v>0</v>
      </c>
      <c r="AS107" s="11">
        <f t="shared" si="121"/>
        <v>0</v>
      </c>
      <c r="AU107" s="11">
        <f t="shared" si="121"/>
        <v>0</v>
      </c>
      <c r="AW107" s="11">
        <f t="shared" si="121"/>
        <v>0</v>
      </c>
      <c r="AY107" s="11">
        <f t="shared" si="121"/>
        <v>0</v>
      </c>
      <c r="BA107" s="11">
        <f t="shared" si="121"/>
        <v>0</v>
      </c>
      <c r="BC107" s="11">
        <f t="shared" si="121"/>
        <v>0</v>
      </c>
      <c r="BE107" s="11">
        <f t="shared" si="121"/>
        <v>0</v>
      </c>
      <c r="BG107" s="11">
        <f t="shared" si="123"/>
        <v>0</v>
      </c>
      <c r="BI107" s="11">
        <f t="shared" si="123"/>
        <v>0</v>
      </c>
      <c r="BK107" s="11">
        <f t="shared" si="123"/>
        <v>0</v>
      </c>
      <c r="BM107" s="11">
        <f t="shared" si="123"/>
        <v>0</v>
      </c>
      <c r="BN107" s="16">
        <f ca="1">SUMIF(D$2:$BM106,BN$2,D107:BM107)</f>
        <v>0</v>
      </c>
      <c r="BO107" s="16">
        <f t="shared" si="115"/>
        <v>0</v>
      </c>
    </row>
    <row r="108" spans="1:67" ht="15" customHeight="1" x14ac:dyDescent="0.25">
      <c r="A108" s="18"/>
      <c r="B108" s="17" t="s">
        <v>101</v>
      </c>
      <c r="C108" s="15"/>
      <c r="E108" s="11">
        <f t="shared" si="116"/>
        <v>0</v>
      </c>
      <c r="G108" s="11">
        <f t="shared" si="116"/>
        <v>0</v>
      </c>
      <c r="I108" s="11">
        <f t="shared" si="116"/>
        <v>0</v>
      </c>
      <c r="K108" s="11">
        <f t="shared" si="116"/>
        <v>0</v>
      </c>
      <c r="M108" s="11">
        <f t="shared" si="120"/>
        <v>0</v>
      </c>
      <c r="O108" s="11">
        <f t="shared" si="120"/>
        <v>0</v>
      </c>
      <c r="Q108" s="11">
        <f t="shared" si="120"/>
        <v>0</v>
      </c>
      <c r="S108" s="11">
        <f t="shared" si="120"/>
        <v>0</v>
      </c>
      <c r="U108" s="11">
        <f t="shared" si="120"/>
        <v>0</v>
      </c>
      <c r="W108" s="11">
        <f t="shared" si="120"/>
        <v>0</v>
      </c>
      <c r="Y108" s="11">
        <f t="shared" si="120"/>
        <v>0</v>
      </c>
      <c r="AA108" s="11">
        <f t="shared" si="121"/>
        <v>0</v>
      </c>
      <c r="AC108" s="11">
        <f t="shared" si="121"/>
        <v>0</v>
      </c>
      <c r="AE108" s="11">
        <f t="shared" si="121"/>
        <v>0</v>
      </c>
      <c r="AG108" s="11">
        <f t="shared" si="121"/>
        <v>0</v>
      </c>
      <c r="AI108" s="11">
        <f t="shared" si="121"/>
        <v>0</v>
      </c>
      <c r="AK108" s="11">
        <f t="shared" si="121"/>
        <v>0</v>
      </c>
      <c r="AM108" s="11">
        <f t="shared" si="121"/>
        <v>0</v>
      </c>
      <c r="AO108" s="11">
        <f t="shared" si="121"/>
        <v>0</v>
      </c>
      <c r="AQ108" s="11">
        <f t="shared" si="121"/>
        <v>0</v>
      </c>
      <c r="AS108" s="11">
        <f t="shared" si="121"/>
        <v>0</v>
      </c>
      <c r="AU108" s="11">
        <f t="shared" si="121"/>
        <v>0</v>
      </c>
      <c r="AW108" s="11">
        <f t="shared" si="121"/>
        <v>0</v>
      </c>
      <c r="AY108" s="11">
        <f t="shared" si="121"/>
        <v>0</v>
      </c>
      <c r="BA108" s="11">
        <f t="shared" si="121"/>
        <v>0</v>
      </c>
      <c r="BC108" s="11">
        <f t="shared" si="121"/>
        <v>0</v>
      </c>
      <c r="BE108" s="11">
        <f t="shared" si="121"/>
        <v>0</v>
      </c>
      <c r="BG108" s="11">
        <f t="shared" si="123"/>
        <v>0</v>
      </c>
      <c r="BI108" s="11">
        <f t="shared" si="123"/>
        <v>0</v>
      </c>
      <c r="BK108" s="11">
        <f t="shared" si="123"/>
        <v>0</v>
      </c>
      <c r="BM108" s="11">
        <f t="shared" si="123"/>
        <v>0</v>
      </c>
      <c r="BN108" s="16">
        <f ca="1">SUMIF(D$2:$BM107,BN$2,D108:BM108)</f>
        <v>0</v>
      </c>
      <c r="BO108" s="16">
        <f t="shared" si="115"/>
        <v>0</v>
      </c>
    </row>
    <row r="109" spans="1:67" ht="15" customHeight="1" x14ac:dyDescent="0.25">
      <c r="A109" s="18"/>
      <c r="B109" s="17" t="s">
        <v>102</v>
      </c>
      <c r="C109" s="15"/>
      <c r="E109" s="11">
        <f t="shared" si="116"/>
        <v>0</v>
      </c>
      <c r="G109" s="11">
        <f t="shared" si="116"/>
        <v>0</v>
      </c>
      <c r="I109" s="11">
        <f t="shared" si="116"/>
        <v>0</v>
      </c>
      <c r="K109" s="11">
        <f t="shared" si="116"/>
        <v>0</v>
      </c>
      <c r="M109" s="11">
        <f t="shared" si="120"/>
        <v>0</v>
      </c>
      <c r="O109" s="11">
        <f t="shared" si="120"/>
        <v>0</v>
      </c>
      <c r="Q109" s="11">
        <f t="shared" si="120"/>
        <v>0</v>
      </c>
      <c r="S109" s="11">
        <f t="shared" si="120"/>
        <v>0</v>
      </c>
      <c r="U109" s="11">
        <f t="shared" si="120"/>
        <v>0</v>
      </c>
      <c r="W109" s="11">
        <f t="shared" si="120"/>
        <v>0</v>
      </c>
      <c r="Y109" s="11">
        <f t="shared" si="120"/>
        <v>0</v>
      </c>
      <c r="AA109" s="11">
        <f t="shared" si="121"/>
        <v>0</v>
      </c>
      <c r="AC109" s="11">
        <f t="shared" si="121"/>
        <v>0</v>
      </c>
      <c r="AE109" s="11">
        <f t="shared" si="121"/>
        <v>0</v>
      </c>
      <c r="AG109" s="11">
        <f t="shared" si="121"/>
        <v>0</v>
      </c>
      <c r="AI109" s="11">
        <f t="shared" si="121"/>
        <v>0</v>
      </c>
      <c r="AK109" s="11">
        <f t="shared" si="121"/>
        <v>0</v>
      </c>
      <c r="AM109" s="11">
        <f t="shared" si="121"/>
        <v>0</v>
      </c>
      <c r="AO109" s="11">
        <f t="shared" si="121"/>
        <v>0</v>
      </c>
      <c r="AQ109" s="11">
        <f t="shared" si="121"/>
        <v>0</v>
      </c>
      <c r="AS109" s="11">
        <f t="shared" si="121"/>
        <v>0</v>
      </c>
      <c r="AU109" s="11">
        <f t="shared" si="121"/>
        <v>0</v>
      </c>
      <c r="AW109" s="11">
        <f t="shared" si="121"/>
        <v>0</v>
      </c>
      <c r="AY109" s="11">
        <f t="shared" si="121"/>
        <v>0</v>
      </c>
      <c r="BA109" s="11">
        <f t="shared" si="121"/>
        <v>0</v>
      </c>
      <c r="BC109" s="11">
        <f t="shared" si="121"/>
        <v>0</v>
      </c>
      <c r="BE109" s="11">
        <f t="shared" si="121"/>
        <v>0</v>
      </c>
      <c r="BG109" s="11">
        <f t="shared" si="123"/>
        <v>0</v>
      </c>
      <c r="BI109" s="11">
        <f t="shared" si="123"/>
        <v>0</v>
      </c>
      <c r="BK109" s="11">
        <f t="shared" si="123"/>
        <v>0</v>
      </c>
      <c r="BM109" s="11">
        <f t="shared" si="123"/>
        <v>0</v>
      </c>
      <c r="BN109" s="16">
        <f ca="1">SUMIF(D$2:$BM108,BN$2,D109:BM109)</f>
        <v>0</v>
      </c>
      <c r="BO109" s="16">
        <f t="shared" si="115"/>
        <v>0</v>
      </c>
    </row>
    <row r="110" spans="1:67" ht="15" customHeight="1" x14ac:dyDescent="0.25">
      <c r="A110" s="18"/>
      <c r="B110" s="17" t="s">
        <v>103</v>
      </c>
      <c r="C110" s="19"/>
      <c r="E110" s="11">
        <f t="shared" si="116"/>
        <v>0</v>
      </c>
      <c r="G110" s="11">
        <f t="shared" si="116"/>
        <v>0</v>
      </c>
      <c r="I110" s="11">
        <f t="shared" si="116"/>
        <v>0</v>
      </c>
      <c r="K110" s="11">
        <f t="shared" si="116"/>
        <v>0</v>
      </c>
      <c r="M110" s="11">
        <f t="shared" si="120"/>
        <v>0</v>
      </c>
      <c r="O110" s="11">
        <f t="shared" si="120"/>
        <v>0</v>
      </c>
      <c r="Q110" s="11">
        <f t="shared" si="120"/>
        <v>0</v>
      </c>
      <c r="S110" s="11">
        <f t="shared" si="120"/>
        <v>0</v>
      </c>
      <c r="U110" s="11">
        <f t="shared" si="120"/>
        <v>0</v>
      </c>
      <c r="W110" s="11">
        <f t="shared" si="120"/>
        <v>0</v>
      </c>
      <c r="Y110" s="11">
        <f t="shared" si="120"/>
        <v>0</v>
      </c>
      <c r="AA110" s="11">
        <f t="shared" si="121"/>
        <v>0</v>
      </c>
      <c r="AC110" s="11">
        <f t="shared" si="121"/>
        <v>0</v>
      </c>
      <c r="AE110" s="11">
        <f t="shared" si="121"/>
        <v>0</v>
      </c>
      <c r="AG110" s="11">
        <f t="shared" si="121"/>
        <v>0</v>
      </c>
      <c r="AI110" s="11">
        <f t="shared" si="121"/>
        <v>0</v>
      </c>
      <c r="AK110" s="11">
        <f t="shared" si="121"/>
        <v>0</v>
      </c>
      <c r="AM110" s="11">
        <f t="shared" si="121"/>
        <v>0</v>
      </c>
      <c r="AO110" s="11">
        <f t="shared" si="121"/>
        <v>0</v>
      </c>
      <c r="AQ110" s="11">
        <f t="shared" si="121"/>
        <v>0</v>
      </c>
      <c r="AS110" s="11">
        <f t="shared" si="121"/>
        <v>0</v>
      </c>
      <c r="AU110" s="11">
        <f t="shared" si="121"/>
        <v>0</v>
      </c>
      <c r="AW110" s="11">
        <f t="shared" si="121"/>
        <v>0</v>
      </c>
      <c r="AY110" s="11">
        <f t="shared" si="121"/>
        <v>0</v>
      </c>
      <c r="BA110" s="11">
        <f t="shared" si="121"/>
        <v>0</v>
      </c>
      <c r="BC110" s="11">
        <f t="shared" si="121"/>
        <v>0</v>
      </c>
      <c r="BE110" s="11">
        <f t="shared" si="121"/>
        <v>0</v>
      </c>
      <c r="BG110" s="11">
        <f t="shared" si="123"/>
        <v>0</v>
      </c>
      <c r="BI110" s="11">
        <f t="shared" si="123"/>
        <v>0</v>
      </c>
      <c r="BK110" s="11">
        <f t="shared" si="123"/>
        <v>0</v>
      </c>
      <c r="BM110" s="11">
        <f t="shared" si="123"/>
        <v>0</v>
      </c>
      <c r="BN110" s="16">
        <f ca="1">SUMIF(D$2:$BM109,BN$2,D110:BM110)</f>
        <v>0</v>
      </c>
      <c r="BO110" s="16">
        <f t="shared" si="115"/>
        <v>0</v>
      </c>
    </row>
    <row r="111" spans="1:67" ht="15" customHeight="1" x14ac:dyDescent="0.25">
      <c r="A111" s="18"/>
      <c r="B111" s="17" t="s">
        <v>104</v>
      </c>
      <c r="C111" s="19"/>
      <c r="E111" s="11">
        <f t="shared" si="116"/>
        <v>0</v>
      </c>
      <c r="G111" s="11">
        <f t="shared" si="116"/>
        <v>0</v>
      </c>
      <c r="I111" s="11">
        <f t="shared" si="116"/>
        <v>0</v>
      </c>
      <c r="K111" s="11">
        <f t="shared" si="116"/>
        <v>0</v>
      </c>
      <c r="M111" s="11">
        <f t="shared" si="120"/>
        <v>0</v>
      </c>
      <c r="O111" s="11">
        <f t="shared" si="120"/>
        <v>0</v>
      </c>
      <c r="Q111" s="11">
        <f t="shared" si="120"/>
        <v>0</v>
      </c>
      <c r="S111" s="11">
        <f t="shared" si="120"/>
        <v>0</v>
      </c>
      <c r="U111" s="11">
        <f t="shared" si="120"/>
        <v>0</v>
      </c>
      <c r="W111" s="11">
        <f t="shared" si="120"/>
        <v>0</v>
      </c>
      <c r="Y111" s="11">
        <f t="shared" si="120"/>
        <v>0</v>
      </c>
      <c r="AA111" s="11">
        <f t="shared" si="121"/>
        <v>0</v>
      </c>
      <c r="AC111" s="11">
        <f t="shared" si="121"/>
        <v>0</v>
      </c>
      <c r="AE111" s="11">
        <f t="shared" si="121"/>
        <v>0</v>
      </c>
      <c r="AG111" s="11">
        <f t="shared" si="121"/>
        <v>0</v>
      </c>
      <c r="AI111" s="11">
        <f t="shared" si="121"/>
        <v>0</v>
      </c>
      <c r="AK111" s="11">
        <f t="shared" si="121"/>
        <v>0</v>
      </c>
      <c r="AM111" s="11">
        <f t="shared" si="121"/>
        <v>0</v>
      </c>
      <c r="AO111" s="11">
        <f t="shared" si="121"/>
        <v>0</v>
      </c>
      <c r="AQ111" s="11">
        <f t="shared" si="121"/>
        <v>0</v>
      </c>
      <c r="AS111" s="11">
        <f t="shared" si="121"/>
        <v>0</v>
      </c>
      <c r="AU111" s="11">
        <f t="shared" si="121"/>
        <v>0</v>
      </c>
      <c r="AW111" s="11">
        <f t="shared" si="121"/>
        <v>0</v>
      </c>
      <c r="AY111" s="11">
        <f t="shared" si="121"/>
        <v>0</v>
      </c>
      <c r="BA111" s="11">
        <f t="shared" si="121"/>
        <v>0</v>
      </c>
      <c r="BC111" s="11">
        <f t="shared" si="121"/>
        <v>0</v>
      </c>
      <c r="BE111" s="11">
        <f t="shared" si="121"/>
        <v>0</v>
      </c>
      <c r="BG111" s="11">
        <f t="shared" si="123"/>
        <v>0</v>
      </c>
      <c r="BI111" s="11">
        <f t="shared" si="123"/>
        <v>0</v>
      </c>
      <c r="BK111" s="11">
        <f t="shared" si="123"/>
        <v>0</v>
      </c>
      <c r="BM111" s="11">
        <f t="shared" si="123"/>
        <v>0</v>
      </c>
      <c r="BN111" s="16">
        <f ca="1">SUMIF(D$2:$BM110,BN$2,D111:BM111)</f>
        <v>0</v>
      </c>
      <c r="BO111" s="16">
        <f t="shared" si="115"/>
        <v>0</v>
      </c>
    </row>
    <row r="112" spans="1:67" ht="15" customHeight="1" x14ac:dyDescent="0.25">
      <c r="A112" s="18"/>
      <c r="B112" s="17" t="s">
        <v>105</v>
      </c>
      <c r="C112" s="19"/>
      <c r="E112" s="11">
        <f t="shared" si="116"/>
        <v>0</v>
      </c>
      <c r="G112" s="11">
        <f t="shared" si="116"/>
        <v>0</v>
      </c>
      <c r="I112" s="11">
        <f t="shared" si="116"/>
        <v>0</v>
      </c>
      <c r="K112" s="11">
        <f t="shared" si="116"/>
        <v>0</v>
      </c>
      <c r="M112" s="11">
        <f t="shared" si="120"/>
        <v>0</v>
      </c>
      <c r="O112" s="11">
        <f t="shared" si="120"/>
        <v>0</v>
      </c>
      <c r="Q112" s="11">
        <f t="shared" si="120"/>
        <v>0</v>
      </c>
      <c r="S112" s="11">
        <f t="shared" si="120"/>
        <v>0</v>
      </c>
      <c r="U112" s="11">
        <f t="shared" si="120"/>
        <v>0</v>
      </c>
      <c r="W112" s="11">
        <f t="shared" si="120"/>
        <v>0</v>
      </c>
      <c r="Y112" s="11">
        <f t="shared" ref="Y112:AS136" si="124">X112*$C112</f>
        <v>0</v>
      </c>
      <c r="AA112" s="11">
        <f t="shared" si="124"/>
        <v>0</v>
      </c>
      <c r="AC112" s="11">
        <f t="shared" si="124"/>
        <v>0</v>
      </c>
      <c r="AE112" s="11">
        <f t="shared" si="124"/>
        <v>0</v>
      </c>
      <c r="AG112" s="11">
        <f t="shared" si="124"/>
        <v>0</v>
      </c>
      <c r="AI112" s="11">
        <f t="shared" si="124"/>
        <v>0</v>
      </c>
      <c r="AK112" s="11">
        <f t="shared" si="124"/>
        <v>0</v>
      </c>
      <c r="AM112" s="11">
        <f t="shared" si="124"/>
        <v>0</v>
      </c>
      <c r="AO112" s="11">
        <f t="shared" si="124"/>
        <v>0</v>
      </c>
      <c r="AQ112" s="11">
        <f t="shared" si="124"/>
        <v>0</v>
      </c>
      <c r="AS112" s="11">
        <f t="shared" si="124"/>
        <v>0</v>
      </c>
      <c r="AU112" s="11">
        <f t="shared" si="121"/>
        <v>0</v>
      </c>
      <c r="AW112" s="11">
        <f t="shared" si="121"/>
        <v>0</v>
      </c>
      <c r="AY112" s="11">
        <f t="shared" si="121"/>
        <v>0</v>
      </c>
      <c r="BA112" s="11">
        <f t="shared" si="121"/>
        <v>0</v>
      </c>
      <c r="BC112" s="11">
        <f t="shared" si="121"/>
        <v>0</v>
      </c>
      <c r="BE112" s="11">
        <f t="shared" si="121"/>
        <v>0</v>
      </c>
      <c r="BG112" s="11">
        <f t="shared" si="123"/>
        <v>0</v>
      </c>
      <c r="BI112" s="11">
        <f t="shared" si="123"/>
        <v>0</v>
      </c>
      <c r="BK112" s="11">
        <f t="shared" si="123"/>
        <v>0</v>
      </c>
      <c r="BM112" s="11">
        <f t="shared" si="123"/>
        <v>0</v>
      </c>
      <c r="BN112" s="16">
        <f ca="1">SUMIF(D$2:$BM111,BN$2,D112:BM112)</f>
        <v>0</v>
      </c>
      <c r="BO112" s="16">
        <f t="shared" si="115"/>
        <v>0</v>
      </c>
    </row>
    <row r="113" spans="1:67" ht="15" customHeight="1" x14ac:dyDescent="0.25">
      <c r="A113" s="18"/>
      <c r="B113" s="17" t="s">
        <v>106</v>
      </c>
      <c r="C113" s="19"/>
      <c r="E113" s="11">
        <f t="shared" si="116"/>
        <v>0</v>
      </c>
      <c r="G113" s="11">
        <f t="shared" si="116"/>
        <v>0</v>
      </c>
      <c r="I113" s="11">
        <f t="shared" si="116"/>
        <v>0</v>
      </c>
      <c r="K113" s="11">
        <f t="shared" si="116"/>
        <v>0</v>
      </c>
      <c r="M113" s="11">
        <f t="shared" si="120"/>
        <v>0</v>
      </c>
      <c r="O113" s="11">
        <f t="shared" si="120"/>
        <v>0</v>
      </c>
      <c r="Q113" s="11">
        <f t="shared" si="120"/>
        <v>0</v>
      </c>
      <c r="S113" s="11">
        <f t="shared" si="120"/>
        <v>0</v>
      </c>
      <c r="U113" s="11">
        <f t="shared" si="120"/>
        <v>0</v>
      </c>
      <c r="W113" s="11">
        <f t="shared" si="120"/>
        <v>0</v>
      </c>
      <c r="Y113" s="11">
        <f t="shared" si="124"/>
        <v>0</v>
      </c>
      <c r="AA113" s="11">
        <f t="shared" si="124"/>
        <v>0</v>
      </c>
      <c r="AC113" s="11">
        <f t="shared" si="124"/>
        <v>0</v>
      </c>
      <c r="AE113" s="11">
        <f t="shared" si="124"/>
        <v>0</v>
      </c>
      <c r="AG113" s="11">
        <f t="shared" si="124"/>
        <v>0</v>
      </c>
      <c r="AI113" s="11">
        <f t="shared" si="124"/>
        <v>0</v>
      </c>
      <c r="AK113" s="11">
        <f t="shared" si="124"/>
        <v>0</v>
      </c>
      <c r="AM113" s="11">
        <f t="shared" si="124"/>
        <v>0</v>
      </c>
      <c r="AO113" s="11">
        <f t="shared" si="124"/>
        <v>0</v>
      </c>
      <c r="AQ113" s="11">
        <f t="shared" si="124"/>
        <v>0</v>
      </c>
      <c r="AS113" s="11">
        <f t="shared" si="124"/>
        <v>0</v>
      </c>
      <c r="AU113" s="11">
        <f t="shared" ref="AU113:BM116" si="125">AT113*$C113</f>
        <v>0</v>
      </c>
      <c r="AW113" s="11">
        <f t="shared" si="125"/>
        <v>0</v>
      </c>
      <c r="AY113" s="11">
        <f t="shared" si="125"/>
        <v>0</v>
      </c>
      <c r="BA113" s="11">
        <f t="shared" si="125"/>
        <v>0</v>
      </c>
      <c r="BC113" s="11">
        <f t="shared" si="125"/>
        <v>0</v>
      </c>
      <c r="BE113" s="11">
        <f t="shared" si="125"/>
        <v>0</v>
      </c>
      <c r="BG113" s="11">
        <f t="shared" si="125"/>
        <v>0</v>
      </c>
      <c r="BI113" s="11">
        <f t="shared" si="125"/>
        <v>0</v>
      </c>
      <c r="BK113" s="11">
        <f t="shared" si="125"/>
        <v>0</v>
      </c>
      <c r="BM113" s="11">
        <f t="shared" si="125"/>
        <v>0</v>
      </c>
      <c r="BN113" s="16">
        <f ca="1">SUMIF(D$2:$BM112,BN$2,D113:BM113)</f>
        <v>0</v>
      </c>
      <c r="BO113" s="16">
        <f t="shared" si="115"/>
        <v>0</v>
      </c>
    </row>
    <row r="114" spans="1:67" ht="15" customHeight="1" x14ac:dyDescent="0.25">
      <c r="A114" s="18"/>
      <c r="B114" s="17" t="s">
        <v>107</v>
      </c>
      <c r="C114" s="19"/>
      <c r="E114" s="11">
        <f t="shared" si="116"/>
        <v>0</v>
      </c>
      <c r="G114" s="11">
        <f t="shared" si="116"/>
        <v>0</v>
      </c>
      <c r="I114" s="11">
        <f t="shared" si="116"/>
        <v>0</v>
      </c>
      <c r="K114" s="11">
        <f t="shared" si="116"/>
        <v>0</v>
      </c>
      <c r="M114" s="11">
        <f t="shared" si="120"/>
        <v>0</v>
      </c>
      <c r="O114" s="11">
        <f t="shared" si="120"/>
        <v>0</v>
      </c>
      <c r="Q114" s="11">
        <f t="shared" si="120"/>
        <v>0</v>
      </c>
      <c r="S114" s="11">
        <f t="shared" si="120"/>
        <v>0</v>
      </c>
      <c r="U114" s="11">
        <f t="shared" si="120"/>
        <v>0</v>
      </c>
      <c r="W114" s="11">
        <f t="shared" si="120"/>
        <v>0</v>
      </c>
      <c r="Y114" s="11">
        <f t="shared" si="124"/>
        <v>0</v>
      </c>
      <c r="AA114" s="11">
        <f t="shared" si="124"/>
        <v>0</v>
      </c>
      <c r="AC114" s="11">
        <f t="shared" si="124"/>
        <v>0</v>
      </c>
      <c r="AE114" s="11">
        <f t="shared" si="124"/>
        <v>0</v>
      </c>
      <c r="AG114" s="11">
        <f t="shared" si="124"/>
        <v>0</v>
      </c>
      <c r="AI114" s="11">
        <f t="shared" si="124"/>
        <v>0</v>
      </c>
      <c r="AK114" s="11">
        <f t="shared" si="124"/>
        <v>0</v>
      </c>
      <c r="AM114" s="11">
        <f t="shared" si="124"/>
        <v>0</v>
      </c>
      <c r="AO114" s="11">
        <f t="shared" si="124"/>
        <v>0</v>
      </c>
      <c r="AQ114" s="11">
        <f t="shared" si="124"/>
        <v>0</v>
      </c>
      <c r="AS114" s="11">
        <f t="shared" si="124"/>
        <v>0</v>
      </c>
      <c r="AU114" s="11">
        <f t="shared" si="125"/>
        <v>0</v>
      </c>
      <c r="AW114" s="11">
        <f t="shared" si="125"/>
        <v>0</v>
      </c>
      <c r="AY114" s="11">
        <f t="shared" si="125"/>
        <v>0</v>
      </c>
      <c r="BA114" s="11">
        <f t="shared" si="125"/>
        <v>0</v>
      </c>
      <c r="BC114" s="11">
        <f t="shared" si="125"/>
        <v>0</v>
      </c>
      <c r="BE114" s="11">
        <f t="shared" si="125"/>
        <v>0</v>
      </c>
      <c r="BG114" s="11">
        <f t="shared" si="125"/>
        <v>0</v>
      </c>
      <c r="BI114" s="11">
        <f t="shared" si="125"/>
        <v>0</v>
      </c>
      <c r="BK114" s="11">
        <f t="shared" si="125"/>
        <v>0</v>
      </c>
      <c r="BM114" s="11">
        <f t="shared" si="125"/>
        <v>0</v>
      </c>
      <c r="BN114" s="16">
        <f ca="1">SUMIF(D$2:$BM113,BN$2,D114:BM114)</f>
        <v>0</v>
      </c>
      <c r="BO114" s="16">
        <f t="shared" si="115"/>
        <v>0</v>
      </c>
    </row>
    <row r="115" spans="1:67" ht="15" customHeight="1" x14ac:dyDescent="0.25">
      <c r="A115" s="18"/>
      <c r="B115" s="17" t="s">
        <v>108</v>
      </c>
      <c r="C115" s="19"/>
      <c r="E115" s="11">
        <f t="shared" si="116"/>
        <v>0</v>
      </c>
      <c r="G115" s="11">
        <f t="shared" si="116"/>
        <v>0</v>
      </c>
      <c r="I115" s="11">
        <f t="shared" si="116"/>
        <v>0</v>
      </c>
      <c r="K115" s="11">
        <f t="shared" si="116"/>
        <v>0</v>
      </c>
      <c r="M115" s="11">
        <f t="shared" si="120"/>
        <v>0</v>
      </c>
      <c r="O115" s="11">
        <f t="shared" si="120"/>
        <v>0</v>
      </c>
      <c r="Q115" s="11">
        <f t="shared" si="120"/>
        <v>0</v>
      </c>
      <c r="S115" s="11">
        <f t="shared" si="120"/>
        <v>0</v>
      </c>
      <c r="U115" s="11">
        <f t="shared" si="120"/>
        <v>0</v>
      </c>
      <c r="W115" s="11">
        <f t="shared" si="120"/>
        <v>0</v>
      </c>
      <c r="Y115" s="11">
        <f t="shared" si="124"/>
        <v>0</v>
      </c>
      <c r="AA115" s="11">
        <f t="shared" si="124"/>
        <v>0</v>
      </c>
      <c r="AC115" s="11">
        <f t="shared" si="124"/>
        <v>0</v>
      </c>
      <c r="AE115" s="11">
        <f t="shared" si="124"/>
        <v>0</v>
      </c>
      <c r="AG115" s="11">
        <f t="shared" si="124"/>
        <v>0</v>
      </c>
      <c r="AI115" s="11">
        <f t="shared" si="124"/>
        <v>0</v>
      </c>
      <c r="AK115" s="11">
        <f t="shared" si="124"/>
        <v>0</v>
      </c>
      <c r="AM115" s="11">
        <f t="shared" si="124"/>
        <v>0</v>
      </c>
      <c r="AO115" s="11">
        <f t="shared" si="124"/>
        <v>0</v>
      </c>
      <c r="AQ115" s="11">
        <f t="shared" si="124"/>
        <v>0</v>
      </c>
      <c r="AS115" s="11">
        <f t="shared" si="124"/>
        <v>0</v>
      </c>
      <c r="AU115" s="11">
        <f t="shared" si="125"/>
        <v>0</v>
      </c>
      <c r="AW115" s="11">
        <f t="shared" si="125"/>
        <v>0</v>
      </c>
      <c r="AY115" s="11">
        <f t="shared" si="125"/>
        <v>0</v>
      </c>
      <c r="BA115" s="11">
        <f t="shared" si="125"/>
        <v>0</v>
      </c>
      <c r="BC115" s="11">
        <f t="shared" si="125"/>
        <v>0</v>
      </c>
      <c r="BE115" s="11">
        <f t="shared" si="125"/>
        <v>0</v>
      </c>
      <c r="BG115" s="11">
        <f t="shared" si="125"/>
        <v>0</v>
      </c>
      <c r="BI115" s="11">
        <f t="shared" si="125"/>
        <v>0</v>
      </c>
      <c r="BK115" s="11">
        <f t="shared" si="125"/>
        <v>0</v>
      </c>
      <c r="BM115" s="11">
        <f t="shared" si="125"/>
        <v>0</v>
      </c>
      <c r="BN115" s="16">
        <f ca="1">SUMIF(D$2:$BM114,BN$2,D115:BM115)</f>
        <v>0</v>
      </c>
      <c r="BO115" s="16">
        <f t="shared" si="115"/>
        <v>0</v>
      </c>
    </row>
    <row r="116" spans="1:67" ht="15" customHeight="1" x14ac:dyDescent="0.25">
      <c r="A116" s="18"/>
      <c r="B116" s="17" t="s">
        <v>109</v>
      </c>
      <c r="C116" s="19"/>
      <c r="E116" s="11">
        <f t="shared" si="116"/>
        <v>0</v>
      </c>
      <c r="G116" s="11">
        <f t="shared" si="116"/>
        <v>0</v>
      </c>
      <c r="I116" s="11">
        <f t="shared" si="116"/>
        <v>0</v>
      </c>
      <c r="K116" s="11">
        <f t="shared" si="116"/>
        <v>0</v>
      </c>
      <c r="M116" s="11">
        <f t="shared" si="120"/>
        <v>0</v>
      </c>
      <c r="O116" s="11">
        <f t="shared" si="120"/>
        <v>0</v>
      </c>
      <c r="Q116" s="11">
        <f t="shared" si="120"/>
        <v>0</v>
      </c>
      <c r="S116" s="11">
        <f t="shared" si="120"/>
        <v>0</v>
      </c>
      <c r="U116" s="11">
        <f t="shared" si="120"/>
        <v>0</v>
      </c>
      <c r="W116" s="11">
        <f t="shared" si="120"/>
        <v>0</v>
      </c>
      <c r="Y116" s="11">
        <f t="shared" si="124"/>
        <v>0</v>
      </c>
      <c r="AA116" s="11">
        <f t="shared" si="124"/>
        <v>0</v>
      </c>
      <c r="AC116" s="11">
        <f t="shared" si="124"/>
        <v>0</v>
      </c>
      <c r="AE116" s="11">
        <f t="shared" si="124"/>
        <v>0</v>
      </c>
      <c r="AG116" s="11">
        <f t="shared" si="124"/>
        <v>0</v>
      </c>
      <c r="AI116" s="11">
        <f t="shared" si="124"/>
        <v>0</v>
      </c>
      <c r="AK116" s="11">
        <f t="shared" si="124"/>
        <v>0</v>
      </c>
      <c r="AM116" s="11">
        <f t="shared" si="124"/>
        <v>0</v>
      </c>
      <c r="AO116" s="11">
        <f t="shared" si="124"/>
        <v>0</v>
      </c>
      <c r="AQ116" s="11">
        <f t="shared" si="124"/>
        <v>0</v>
      </c>
      <c r="AS116" s="11">
        <f t="shared" si="124"/>
        <v>0</v>
      </c>
      <c r="AU116" s="11">
        <f t="shared" si="125"/>
        <v>0</v>
      </c>
      <c r="AW116" s="11">
        <f t="shared" si="125"/>
        <v>0</v>
      </c>
      <c r="AY116" s="11">
        <f t="shared" si="125"/>
        <v>0</v>
      </c>
      <c r="BA116" s="11">
        <f t="shared" si="125"/>
        <v>0</v>
      </c>
      <c r="BC116" s="11">
        <f t="shared" si="125"/>
        <v>0</v>
      </c>
      <c r="BE116" s="11">
        <f t="shared" si="125"/>
        <v>0</v>
      </c>
      <c r="BG116" s="11">
        <f t="shared" si="125"/>
        <v>0</v>
      </c>
      <c r="BI116" s="11">
        <f t="shared" si="125"/>
        <v>0</v>
      </c>
      <c r="BK116" s="11">
        <f t="shared" si="125"/>
        <v>0</v>
      </c>
      <c r="BM116" s="11">
        <f t="shared" si="125"/>
        <v>0</v>
      </c>
      <c r="BN116" s="16">
        <f ca="1">SUMIF(D$2:$BM115,BN$2,D116:BM116)</f>
        <v>0</v>
      </c>
      <c r="BO116" s="16">
        <f t="shared" si="115"/>
        <v>0</v>
      </c>
    </row>
    <row r="117" spans="1:67" ht="15" customHeight="1" x14ac:dyDescent="0.25">
      <c r="B117" s="17" t="s">
        <v>110</v>
      </c>
      <c r="C117" s="19"/>
      <c r="E117" s="11">
        <f t="shared" si="116"/>
        <v>0</v>
      </c>
      <c r="G117" s="11">
        <f t="shared" si="116"/>
        <v>0</v>
      </c>
      <c r="I117" s="11">
        <f t="shared" si="116"/>
        <v>0</v>
      </c>
      <c r="K117" s="11">
        <f t="shared" si="116"/>
        <v>0</v>
      </c>
      <c r="M117" s="11">
        <f t="shared" si="120"/>
        <v>0</v>
      </c>
      <c r="O117" s="11">
        <f t="shared" si="120"/>
        <v>0</v>
      </c>
      <c r="Q117" s="11">
        <f t="shared" si="120"/>
        <v>0</v>
      </c>
      <c r="S117" s="11">
        <f t="shared" si="120"/>
        <v>0</v>
      </c>
      <c r="U117" s="11">
        <f t="shared" si="120"/>
        <v>0</v>
      </c>
      <c r="W117" s="11">
        <f t="shared" si="120"/>
        <v>0</v>
      </c>
      <c r="Y117" s="11">
        <f t="shared" si="124"/>
        <v>0</v>
      </c>
      <c r="AA117" s="11">
        <f t="shared" si="124"/>
        <v>0</v>
      </c>
      <c r="AC117" s="11">
        <f t="shared" si="124"/>
        <v>0</v>
      </c>
      <c r="AE117" s="11">
        <f t="shared" si="124"/>
        <v>0</v>
      </c>
      <c r="AG117" s="11">
        <f t="shared" si="124"/>
        <v>0</v>
      </c>
      <c r="AI117" s="11">
        <f t="shared" si="124"/>
        <v>0</v>
      </c>
      <c r="AK117" s="11">
        <f t="shared" si="124"/>
        <v>0</v>
      </c>
      <c r="AM117" s="11">
        <f t="shared" si="124"/>
        <v>0</v>
      </c>
      <c r="AO117" s="11">
        <f t="shared" si="124"/>
        <v>0</v>
      </c>
      <c r="AQ117" s="11">
        <f t="shared" si="124"/>
        <v>0</v>
      </c>
      <c r="AS117" s="11">
        <f t="shared" ref="AS117:BM136" si="126">AR117*$C117</f>
        <v>0</v>
      </c>
      <c r="AU117" s="11">
        <f t="shared" si="126"/>
        <v>0</v>
      </c>
      <c r="AW117" s="11">
        <f t="shared" si="126"/>
        <v>0</v>
      </c>
      <c r="AY117" s="11">
        <f t="shared" si="126"/>
        <v>0</v>
      </c>
      <c r="BA117" s="11">
        <f t="shared" si="126"/>
        <v>0</v>
      </c>
      <c r="BC117" s="11">
        <f t="shared" si="126"/>
        <v>0</v>
      </c>
      <c r="BE117" s="11">
        <f t="shared" si="126"/>
        <v>0</v>
      </c>
      <c r="BG117" s="11">
        <f t="shared" si="126"/>
        <v>0</v>
      </c>
      <c r="BI117" s="11">
        <f t="shared" si="126"/>
        <v>0</v>
      </c>
      <c r="BK117" s="11">
        <f t="shared" si="126"/>
        <v>0</v>
      </c>
      <c r="BM117" s="11">
        <f t="shared" si="126"/>
        <v>0</v>
      </c>
      <c r="BN117" s="16">
        <f ca="1">SUMIF(D$2:$BM116,BN$2,D117:BM117)</f>
        <v>0</v>
      </c>
      <c r="BO117" s="16">
        <f t="shared" si="115"/>
        <v>0</v>
      </c>
    </row>
    <row r="118" spans="1:67" ht="15" customHeight="1" x14ac:dyDescent="0.25">
      <c r="B118" s="17" t="s">
        <v>111</v>
      </c>
      <c r="C118" s="19"/>
      <c r="E118" s="11">
        <f t="shared" si="116"/>
        <v>0</v>
      </c>
      <c r="G118" s="11">
        <f t="shared" si="116"/>
        <v>0</v>
      </c>
      <c r="I118" s="11">
        <f t="shared" si="116"/>
        <v>0</v>
      </c>
      <c r="K118" s="11">
        <f t="shared" si="116"/>
        <v>0</v>
      </c>
      <c r="M118" s="11">
        <f t="shared" si="120"/>
        <v>0</v>
      </c>
      <c r="O118" s="11">
        <f t="shared" si="120"/>
        <v>0</v>
      </c>
      <c r="Q118" s="11">
        <f t="shared" si="120"/>
        <v>0</v>
      </c>
      <c r="S118" s="11">
        <f t="shared" si="120"/>
        <v>0</v>
      </c>
      <c r="U118" s="11">
        <f t="shared" si="120"/>
        <v>0</v>
      </c>
      <c r="W118" s="11">
        <f t="shared" si="120"/>
        <v>0</v>
      </c>
      <c r="Y118" s="11">
        <f t="shared" si="124"/>
        <v>0</v>
      </c>
      <c r="AA118" s="11">
        <f t="shared" si="124"/>
        <v>0</v>
      </c>
      <c r="AC118" s="11">
        <f t="shared" si="124"/>
        <v>0</v>
      </c>
      <c r="AE118" s="11">
        <f t="shared" si="124"/>
        <v>0</v>
      </c>
      <c r="AG118" s="11">
        <f t="shared" si="124"/>
        <v>0</v>
      </c>
      <c r="AI118" s="11">
        <f t="shared" si="124"/>
        <v>0</v>
      </c>
      <c r="AK118" s="11">
        <f t="shared" si="124"/>
        <v>0</v>
      </c>
      <c r="AM118" s="11">
        <f t="shared" si="124"/>
        <v>0</v>
      </c>
      <c r="AO118" s="11">
        <f t="shared" si="124"/>
        <v>0</v>
      </c>
      <c r="AQ118" s="11">
        <f t="shared" si="124"/>
        <v>0</v>
      </c>
      <c r="AS118" s="11">
        <f t="shared" si="126"/>
        <v>0</v>
      </c>
      <c r="AU118" s="11">
        <f t="shared" si="126"/>
        <v>0</v>
      </c>
      <c r="AW118" s="11">
        <f t="shared" si="126"/>
        <v>0</v>
      </c>
      <c r="AY118" s="11">
        <f t="shared" si="126"/>
        <v>0</v>
      </c>
      <c r="BA118" s="11">
        <f t="shared" si="126"/>
        <v>0</v>
      </c>
      <c r="BC118" s="11">
        <f t="shared" si="126"/>
        <v>0</v>
      </c>
      <c r="BE118" s="11">
        <f t="shared" si="126"/>
        <v>0</v>
      </c>
      <c r="BG118" s="11">
        <f t="shared" si="126"/>
        <v>0</v>
      </c>
      <c r="BI118" s="11">
        <f t="shared" si="126"/>
        <v>0</v>
      </c>
      <c r="BK118" s="11">
        <f t="shared" si="126"/>
        <v>0</v>
      </c>
      <c r="BM118" s="11">
        <f t="shared" si="126"/>
        <v>0</v>
      </c>
      <c r="BN118" s="16">
        <f ca="1">SUMIF(D$2:$BM117,BN$2,D118:BM118)</f>
        <v>0</v>
      </c>
      <c r="BO118" s="16">
        <f t="shared" si="115"/>
        <v>0</v>
      </c>
    </row>
    <row r="119" spans="1:67" ht="15" customHeight="1" x14ac:dyDescent="0.25">
      <c r="B119" s="17" t="s">
        <v>112</v>
      </c>
      <c r="C119" s="19"/>
      <c r="E119" s="11">
        <f t="shared" si="116"/>
        <v>0</v>
      </c>
      <c r="G119" s="11">
        <f t="shared" si="116"/>
        <v>0</v>
      </c>
      <c r="I119" s="11">
        <f t="shared" si="116"/>
        <v>0</v>
      </c>
      <c r="K119" s="11">
        <f t="shared" si="116"/>
        <v>0</v>
      </c>
      <c r="M119" s="11">
        <f t="shared" si="120"/>
        <v>0</v>
      </c>
      <c r="O119" s="11">
        <f t="shared" si="120"/>
        <v>0</v>
      </c>
      <c r="Q119" s="11">
        <f t="shared" si="120"/>
        <v>0</v>
      </c>
      <c r="S119" s="11">
        <f t="shared" si="120"/>
        <v>0</v>
      </c>
      <c r="U119" s="11">
        <f t="shared" si="120"/>
        <v>0</v>
      </c>
      <c r="W119" s="11">
        <f t="shared" si="120"/>
        <v>0</v>
      </c>
      <c r="Y119" s="11">
        <f t="shared" si="124"/>
        <v>0</v>
      </c>
      <c r="AA119" s="11">
        <f t="shared" si="124"/>
        <v>0</v>
      </c>
      <c r="AC119" s="11">
        <f t="shared" si="124"/>
        <v>0</v>
      </c>
      <c r="AE119" s="11">
        <f t="shared" si="124"/>
        <v>0</v>
      </c>
      <c r="AG119" s="11">
        <f t="shared" si="124"/>
        <v>0</v>
      </c>
      <c r="AI119" s="11">
        <f t="shared" si="124"/>
        <v>0</v>
      </c>
      <c r="AK119" s="11">
        <f t="shared" si="124"/>
        <v>0</v>
      </c>
      <c r="AM119" s="11">
        <f t="shared" si="124"/>
        <v>0</v>
      </c>
      <c r="AO119" s="11">
        <f t="shared" si="124"/>
        <v>0</v>
      </c>
      <c r="AQ119" s="11">
        <f t="shared" si="124"/>
        <v>0</v>
      </c>
      <c r="AS119" s="11">
        <f t="shared" si="126"/>
        <v>0</v>
      </c>
      <c r="AU119" s="11">
        <f t="shared" si="126"/>
        <v>0</v>
      </c>
      <c r="AW119" s="11">
        <f t="shared" si="126"/>
        <v>0</v>
      </c>
      <c r="AY119" s="11">
        <f t="shared" si="126"/>
        <v>0</v>
      </c>
      <c r="BA119" s="11">
        <f t="shared" si="126"/>
        <v>0</v>
      </c>
      <c r="BC119" s="11">
        <f t="shared" si="126"/>
        <v>0</v>
      </c>
      <c r="BE119" s="11">
        <f t="shared" si="126"/>
        <v>0</v>
      </c>
      <c r="BG119" s="11">
        <f t="shared" si="126"/>
        <v>0</v>
      </c>
      <c r="BI119" s="11">
        <f t="shared" si="126"/>
        <v>0</v>
      </c>
      <c r="BK119" s="11">
        <f t="shared" si="126"/>
        <v>0</v>
      </c>
      <c r="BM119" s="11">
        <f t="shared" si="126"/>
        <v>0</v>
      </c>
      <c r="BN119" s="16">
        <f ca="1">SUMIF(D$2:$BM118,BN$2,D119:BM119)</f>
        <v>0</v>
      </c>
      <c r="BO119" s="16">
        <f t="shared" si="115"/>
        <v>0</v>
      </c>
    </row>
    <row r="120" spans="1:67" ht="15" customHeight="1" x14ac:dyDescent="0.25">
      <c r="B120" s="17" t="s">
        <v>113</v>
      </c>
      <c r="E120" s="11">
        <f t="shared" si="116"/>
        <v>0</v>
      </c>
      <c r="G120" s="11">
        <f t="shared" si="116"/>
        <v>0</v>
      </c>
      <c r="I120" s="11">
        <f t="shared" si="116"/>
        <v>0</v>
      </c>
      <c r="K120" s="11">
        <f t="shared" si="116"/>
        <v>0</v>
      </c>
      <c r="M120" s="11">
        <f t="shared" si="120"/>
        <v>0</v>
      </c>
      <c r="O120" s="11">
        <f t="shared" si="120"/>
        <v>0</v>
      </c>
      <c r="Q120" s="11">
        <f t="shared" si="120"/>
        <v>0</v>
      </c>
      <c r="S120" s="11">
        <f t="shared" si="120"/>
        <v>0</v>
      </c>
      <c r="U120" s="11">
        <f t="shared" si="120"/>
        <v>0</v>
      </c>
      <c r="W120" s="11">
        <f t="shared" si="120"/>
        <v>0</v>
      </c>
      <c r="Y120" s="11">
        <f t="shared" si="124"/>
        <v>0</v>
      </c>
      <c r="AA120" s="11">
        <f t="shared" si="124"/>
        <v>0</v>
      </c>
      <c r="AC120" s="11">
        <f t="shared" si="124"/>
        <v>0</v>
      </c>
      <c r="AE120" s="11">
        <f t="shared" si="124"/>
        <v>0</v>
      </c>
      <c r="AG120" s="11">
        <f t="shared" si="124"/>
        <v>0</v>
      </c>
      <c r="AI120" s="11">
        <f t="shared" si="124"/>
        <v>0</v>
      </c>
      <c r="AK120" s="11">
        <f t="shared" si="124"/>
        <v>0</v>
      </c>
      <c r="AM120" s="11">
        <f t="shared" si="124"/>
        <v>0</v>
      </c>
      <c r="AO120" s="11">
        <f t="shared" si="124"/>
        <v>0</v>
      </c>
      <c r="AQ120" s="11">
        <f t="shared" si="124"/>
        <v>0</v>
      </c>
      <c r="AS120" s="11">
        <f t="shared" si="126"/>
        <v>0</v>
      </c>
      <c r="AU120" s="11">
        <f t="shared" si="126"/>
        <v>0</v>
      </c>
      <c r="AW120" s="11">
        <f t="shared" si="126"/>
        <v>0</v>
      </c>
      <c r="AY120" s="11">
        <f t="shared" si="126"/>
        <v>0</v>
      </c>
      <c r="BA120" s="11">
        <f t="shared" si="126"/>
        <v>0</v>
      </c>
      <c r="BC120" s="11">
        <f t="shared" si="126"/>
        <v>0</v>
      </c>
      <c r="BE120" s="11">
        <f t="shared" si="126"/>
        <v>0</v>
      </c>
      <c r="BG120" s="11">
        <f t="shared" si="126"/>
        <v>0</v>
      </c>
      <c r="BI120" s="11">
        <f t="shared" si="126"/>
        <v>0</v>
      </c>
      <c r="BK120" s="11">
        <f t="shared" si="126"/>
        <v>0</v>
      </c>
      <c r="BM120" s="11">
        <f t="shared" si="126"/>
        <v>0</v>
      </c>
      <c r="BN120" s="16"/>
    </row>
    <row r="121" spans="1:67" ht="15" customHeight="1" x14ac:dyDescent="0.25">
      <c r="B121" s="17" t="s">
        <v>114</v>
      </c>
      <c r="C121" s="19"/>
      <c r="E121" s="11">
        <f t="shared" si="116"/>
        <v>0</v>
      </c>
      <c r="G121" s="11">
        <f t="shared" si="116"/>
        <v>0</v>
      </c>
      <c r="I121" s="11">
        <f t="shared" si="116"/>
        <v>0</v>
      </c>
      <c r="K121" s="11">
        <f t="shared" si="116"/>
        <v>0</v>
      </c>
      <c r="M121" s="11">
        <f t="shared" si="120"/>
        <v>0</v>
      </c>
      <c r="O121" s="11">
        <f t="shared" si="120"/>
        <v>0</v>
      </c>
      <c r="Q121" s="11">
        <f t="shared" si="120"/>
        <v>0</v>
      </c>
      <c r="S121" s="11">
        <f t="shared" si="120"/>
        <v>0</v>
      </c>
      <c r="U121" s="11">
        <f t="shared" si="120"/>
        <v>0</v>
      </c>
      <c r="W121" s="11">
        <f t="shared" si="120"/>
        <v>0</v>
      </c>
      <c r="Y121" s="11">
        <f t="shared" si="124"/>
        <v>0</v>
      </c>
      <c r="AA121" s="11">
        <f t="shared" si="124"/>
        <v>0</v>
      </c>
      <c r="AC121" s="11">
        <f t="shared" si="124"/>
        <v>0</v>
      </c>
      <c r="AE121" s="11">
        <f t="shared" si="124"/>
        <v>0</v>
      </c>
      <c r="AG121" s="11">
        <f t="shared" si="124"/>
        <v>0</v>
      </c>
      <c r="AI121" s="11">
        <f t="shared" si="124"/>
        <v>0</v>
      </c>
      <c r="AK121" s="11">
        <f t="shared" si="124"/>
        <v>0</v>
      </c>
      <c r="AM121" s="11">
        <f t="shared" si="124"/>
        <v>0</v>
      </c>
      <c r="AO121" s="11">
        <f t="shared" si="124"/>
        <v>0</v>
      </c>
      <c r="AQ121" s="11">
        <f t="shared" si="124"/>
        <v>0</v>
      </c>
      <c r="AS121" s="11">
        <f t="shared" si="126"/>
        <v>0</v>
      </c>
      <c r="AU121" s="11">
        <f t="shared" si="126"/>
        <v>0</v>
      </c>
      <c r="AW121" s="11">
        <f t="shared" si="126"/>
        <v>0</v>
      </c>
      <c r="AY121" s="11">
        <f t="shared" si="126"/>
        <v>0</v>
      </c>
      <c r="BA121" s="11">
        <f t="shared" si="126"/>
        <v>0</v>
      </c>
      <c r="BC121" s="11">
        <f t="shared" si="126"/>
        <v>0</v>
      </c>
      <c r="BE121" s="11">
        <f t="shared" si="126"/>
        <v>0</v>
      </c>
      <c r="BG121" s="11">
        <f t="shared" si="126"/>
        <v>0</v>
      </c>
      <c r="BI121" s="11">
        <f t="shared" si="126"/>
        <v>0</v>
      </c>
      <c r="BK121" s="11">
        <f t="shared" si="126"/>
        <v>0</v>
      </c>
      <c r="BM121" s="11">
        <f t="shared" si="126"/>
        <v>0</v>
      </c>
    </row>
    <row r="122" spans="1:67" ht="15" customHeight="1" x14ac:dyDescent="0.25">
      <c r="B122" s="17" t="s">
        <v>115</v>
      </c>
      <c r="C122" s="19"/>
      <c r="E122" s="11">
        <f t="shared" si="116"/>
        <v>0</v>
      </c>
      <c r="G122" s="11">
        <f t="shared" si="116"/>
        <v>0</v>
      </c>
      <c r="I122" s="11">
        <f t="shared" si="116"/>
        <v>0</v>
      </c>
      <c r="K122" s="11">
        <f t="shared" si="116"/>
        <v>0</v>
      </c>
      <c r="M122" s="11">
        <f t="shared" si="120"/>
        <v>0</v>
      </c>
      <c r="O122" s="11">
        <f t="shared" si="120"/>
        <v>0</v>
      </c>
      <c r="Q122" s="11">
        <f t="shared" si="120"/>
        <v>0</v>
      </c>
      <c r="S122" s="11">
        <f t="shared" si="120"/>
        <v>0</v>
      </c>
      <c r="U122" s="11">
        <f t="shared" si="120"/>
        <v>0</v>
      </c>
      <c r="W122" s="11">
        <f t="shared" si="120"/>
        <v>0</v>
      </c>
      <c r="Y122" s="11">
        <f t="shared" si="124"/>
        <v>0</v>
      </c>
      <c r="AA122" s="11">
        <f t="shared" si="124"/>
        <v>0</v>
      </c>
      <c r="AC122" s="11">
        <f t="shared" si="124"/>
        <v>0</v>
      </c>
      <c r="AE122" s="11">
        <f t="shared" si="124"/>
        <v>0</v>
      </c>
      <c r="AG122" s="11">
        <f t="shared" si="124"/>
        <v>0</v>
      </c>
      <c r="AI122" s="11">
        <f t="shared" si="124"/>
        <v>0</v>
      </c>
      <c r="AK122" s="11">
        <f t="shared" si="124"/>
        <v>0</v>
      </c>
      <c r="AM122" s="11">
        <f t="shared" si="124"/>
        <v>0</v>
      </c>
      <c r="AO122" s="11">
        <f t="shared" si="124"/>
        <v>0</v>
      </c>
      <c r="AQ122" s="11">
        <f t="shared" si="124"/>
        <v>0</v>
      </c>
      <c r="AS122" s="11">
        <f t="shared" si="126"/>
        <v>0</v>
      </c>
      <c r="AU122" s="11">
        <f t="shared" si="126"/>
        <v>0</v>
      </c>
      <c r="AW122" s="11">
        <f t="shared" si="126"/>
        <v>0</v>
      </c>
      <c r="AY122" s="11">
        <f t="shared" si="126"/>
        <v>0</v>
      </c>
      <c r="BA122" s="11">
        <f t="shared" si="126"/>
        <v>0</v>
      </c>
      <c r="BC122" s="11">
        <f t="shared" si="126"/>
        <v>0</v>
      </c>
      <c r="BE122" s="11">
        <f t="shared" si="126"/>
        <v>0</v>
      </c>
      <c r="BG122" s="11">
        <f t="shared" si="126"/>
        <v>0</v>
      </c>
      <c r="BI122" s="11">
        <f t="shared" si="126"/>
        <v>0</v>
      </c>
      <c r="BK122" s="11">
        <f t="shared" si="126"/>
        <v>0</v>
      </c>
      <c r="BM122" s="11">
        <f t="shared" si="126"/>
        <v>0</v>
      </c>
    </row>
    <row r="123" spans="1:67" ht="15" customHeight="1" x14ac:dyDescent="0.25">
      <c r="B123" s="17" t="s">
        <v>116</v>
      </c>
      <c r="E123" s="11">
        <f t="shared" si="116"/>
        <v>0</v>
      </c>
      <c r="G123" s="11">
        <f t="shared" si="116"/>
        <v>0</v>
      </c>
      <c r="I123" s="11">
        <f t="shared" si="116"/>
        <v>0</v>
      </c>
      <c r="K123" s="11">
        <f t="shared" si="116"/>
        <v>0</v>
      </c>
      <c r="M123" s="11">
        <f t="shared" si="120"/>
        <v>0</v>
      </c>
      <c r="O123" s="11">
        <f t="shared" si="120"/>
        <v>0</v>
      </c>
      <c r="Q123" s="11">
        <f t="shared" si="120"/>
        <v>0</v>
      </c>
      <c r="S123" s="11">
        <f t="shared" si="120"/>
        <v>0</v>
      </c>
      <c r="U123" s="11">
        <f t="shared" si="120"/>
        <v>0</v>
      </c>
      <c r="W123" s="11">
        <f t="shared" si="120"/>
        <v>0</v>
      </c>
      <c r="Y123" s="11">
        <f t="shared" si="124"/>
        <v>0</v>
      </c>
      <c r="AA123" s="11">
        <f t="shared" si="124"/>
        <v>0</v>
      </c>
      <c r="AC123" s="11">
        <f t="shared" si="124"/>
        <v>0</v>
      </c>
      <c r="AE123" s="11">
        <f t="shared" si="124"/>
        <v>0</v>
      </c>
      <c r="AG123" s="11">
        <f t="shared" si="124"/>
        <v>0</v>
      </c>
      <c r="AI123" s="11">
        <f t="shared" si="124"/>
        <v>0</v>
      </c>
      <c r="AK123" s="11">
        <f t="shared" si="124"/>
        <v>0</v>
      </c>
      <c r="AM123" s="11">
        <f t="shared" si="124"/>
        <v>0</v>
      </c>
      <c r="AO123" s="11">
        <f t="shared" si="124"/>
        <v>0</v>
      </c>
      <c r="AQ123" s="11">
        <f t="shared" si="124"/>
        <v>0</v>
      </c>
      <c r="AS123" s="11">
        <f t="shared" si="126"/>
        <v>0</v>
      </c>
      <c r="AU123" s="11">
        <f t="shared" si="126"/>
        <v>0</v>
      </c>
      <c r="AW123" s="11">
        <f t="shared" si="126"/>
        <v>0</v>
      </c>
      <c r="AY123" s="11">
        <f t="shared" si="126"/>
        <v>0</v>
      </c>
      <c r="BA123" s="11">
        <f t="shared" si="126"/>
        <v>0</v>
      </c>
      <c r="BC123" s="11">
        <f t="shared" si="126"/>
        <v>0</v>
      </c>
      <c r="BE123" s="11">
        <f t="shared" si="126"/>
        <v>0</v>
      </c>
      <c r="BG123" s="11">
        <f t="shared" si="126"/>
        <v>0</v>
      </c>
      <c r="BI123" s="11">
        <f t="shared" si="126"/>
        <v>0</v>
      </c>
      <c r="BK123" s="11">
        <f t="shared" si="126"/>
        <v>0</v>
      </c>
      <c r="BM123" s="11">
        <f t="shared" si="126"/>
        <v>0</v>
      </c>
    </row>
    <row r="124" spans="1:67" ht="15" customHeight="1" x14ac:dyDescent="0.25">
      <c r="B124" s="17" t="s">
        <v>116</v>
      </c>
      <c r="C124" s="19"/>
      <c r="E124" s="11">
        <f t="shared" si="116"/>
        <v>0</v>
      </c>
      <c r="G124" s="11">
        <f t="shared" si="116"/>
        <v>0</v>
      </c>
      <c r="I124" s="11">
        <f t="shared" si="116"/>
        <v>0</v>
      </c>
      <c r="K124" s="11">
        <f t="shared" si="116"/>
        <v>0</v>
      </c>
      <c r="M124" s="11">
        <f t="shared" si="120"/>
        <v>0</v>
      </c>
      <c r="O124" s="11">
        <f t="shared" si="120"/>
        <v>0</v>
      </c>
      <c r="Q124" s="11">
        <f t="shared" si="120"/>
        <v>0</v>
      </c>
      <c r="S124" s="11">
        <f t="shared" si="120"/>
        <v>0</v>
      </c>
      <c r="U124" s="11">
        <f t="shared" si="120"/>
        <v>0</v>
      </c>
      <c r="W124" s="11">
        <f t="shared" si="120"/>
        <v>0</v>
      </c>
      <c r="Y124" s="11">
        <f t="shared" si="124"/>
        <v>0</v>
      </c>
      <c r="AA124" s="11">
        <f t="shared" si="124"/>
        <v>0</v>
      </c>
      <c r="AC124" s="11">
        <f t="shared" si="124"/>
        <v>0</v>
      </c>
      <c r="AE124" s="11">
        <f t="shared" si="124"/>
        <v>0</v>
      </c>
      <c r="AG124" s="11">
        <f t="shared" si="124"/>
        <v>0</v>
      </c>
      <c r="AI124" s="11">
        <f t="shared" si="124"/>
        <v>0</v>
      </c>
      <c r="AK124" s="11">
        <f t="shared" si="124"/>
        <v>0</v>
      </c>
      <c r="AM124" s="11">
        <f t="shared" si="124"/>
        <v>0</v>
      </c>
      <c r="AO124" s="11">
        <f t="shared" si="124"/>
        <v>0</v>
      </c>
      <c r="AQ124" s="11">
        <f t="shared" si="124"/>
        <v>0</v>
      </c>
      <c r="AS124" s="11">
        <f t="shared" si="126"/>
        <v>0</v>
      </c>
      <c r="AU124" s="11">
        <f t="shared" si="126"/>
        <v>0</v>
      </c>
      <c r="AW124" s="11">
        <f t="shared" si="126"/>
        <v>0</v>
      </c>
      <c r="AY124" s="11">
        <f t="shared" si="126"/>
        <v>0</v>
      </c>
      <c r="BA124" s="11">
        <f t="shared" si="126"/>
        <v>0</v>
      </c>
      <c r="BC124" s="11">
        <f t="shared" si="126"/>
        <v>0</v>
      </c>
      <c r="BE124" s="11">
        <f t="shared" si="126"/>
        <v>0</v>
      </c>
      <c r="BG124" s="11">
        <f t="shared" si="126"/>
        <v>0</v>
      </c>
      <c r="BI124" s="11">
        <f t="shared" si="126"/>
        <v>0</v>
      </c>
      <c r="BK124" s="11">
        <f t="shared" si="126"/>
        <v>0</v>
      </c>
      <c r="BM124" s="11">
        <f t="shared" si="126"/>
        <v>0</v>
      </c>
    </row>
    <row r="125" spans="1:67" ht="15" customHeight="1" x14ac:dyDescent="0.25">
      <c r="B125" s="17" t="s">
        <v>117</v>
      </c>
      <c r="C125" s="19"/>
      <c r="E125" s="11">
        <f t="shared" si="116"/>
        <v>0</v>
      </c>
      <c r="G125" s="11">
        <f t="shared" si="116"/>
        <v>0</v>
      </c>
      <c r="I125" s="11">
        <f t="shared" si="116"/>
        <v>0</v>
      </c>
      <c r="K125" s="11">
        <f t="shared" si="116"/>
        <v>0</v>
      </c>
      <c r="M125" s="11">
        <f t="shared" si="120"/>
        <v>0</v>
      </c>
      <c r="O125" s="11">
        <f t="shared" si="120"/>
        <v>0</v>
      </c>
      <c r="Q125" s="11">
        <f t="shared" si="120"/>
        <v>0</v>
      </c>
      <c r="S125" s="11">
        <f t="shared" si="120"/>
        <v>0</v>
      </c>
      <c r="U125" s="11">
        <f t="shared" si="120"/>
        <v>0</v>
      </c>
      <c r="W125" s="11">
        <f t="shared" si="120"/>
        <v>0</v>
      </c>
      <c r="Y125" s="11">
        <f t="shared" si="124"/>
        <v>0</v>
      </c>
      <c r="AA125" s="11">
        <f t="shared" si="124"/>
        <v>0</v>
      </c>
      <c r="AC125" s="11">
        <f t="shared" si="124"/>
        <v>0</v>
      </c>
      <c r="AE125" s="11">
        <f t="shared" si="124"/>
        <v>0</v>
      </c>
      <c r="AG125" s="11">
        <f t="shared" si="124"/>
        <v>0</v>
      </c>
      <c r="AI125" s="11">
        <f t="shared" si="124"/>
        <v>0</v>
      </c>
      <c r="AK125" s="11">
        <f t="shared" si="124"/>
        <v>0</v>
      </c>
      <c r="AM125" s="11">
        <f t="shared" si="124"/>
        <v>0</v>
      </c>
      <c r="AO125" s="11">
        <f t="shared" si="124"/>
        <v>0</v>
      </c>
      <c r="AQ125" s="11">
        <f t="shared" si="124"/>
        <v>0</v>
      </c>
      <c r="AS125" s="11">
        <f t="shared" si="126"/>
        <v>0</v>
      </c>
      <c r="AU125" s="11">
        <f t="shared" si="126"/>
        <v>0</v>
      </c>
      <c r="AW125" s="11">
        <f t="shared" si="126"/>
        <v>0</v>
      </c>
      <c r="AY125" s="11">
        <f t="shared" si="126"/>
        <v>0</v>
      </c>
      <c r="BA125" s="11">
        <f t="shared" si="126"/>
        <v>0</v>
      </c>
      <c r="BC125" s="11">
        <f t="shared" si="126"/>
        <v>0</v>
      </c>
      <c r="BE125" s="11">
        <f t="shared" si="126"/>
        <v>0</v>
      </c>
      <c r="BG125" s="11">
        <f t="shared" si="126"/>
        <v>0</v>
      </c>
      <c r="BI125" s="11">
        <f t="shared" si="126"/>
        <v>0</v>
      </c>
      <c r="BK125" s="11">
        <f t="shared" si="126"/>
        <v>0</v>
      </c>
      <c r="BM125" s="11">
        <f t="shared" si="126"/>
        <v>0</v>
      </c>
    </row>
    <row r="126" spans="1:67" ht="15" customHeight="1" x14ac:dyDescent="0.25">
      <c r="B126" s="17" t="s">
        <v>118</v>
      </c>
      <c r="C126" s="19"/>
      <c r="E126" s="11">
        <f t="shared" si="116"/>
        <v>0</v>
      </c>
      <c r="G126" s="11">
        <f t="shared" si="116"/>
        <v>0</v>
      </c>
      <c r="I126" s="11">
        <f t="shared" si="116"/>
        <v>0</v>
      </c>
      <c r="K126" s="11">
        <f t="shared" si="116"/>
        <v>0</v>
      </c>
      <c r="M126" s="11">
        <f t="shared" si="120"/>
        <v>0</v>
      </c>
      <c r="O126" s="11">
        <f t="shared" si="120"/>
        <v>0</v>
      </c>
      <c r="Q126" s="11">
        <f t="shared" si="120"/>
        <v>0</v>
      </c>
      <c r="S126" s="11">
        <f t="shared" si="120"/>
        <v>0</v>
      </c>
      <c r="U126" s="11">
        <f t="shared" si="120"/>
        <v>0</v>
      </c>
      <c r="W126" s="11">
        <f t="shared" si="120"/>
        <v>0</v>
      </c>
      <c r="Y126" s="11">
        <f t="shared" si="124"/>
        <v>0</v>
      </c>
      <c r="AA126" s="11">
        <f t="shared" si="124"/>
        <v>0</v>
      </c>
      <c r="AC126" s="11">
        <f t="shared" si="124"/>
        <v>0</v>
      </c>
      <c r="AE126" s="11">
        <f t="shared" si="124"/>
        <v>0</v>
      </c>
      <c r="AG126" s="11">
        <f t="shared" si="124"/>
        <v>0</v>
      </c>
      <c r="AI126" s="11">
        <f t="shared" si="124"/>
        <v>0</v>
      </c>
      <c r="AK126" s="11">
        <f t="shared" si="124"/>
        <v>0</v>
      </c>
      <c r="AM126" s="11">
        <f t="shared" si="124"/>
        <v>0</v>
      </c>
      <c r="AO126" s="11">
        <f t="shared" si="124"/>
        <v>0</v>
      </c>
      <c r="AQ126" s="11">
        <f t="shared" si="124"/>
        <v>0</v>
      </c>
      <c r="AS126" s="11">
        <f t="shared" si="126"/>
        <v>0</v>
      </c>
      <c r="AU126" s="11">
        <f t="shared" si="126"/>
        <v>0</v>
      </c>
      <c r="AW126" s="11">
        <f t="shared" si="126"/>
        <v>0</v>
      </c>
      <c r="AY126" s="11">
        <f t="shared" si="126"/>
        <v>0</v>
      </c>
      <c r="BA126" s="11">
        <f t="shared" si="126"/>
        <v>0</v>
      </c>
      <c r="BC126" s="11">
        <f t="shared" si="126"/>
        <v>0</v>
      </c>
      <c r="BE126" s="11">
        <f t="shared" si="126"/>
        <v>0</v>
      </c>
      <c r="BG126" s="11">
        <f t="shared" si="126"/>
        <v>0</v>
      </c>
      <c r="BI126" s="11">
        <f t="shared" si="126"/>
        <v>0</v>
      </c>
      <c r="BK126" s="11">
        <f t="shared" si="126"/>
        <v>0</v>
      </c>
      <c r="BM126" s="11">
        <f t="shared" si="126"/>
        <v>0</v>
      </c>
    </row>
    <row r="127" spans="1:67" ht="15" customHeight="1" x14ac:dyDescent="0.25">
      <c r="B127" s="17" t="s">
        <v>119</v>
      </c>
      <c r="C127" s="19"/>
      <c r="E127" s="11">
        <f t="shared" si="116"/>
        <v>0</v>
      </c>
      <c r="G127" s="11">
        <f t="shared" si="116"/>
        <v>0</v>
      </c>
      <c r="I127" s="11">
        <f t="shared" si="116"/>
        <v>0</v>
      </c>
      <c r="K127" s="11">
        <f t="shared" si="116"/>
        <v>0</v>
      </c>
      <c r="M127" s="11">
        <f t="shared" si="120"/>
        <v>0</v>
      </c>
      <c r="O127" s="11">
        <f t="shared" si="120"/>
        <v>0</v>
      </c>
      <c r="Q127" s="11">
        <f t="shared" si="120"/>
        <v>0</v>
      </c>
      <c r="S127" s="11">
        <f t="shared" si="120"/>
        <v>0</v>
      </c>
      <c r="U127" s="11">
        <f t="shared" si="120"/>
        <v>0</v>
      </c>
      <c r="W127" s="11">
        <f t="shared" si="120"/>
        <v>0</v>
      </c>
      <c r="Y127" s="11">
        <f t="shared" si="124"/>
        <v>0</v>
      </c>
      <c r="AA127" s="11">
        <f t="shared" si="124"/>
        <v>0</v>
      </c>
      <c r="AC127" s="11">
        <f t="shared" si="124"/>
        <v>0</v>
      </c>
      <c r="AE127" s="11">
        <f t="shared" si="124"/>
        <v>0</v>
      </c>
      <c r="AG127" s="11">
        <f t="shared" si="124"/>
        <v>0</v>
      </c>
      <c r="AI127" s="11">
        <f t="shared" si="124"/>
        <v>0</v>
      </c>
      <c r="AK127" s="11">
        <f t="shared" si="124"/>
        <v>0</v>
      </c>
      <c r="AM127" s="11">
        <f t="shared" si="124"/>
        <v>0</v>
      </c>
      <c r="AO127" s="11">
        <f t="shared" si="124"/>
        <v>0</v>
      </c>
      <c r="AQ127" s="11">
        <f t="shared" si="124"/>
        <v>0</v>
      </c>
      <c r="AS127" s="11">
        <f t="shared" si="126"/>
        <v>0</v>
      </c>
      <c r="AU127" s="11">
        <f t="shared" si="126"/>
        <v>0</v>
      </c>
      <c r="AW127" s="11">
        <f t="shared" si="126"/>
        <v>0</v>
      </c>
      <c r="AY127" s="11">
        <f t="shared" si="126"/>
        <v>0</v>
      </c>
      <c r="BA127" s="11">
        <f t="shared" si="126"/>
        <v>0</v>
      </c>
      <c r="BC127" s="11">
        <f t="shared" si="126"/>
        <v>0</v>
      </c>
      <c r="BE127" s="11">
        <f t="shared" si="126"/>
        <v>0</v>
      </c>
      <c r="BG127" s="11">
        <f t="shared" si="126"/>
        <v>0</v>
      </c>
      <c r="BI127" s="11">
        <f t="shared" si="126"/>
        <v>0</v>
      </c>
      <c r="BK127" s="11">
        <f t="shared" si="126"/>
        <v>0</v>
      </c>
      <c r="BM127" s="11">
        <f t="shared" si="126"/>
        <v>0</v>
      </c>
    </row>
    <row r="128" spans="1:67" ht="15" customHeight="1" x14ac:dyDescent="0.25">
      <c r="B128" s="17" t="s">
        <v>120</v>
      </c>
      <c r="C128" s="19"/>
      <c r="E128" s="11">
        <f t="shared" si="116"/>
        <v>0</v>
      </c>
      <c r="G128" s="11">
        <f t="shared" si="116"/>
        <v>0</v>
      </c>
      <c r="I128" s="11">
        <f t="shared" si="116"/>
        <v>0</v>
      </c>
      <c r="K128" s="11">
        <f t="shared" si="116"/>
        <v>0</v>
      </c>
      <c r="M128" s="11">
        <f t="shared" si="120"/>
        <v>0</v>
      </c>
      <c r="O128" s="11">
        <f t="shared" si="120"/>
        <v>0</v>
      </c>
      <c r="Q128" s="11">
        <f t="shared" si="120"/>
        <v>0</v>
      </c>
      <c r="S128" s="11">
        <f t="shared" si="120"/>
        <v>0</v>
      </c>
      <c r="U128" s="11">
        <f t="shared" si="120"/>
        <v>0</v>
      </c>
      <c r="W128" s="11">
        <f t="shared" si="120"/>
        <v>0</v>
      </c>
      <c r="Y128" s="11">
        <f t="shared" si="124"/>
        <v>0</v>
      </c>
      <c r="AA128" s="11">
        <f t="shared" si="124"/>
        <v>0</v>
      </c>
      <c r="AC128" s="11">
        <f t="shared" si="124"/>
        <v>0</v>
      </c>
      <c r="AE128" s="11">
        <f t="shared" si="124"/>
        <v>0</v>
      </c>
      <c r="AG128" s="11">
        <f t="shared" si="124"/>
        <v>0</v>
      </c>
      <c r="AI128" s="11">
        <f t="shared" si="124"/>
        <v>0</v>
      </c>
      <c r="AK128" s="11">
        <f t="shared" si="124"/>
        <v>0</v>
      </c>
      <c r="AM128" s="11">
        <f t="shared" si="124"/>
        <v>0</v>
      </c>
      <c r="AO128" s="11">
        <f t="shared" si="124"/>
        <v>0</v>
      </c>
      <c r="AQ128" s="11">
        <f t="shared" si="124"/>
        <v>0</v>
      </c>
      <c r="AS128" s="11">
        <f t="shared" si="126"/>
        <v>0</v>
      </c>
      <c r="AU128" s="11">
        <f t="shared" si="126"/>
        <v>0</v>
      </c>
      <c r="AW128" s="11">
        <f t="shared" si="126"/>
        <v>0</v>
      </c>
      <c r="AY128" s="11">
        <f t="shared" si="126"/>
        <v>0</v>
      </c>
      <c r="BA128" s="11">
        <f t="shared" si="126"/>
        <v>0</v>
      </c>
      <c r="BC128" s="11">
        <f t="shared" si="126"/>
        <v>0</v>
      </c>
      <c r="BE128" s="11">
        <f t="shared" si="126"/>
        <v>0</v>
      </c>
      <c r="BG128" s="11">
        <f t="shared" si="126"/>
        <v>0</v>
      </c>
      <c r="BI128" s="11">
        <f t="shared" si="126"/>
        <v>0</v>
      </c>
      <c r="BK128" s="11">
        <f t="shared" si="126"/>
        <v>0</v>
      </c>
      <c r="BM128" s="11">
        <f t="shared" si="126"/>
        <v>0</v>
      </c>
    </row>
    <row r="129" spans="1:68" ht="15" customHeight="1" x14ac:dyDescent="0.25">
      <c r="B129" s="17" t="s">
        <v>121</v>
      </c>
      <c r="E129" s="11">
        <f t="shared" si="116"/>
        <v>0</v>
      </c>
      <c r="G129" s="11">
        <f t="shared" si="116"/>
        <v>0</v>
      </c>
      <c r="I129" s="11">
        <f t="shared" si="116"/>
        <v>0</v>
      </c>
      <c r="K129" s="11">
        <f t="shared" si="116"/>
        <v>0</v>
      </c>
      <c r="M129" s="11">
        <f t="shared" si="120"/>
        <v>0</v>
      </c>
      <c r="O129" s="11">
        <f t="shared" si="120"/>
        <v>0</v>
      </c>
      <c r="Q129" s="11">
        <f t="shared" si="120"/>
        <v>0</v>
      </c>
      <c r="S129" s="11">
        <f t="shared" si="120"/>
        <v>0</v>
      </c>
      <c r="U129" s="11">
        <f t="shared" si="120"/>
        <v>0</v>
      </c>
      <c r="W129" s="11">
        <f t="shared" si="120"/>
        <v>0</v>
      </c>
      <c r="Y129" s="11">
        <f t="shared" si="124"/>
        <v>0</v>
      </c>
      <c r="AA129" s="11">
        <f t="shared" si="124"/>
        <v>0</v>
      </c>
      <c r="AC129" s="11">
        <f t="shared" si="124"/>
        <v>0</v>
      </c>
      <c r="AE129" s="11">
        <f t="shared" si="124"/>
        <v>0</v>
      </c>
      <c r="AG129" s="11">
        <f t="shared" si="124"/>
        <v>0</v>
      </c>
      <c r="AI129" s="11">
        <f t="shared" si="124"/>
        <v>0</v>
      </c>
      <c r="AK129" s="11">
        <f t="shared" si="124"/>
        <v>0</v>
      </c>
      <c r="AM129" s="11">
        <f t="shared" si="124"/>
        <v>0</v>
      </c>
      <c r="AO129" s="11">
        <f t="shared" si="124"/>
        <v>0</v>
      </c>
      <c r="AQ129" s="11">
        <f t="shared" si="124"/>
        <v>0</v>
      </c>
      <c r="AS129" s="11">
        <f t="shared" si="126"/>
        <v>0</v>
      </c>
      <c r="AU129" s="11">
        <f t="shared" si="126"/>
        <v>0</v>
      </c>
      <c r="AW129" s="11">
        <f t="shared" si="126"/>
        <v>0</v>
      </c>
      <c r="AY129" s="11">
        <f t="shared" si="126"/>
        <v>0</v>
      </c>
      <c r="BA129" s="11">
        <f t="shared" si="126"/>
        <v>0</v>
      </c>
      <c r="BC129" s="11">
        <f t="shared" si="126"/>
        <v>0</v>
      </c>
      <c r="BE129" s="11">
        <f t="shared" si="126"/>
        <v>0</v>
      </c>
      <c r="BG129" s="11">
        <f t="shared" si="126"/>
        <v>0</v>
      </c>
      <c r="BI129" s="11">
        <f t="shared" si="126"/>
        <v>0</v>
      </c>
      <c r="BK129" s="11">
        <f t="shared" si="126"/>
        <v>0</v>
      </c>
      <c r="BM129" s="11">
        <f t="shared" si="126"/>
        <v>0</v>
      </c>
    </row>
    <row r="130" spans="1:68" ht="15" customHeight="1" x14ac:dyDescent="0.25">
      <c r="B130" s="17" t="s">
        <v>122</v>
      </c>
      <c r="C130" s="19"/>
      <c r="E130" s="11">
        <f t="shared" si="116"/>
        <v>0</v>
      </c>
      <c r="G130" s="11">
        <f t="shared" si="116"/>
        <v>0</v>
      </c>
      <c r="I130" s="11">
        <f t="shared" si="116"/>
        <v>0</v>
      </c>
      <c r="K130" s="11">
        <f t="shared" si="116"/>
        <v>0</v>
      </c>
      <c r="M130" s="11">
        <f t="shared" si="120"/>
        <v>0</v>
      </c>
      <c r="O130" s="11">
        <f t="shared" si="120"/>
        <v>0</v>
      </c>
      <c r="Q130" s="11">
        <f t="shared" si="120"/>
        <v>0</v>
      </c>
      <c r="S130" s="11">
        <f t="shared" si="120"/>
        <v>0</v>
      </c>
      <c r="U130" s="11">
        <f t="shared" si="120"/>
        <v>0</v>
      </c>
      <c r="W130" s="11">
        <f t="shared" si="120"/>
        <v>0</v>
      </c>
      <c r="Y130" s="11">
        <f t="shared" si="124"/>
        <v>0</v>
      </c>
      <c r="AA130" s="11">
        <f t="shared" si="124"/>
        <v>0</v>
      </c>
      <c r="AC130" s="11">
        <f t="shared" si="124"/>
        <v>0</v>
      </c>
      <c r="AE130" s="11">
        <f t="shared" si="124"/>
        <v>0</v>
      </c>
      <c r="AG130" s="11">
        <f t="shared" si="124"/>
        <v>0</v>
      </c>
      <c r="AI130" s="11">
        <f t="shared" si="124"/>
        <v>0</v>
      </c>
      <c r="AK130" s="11">
        <f t="shared" si="124"/>
        <v>0</v>
      </c>
      <c r="AM130" s="11">
        <f t="shared" si="124"/>
        <v>0</v>
      </c>
      <c r="AO130" s="11">
        <f t="shared" si="124"/>
        <v>0</v>
      </c>
      <c r="AQ130" s="11">
        <f t="shared" si="124"/>
        <v>0</v>
      </c>
      <c r="AS130" s="11">
        <f t="shared" si="126"/>
        <v>0</v>
      </c>
      <c r="AU130" s="11">
        <f t="shared" si="126"/>
        <v>0</v>
      </c>
      <c r="AW130" s="11">
        <f t="shared" si="126"/>
        <v>0</v>
      </c>
      <c r="AY130" s="11">
        <f t="shared" si="126"/>
        <v>0</v>
      </c>
      <c r="BA130" s="11">
        <f t="shared" si="126"/>
        <v>0</v>
      </c>
      <c r="BC130" s="11">
        <f t="shared" si="126"/>
        <v>0</v>
      </c>
      <c r="BE130" s="11">
        <f t="shared" si="126"/>
        <v>0</v>
      </c>
      <c r="BG130" s="11">
        <f t="shared" si="126"/>
        <v>0</v>
      </c>
      <c r="BI130" s="11">
        <f t="shared" si="126"/>
        <v>0</v>
      </c>
      <c r="BK130" s="11">
        <f t="shared" si="126"/>
        <v>0</v>
      </c>
      <c r="BM130" s="11">
        <f t="shared" si="126"/>
        <v>0</v>
      </c>
    </row>
    <row r="131" spans="1:68" ht="15" customHeight="1" x14ac:dyDescent="0.25">
      <c r="A131" s="11" t="s">
        <v>5</v>
      </c>
      <c r="B131" s="7" t="s">
        <v>130</v>
      </c>
      <c r="C131" s="77">
        <v>0.125</v>
      </c>
      <c r="E131" s="11">
        <f t="shared" si="116"/>
        <v>0</v>
      </c>
      <c r="G131" s="11">
        <f t="shared" si="116"/>
        <v>0</v>
      </c>
      <c r="I131" s="11">
        <f t="shared" si="116"/>
        <v>0</v>
      </c>
      <c r="K131" s="11">
        <f t="shared" si="116"/>
        <v>0</v>
      </c>
      <c r="M131" s="11">
        <f t="shared" si="120"/>
        <v>0</v>
      </c>
      <c r="O131" s="11">
        <f t="shared" si="120"/>
        <v>0</v>
      </c>
      <c r="Q131" s="11">
        <f t="shared" si="120"/>
        <v>0</v>
      </c>
      <c r="S131" s="11">
        <f t="shared" si="120"/>
        <v>0</v>
      </c>
      <c r="U131" s="11">
        <f t="shared" si="120"/>
        <v>0</v>
      </c>
      <c r="W131" s="11">
        <f t="shared" si="120"/>
        <v>0</v>
      </c>
      <c r="Y131" s="11">
        <f t="shared" si="124"/>
        <v>0</v>
      </c>
      <c r="AA131" s="11">
        <f t="shared" si="124"/>
        <v>0</v>
      </c>
      <c r="AC131" s="11">
        <f t="shared" si="124"/>
        <v>0</v>
      </c>
      <c r="AE131" s="11">
        <f t="shared" si="124"/>
        <v>0</v>
      </c>
      <c r="AG131" s="11">
        <f t="shared" si="124"/>
        <v>0</v>
      </c>
      <c r="AI131" s="11">
        <f t="shared" si="124"/>
        <v>0</v>
      </c>
      <c r="AK131" s="11">
        <f t="shared" si="124"/>
        <v>0</v>
      </c>
      <c r="AM131" s="11">
        <f t="shared" si="124"/>
        <v>0</v>
      </c>
      <c r="AO131" s="11">
        <f t="shared" si="124"/>
        <v>0</v>
      </c>
      <c r="AQ131" s="11">
        <f t="shared" si="124"/>
        <v>0</v>
      </c>
      <c r="AS131" s="11">
        <f t="shared" si="126"/>
        <v>0</v>
      </c>
      <c r="AU131" s="11">
        <f t="shared" si="126"/>
        <v>0</v>
      </c>
      <c r="AW131" s="11">
        <f t="shared" si="126"/>
        <v>0</v>
      </c>
      <c r="AY131" s="11">
        <f t="shared" si="126"/>
        <v>0</v>
      </c>
      <c r="BA131" s="11">
        <f t="shared" si="126"/>
        <v>0</v>
      </c>
      <c r="BC131" s="11">
        <f t="shared" si="126"/>
        <v>0</v>
      </c>
      <c r="BE131" s="11">
        <f t="shared" si="126"/>
        <v>0</v>
      </c>
      <c r="BG131" s="11">
        <f t="shared" si="126"/>
        <v>0</v>
      </c>
      <c r="BI131" s="11">
        <f t="shared" si="126"/>
        <v>0</v>
      </c>
      <c r="BK131" s="11">
        <f t="shared" si="126"/>
        <v>0</v>
      </c>
      <c r="BM131" s="11">
        <f t="shared" si="126"/>
        <v>0</v>
      </c>
      <c r="BN131" s="16">
        <f ca="1">SUMIF(D$2:$BM130,BN$2,D131:BM131)</f>
        <v>0</v>
      </c>
      <c r="BO131" s="16">
        <f ca="1">BN131/4</f>
        <v>0</v>
      </c>
    </row>
    <row r="132" spans="1:68" ht="15" customHeight="1" x14ac:dyDescent="0.25">
      <c r="B132" s="17" t="s">
        <v>123</v>
      </c>
      <c r="E132" s="11">
        <f t="shared" si="116"/>
        <v>0</v>
      </c>
      <c r="G132" s="11">
        <f t="shared" si="116"/>
        <v>0</v>
      </c>
      <c r="I132" s="11">
        <f t="shared" si="116"/>
        <v>0</v>
      </c>
      <c r="K132" s="11">
        <f t="shared" si="116"/>
        <v>0</v>
      </c>
      <c r="M132" s="11">
        <f t="shared" si="120"/>
        <v>0</v>
      </c>
      <c r="O132" s="11">
        <f t="shared" si="120"/>
        <v>0</v>
      </c>
      <c r="Q132" s="11">
        <f t="shared" si="120"/>
        <v>0</v>
      </c>
      <c r="S132" s="11">
        <f t="shared" si="120"/>
        <v>0</v>
      </c>
      <c r="U132" s="11">
        <f t="shared" si="120"/>
        <v>0</v>
      </c>
      <c r="W132" s="11">
        <f t="shared" si="120"/>
        <v>0</v>
      </c>
      <c r="Y132" s="11">
        <f t="shared" si="124"/>
        <v>0</v>
      </c>
      <c r="AA132" s="11">
        <f t="shared" si="124"/>
        <v>0</v>
      </c>
      <c r="AC132" s="11">
        <f t="shared" si="124"/>
        <v>0</v>
      </c>
      <c r="AE132" s="11">
        <f t="shared" si="124"/>
        <v>0</v>
      </c>
      <c r="AG132" s="11">
        <f t="shared" si="124"/>
        <v>0</v>
      </c>
      <c r="AI132" s="11">
        <f t="shared" si="124"/>
        <v>0</v>
      </c>
      <c r="AK132" s="11">
        <f t="shared" si="124"/>
        <v>0</v>
      </c>
      <c r="AM132" s="11">
        <f t="shared" si="124"/>
        <v>0</v>
      </c>
      <c r="AO132" s="11">
        <f t="shared" si="124"/>
        <v>0</v>
      </c>
      <c r="AQ132" s="11">
        <f t="shared" si="124"/>
        <v>0</v>
      </c>
      <c r="AS132" s="11">
        <f t="shared" si="126"/>
        <v>0</v>
      </c>
      <c r="AU132" s="11">
        <f t="shared" si="126"/>
        <v>0</v>
      </c>
      <c r="AW132" s="11">
        <f t="shared" si="126"/>
        <v>0</v>
      </c>
      <c r="AY132" s="11">
        <f t="shared" si="126"/>
        <v>0</v>
      </c>
      <c r="BA132" s="11">
        <f t="shared" si="126"/>
        <v>0</v>
      </c>
      <c r="BC132" s="11">
        <f t="shared" si="126"/>
        <v>0</v>
      </c>
      <c r="BE132" s="11">
        <f t="shared" si="126"/>
        <v>0</v>
      </c>
      <c r="BG132" s="11">
        <f t="shared" si="126"/>
        <v>0</v>
      </c>
      <c r="BI132" s="11">
        <f t="shared" si="126"/>
        <v>0</v>
      </c>
      <c r="BK132" s="11">
        <f t="shared" si="126"/>
        <v>0</v>
      </c>
      <c r="BM132" s="11">
        <f t="shared" si="126"/>
        <v>0</v>
      </c>
    </row>
    <row r="133" spans="1:68" ht="15" customHeight="1" x14ac:dyDescent="0.25">
      <c r="B133" s="17" t="s">
        <v>124</v>
      </c>
      <c r="E133" s="11">
        <f t="shared" si="116"/>
        <v>0</v>
      </c>
      <c r="G133" s="11">
        <f t="shared" si="116"/>
        <v>0</v>
      </c>
      <c r="I133" s="11">
        <f t="shared" si="116"/>
        <v>0</v>
      </c>
      <c r="K133" s="11">
        <f t="shared" si="116"/>
        <v>0</v>
      </c>
      <c r="M133" s="11">
        <f t="shared" si="120"/>
        <v>0</v>
      </c>
      <c r="O133" s="11">
        <f t="shared" si="120"/>
        <v>0</v>
      </c>
      <c r="Q133" s="11">
        <f t="shared" si="120"/>
        <v>0</v>
      </c>
      <c r="S133" s="11">
        <f t="shared" si="120"/>
        <v>0</v>
      </c>
      <c r="U133" s="11">
        <f t="shared" si="120"/>
        <v>0</v>
      </c>
      <c r="W133" s="11">
        <f t="shared" si="120"/>
        <v>0</v>
      </c>
      <c r="Y133" s="11">
        <f t="shared" si="124"/>
        <v>0</v>
      </c>
      <c r="AA133" s="11">
        <f t="shared" si="124"/>
        <v>0</v>
      </c>
      <c r="AC133" s="11">
        <f t="shared" si="124"/>
        <v>0</v>
      </c>
      <c r="AE133" s="11">
        <f t="shared" si="124"/>
        <v>0</v>
      </c>
      <c r="AG133" s="11">
        <f t="shared" si="124"/>
        <v>0</v>
      </c>
      <c r="AI133" s="11">
        <f t="shared" si="124"/>
        <v>0</v>
      </c>
      <c r="AK133" s="11">
        <f t="shared" si="124"/>
        <v>0</v>
      </c>
      <c r="AM133" s="11">
        <f t="shared" si="124"/>
        <v>0</v>
      </c>
      <c r="AO133" s="11">
        <f t="shared" si="124"/>
        <v>0</v>
      </c>
      <c r="AQ133" s="11">
        <f t="shared" si="124"/>
        <v>0</v>
      </c>
      <c r="AS133" s="11">
        <f t="shared" si="126"/>
        <v>0</v>
      </c>
      <c r="AU133" s="11">
        <f t="shared" si="126"/>
        <v>0</v>
      </c>
      <c r="AW133" s="11">
        <f t="shared" si="126"/>
        <v>0</v>
      </c>
      <c r="AY133" s="11">
        <f t="shared" si="126"/>
        <v>0</v>
      </c>
      <c r="BA133" s="11">
        <f t="shared" si="126"/>
        <v>0</v>
      </c>
      <c r="BC133" s="11">
        <f t="shared" si="126"/>
        <v>0</v>
      </c>
      <c r="BE133" s="11">
        <f t="shared" si="126"/>
        <v>0</v>
      </c>
      <c r="BG133" s="11">
        <f t="shared" si="126"/>
        <v>0</v>
      </c>
      <c r="BI133" s="11">
        <f t="shared" si="126"/>
        <v>0</v>
      </c>
      <c r="BK133" s="11">
        <f t="shared" si="126"/>
        <v>0</v>
      </c>
      <c r="BM133" s="11">
        <f t="shared" si="126"/>
        <v>0</v>
      </c>
    </row>
    <row r="134" spans="1:68" ht="15" customHeight="1" x14ac:dyDescent="0.25">
      <c r="B134" s="17" t="s">
        <v>125</v>
      </c>
      <c r="E134" s="11">
        <f t="shared" si="116"/>
        <v>0</v>
      </c>
      <c r="G134" s="11">
        <f t="shared" si="116"/>
        <v>0</v>
      </c>
      <c r="I134" s="11">
        <f t="shared" si="116"/>
        <v>0</v>
      </c>
      <c r="K134" s="11">
        <f t="shared" si="116"/>
        <v>0</v>
      </c>
      <c r="M134" s="11">
        <f t="shared" si="120"/>
        <v>0</v>
      </c>
      <c r="O134" s="11">
        <f t="shared" si="120"/>
        <v>0</v>
      </c>
      <c r="Q134" s="11">
        <f t="shared" si="120"/>
        <v>0</v>
      </c>
      <c r="S134" s="11">
        <f t="shared" si="120"/>
        <v>0</v>
      </c>
      <c r="U134" s="11">
        <f t="shared" si="120"/>
        <v>0</v>
      </c>
      <c r="W134" s="11">
        <f t="shared" si="120"/>
        <v>0</v>
      </c>
      <c r="Y134" s="11">
        <f t="shared" si="124"/>
        <v>0</v>
      </c>
      <c r="AA134" s="11">
        <f t="shared" si="124"/>
        <v>0</v>
      </c>
      <c r="AC134" s="11">
        <f t="shared" si="124"/>
        <v>0</v>
      </c>
      <c r="AE134" s="11">
        <f t="shared" si="124"/>
        <v>0</v>
      </c>
      <c r="AG134" s="11">
        <f t="shared" si="124"/>
        <v>0</v>
      </c>
      <c r="AI134" s="11">
        <f t="shared" si="124"/>
        <v>0</v>
      </c>
      <c r="AK134" s="11">
        <f t="shared" si="124"/>
        <v>0</v>
      </c>
      <c r="AM134" s="11">
        <f t="shared" si="124"/>
        <v>0</v>
      </c>
      <c r="AO134" s="11">
        <f t="shared" si="124"/>
        <v>0</v>
      </c>
      <c r="AQ134" s="11">
        <f t="shared" si="124"/>
        <v>0</v>
      </c>
      <c r="AS134" s="11">
        <f t="shared" si="126"/>
        <v>0</v>
      </c>
      <c r="AU134" s="11">
        <f t="shared" si="126"/>
        <v>0</v>
      </c>
      <c r="AW134" s="11">
        <f t="shared" si="126"/>
        <v>0</v>
      </c>
      <c r="AY134" s="11">
        <f t="shared" si="126"/>
        <v>0</v>
      </c>
      <c r="BA134" s="11">
        <f t="shared" si="126"/>
        <v>0</v>
      </c>
      <c r="BC134" s="11">
        <f t="shared" si="126"/>
        <v>0</v>
      </c>
      <c r="BE134" s="11">
        <f t="shared" si="126"/>
        <v>0</v>
      </c>
      <c r="BG134" s="11">
        <f t="shared" si="126"/>
        <v>0</v>
      </c>
      <c r="BI134" s="11">
        <f t="shared" si="126"/>
        <v>0</v>
      </c>
      <c r="BK134" s="11">
        <f t="shared" si="126"/>
        <v>0</v>
      </c>
      <c r="BM134" s="11">
        <f t="shared" si="126"/>
        <v>0</v>
      </c>
    </row>
    <row r="135" spans="1:68" ht="15" customHeight="1" x14ac:dyDescent="0.25">
      <c r="A135" s="14"/>
      <c r="B135" s="17" t="s">
        <v>126</v>
      </c>
      <c r="E135" s="11">
        <f t="shared" si="116"/>
        <v>0</v>
      </c>
      <c r="G135" s="11">
        <f t="shared" si="116"/>
        <v>0</v>
      </c>
      <c r="I135" s="11">
        <f t="shared" si="116"/>
        <v>0</v>
      </c>
      <c r="K135" s="11">
        <f t="shared" si="116"/>
        <v>0</v>
      </c>
      <c r="M135" s="11">
        <f t="shared" si="120"/>
        <v>0</v>
      </c>
      <c r="O135" s="11">
        <f t="shared" si="120"/>
        <v>0</v>
      </c>
      <c r="Q135" s="11">
        <f t="shared" si="120"/>
        <v>0</v>
      </c>
      <c r="S135" s="11">
        <f t="shared" si="120"/>
        <v>0</v>
      </c>
      <c r="U135" s="11">
        <f t="shared" si="120"/>
        <v>0</v>
      </c>
      <c r="W135" s="11">
        <f t="shared" si="120"/>
        <v>0</v>
      </c>
      <c r="Y135" s="11">
        <f t="shared" si="124"/>
        <v>0</v>
      </c>
      <c r="AA135" s="11">
        <f t="shared" si="124"/>
        <v>0</v>
      </c>
      <c r="AC135" s="11">
        <f t="shared" si="124"/>
        <v>0</v>
      </c>
      <c r="AE135" s="11">
        <f t="shared" si="124"/>
        <v>0</v>
      </c>
      <c r="AG135" s="11">
        <f t="shared" si="124"/>
        <v>0</v>
      </c>
      <c r="AI135" s="11">
        <f t="shared" si="124"/>
        <v>0</v>
      </c>
      <c r="AK135" s="11">
        <f t="shared" si="124"/>
        <v>0</v>
      </c>
      <c r="AM135" s="11">
        <f t="shared" si="124"/>
        <v>0</v>
      </c>
      <c r="AO135" s="11">
        <f t="shared" si="124"/>
        <v>0</v>
      </c>
      <c r="AQ135" s="11">
        <f t="shared" si="124"/>
        <v>0</v>
      </c>
      <c r="AS135" s="11">
        <f t="shared" si="126"/>
        <v>0</v>
      </c>
      <c r="AU135" s="11">
        <f t="shared" si="126"/>
        <v>0</v>
      </c>
      <c r="AW135" s="11">
        <f t="shared" si="126"/>
        <v>0</v>
      </c>
      <c r="AY135" s="11">
        <f t="shared" si="126"/>
        <v>0</v>
      </c>
      <c r="BA135" s="11">
        <f t="shared" si="126"/>
        <v>0</v>
      </c>
      <c r="BC135" s="11">
        <f t="shared" si="126"/>
        <v>0</v>
      </c>
      <c r="BE135" s="11">
        <f t="shared" si="126"/>
        <v>0</v>
      </c>
      <c r="BG135" s="11">
        <f t="shared" si="126"/>
        <v>0</v>
      </c>
      <c r="BI135" s="11">
        <f t="shared" si="126"/>
        <v>0</v>
      </c>
      <c r="BK135" s="11">
        <f t="shared" si="126"/>
        <v>0</v>
      </c>
      <c r="BM135" s="11">
        <f t="shared" si="126"/>
        <v>0</v>
      </c>
    </row>
    <row r="136" spans="1:68" ht="15" customHeight="1" x14ac:dyDescent="0.25">
      <c r="B136" s="17" t="s">
        <v>127</v>
      </c>
      <c r="E136" s="11">
        <f t="shared" si="116"/>
        <v>0</v>
      </c>
      <c r="G136" s="11">
        <f t="shared" si="116"/>
        <v>0</v>
      </c>
      <c r="I136" s="11">
        <f t="shared" si="116"/>
        <v>0</v>
      </c>
      <c r="K136" s="11">
        <f t="shared" si="116"/>
        <v>0</v>
      </c>
      <c r="M136" s="11">
        <f t="shared" si="120"/>
        <v>0</v>
      </c>
      <c r="O136" s="11">
        <f t="shared" si="120"/>
        <v>0</v>
      </c>
      <c r="Q136" s="11">
        <f t="shared" si="120"/>
        <v>0</v>
      </c>
      <c r="S136" s="11">
        <f t="shared" si="120"/>
        <v>0</v>
      </c>
      <c r="U136" s="11">
        <f t="shared" si="120"/>
        <v>0</v>
      </c>
      <c r="W136" s="11">
        <f t="shared" si="120"/>
        <v>0</v>
      </c>
      <c r="Y136" s="11">
        <f t="shared" si="124"/>
        <v>0</v>
      </c>
      <c r="AA136" s="11">
        <f t="shared" si="124"/>
        <v>0</v>
      </c>
      <c r="AC136" s="11">
        <f t="shared" si="124"/>
        <v>0</v>
      </c>
      <c r="AE136" s="11">
        <f t="shared" si="124"/>
        <v>0</v>
      </c>
      <c r="AG136" s="11">
        <f t="shared" si="124"/>
        <v>0</v>
      </c>
      <c r="AI136" s="11">
        <f t="shared" si="124"/>
        <v>0</v>
      </c>
      <c r="AK136" s="11">
        <f t="shared" si="124"/>
        <v>0</v>
      </c>
      <c r="AM136" s="11">
        <f t="shared" si="124"/>
        <v>0</v>
      </c>
      <c r="AO136" s="11">
        <f t="shared" si="124"/>
        <v>0</v>
      </c>
      <c r="AQ136" s="11">
        <f t="shared" si="124"/>
        <v>0</v>
      </c>
      <c r="AS136" s="11">
        <f t="shared" si="126"/>
        <v>0</v>
      </c>
      <c r="AU136" s="11">
        <f t="shared" si="126"/>
        <v>0</v>
      </c>
      <c r="AW136" s="11">
        <f t="shared" si="126"/>
        <v>0</v>
      </c>
      <c r="AY136" s="11">
        <f t="shared" si="126"/>
        <v>0</v>
      </c>
      <c r="BA136" s="11">
        <f t="shared" si="126"/>
        <v>0</v>
      </c>
      <c r="BC136" s="11">
        <f t="shared" si="126"/>
        <v>0</v>
      </c>
      <c r="BE136" s="11">
        <f t="shared" si="126"/>
        <v>0</v>
      </c>
      <c r="BG136" s="11">
        <f t="shared" si="126"/>
        <v>0</v>
      </c>
      <c r="BI136" s="11">
        <f t="shared" si="126"/>
        <v>0</v>
      </c>
      <c r="BK136" s="11">
        <f t="shared" si="126"/>
        <v>0</v>
      </c>
      <c r="BM136" s="11">
        <f t="shared" si="126"/>
        <v>0</v>
      </c>
    </row>
    <row r="138" spans="1:68" ht="15" customHeight="1" x14ac:dyDescent="0.2">
      <c r="B138" s="14" t="s">
        <v>5</v>
      </c>
      <c r="E138" s="21">
        <f>SUMIF($A3:$A134,$B138,E3:E134)</f>
        <v>250.33331000000001</v>
      </c>
      <c r="F138" s="21"/>
      <c r="G138" s="21">
        <f>SUMIF($A3:$A134,$B138,G3:G134)</f>
        <v>184.5</v>
      </c>
      <c r="H138" s="21"/>
      <c r="I138" s="21">
        <f>SUMIF($A3:$A134,$B138,I3:I134)</f>
        <v>165.33332999999999</v>
      </c>
      <c r="J138" s="21"/>
      <c r="K138" s="21">
        <f>SUMIF($A3:$A134,$B138,K3:K134)</f>
        <v>149.66665999999998</v>
      </c>
      <c r="L138" s="21"/>
      <c r="M138" s="21">
        <f>SUMIF($A3:$A134,$B138,M3:M134)</f>
        <v>178</v>
      </c>
      <c r="O138" s="21">
        <f>SUMIF($A3:$A134,$B138,O3:O134)</f>
        <v>129.99999</v>
      </c>
      <c r="P138" s="21"/>
      <c r="Q138" s="27">
        <f>SUMIF($A3:$A134,$B138,Q3:Q134)</f>
        <v>213.33332999999999</v>
      </c>
      <c r="S138" s="21">
        <f>SUMIF($A3:$A134,$B138,S3:S134)</f>
        <v>225.16666000000001</v>
      </c>
      <c r="T138" s="21"/>
      <c r="U138" s="21">
        <f>SUMIF($A3:$A134,$B138,U3:U134)</f>
        <v>193.83332999999999</v>
      </c>
      <c r="W138" s="21">
        <f>SUMIF($A3:$A134,$B138,W3:W134)</f>
        <v>150.33332999999999</v>
      </c>
      <c r="X138" s="21"/>
      <c r="Y138" s="21">
        <f>SUMIF($A3:$A134,$B138,Y3:Y134)</f>
        <v>177.16666000000001</v>
      </c>
      <c r="Z138" s="21"/>
      <c r="AA138" s="56">
        <f>SUMIF($A3:$A134,$B138,AA3:AA134)</f>
        <v>173.5</v>
      </c>
      <c r="AB138" s="21"/>
      <c r="AC138" s="21">
        <f>SUMIF($A3:$A134,$B138,AC3:AC134)</f>
        <v>166.5</v>
      </c>
      <c r="AD138" s="21"/>
      <c r="AE138" s="21">
        <f>(SUMIF($A3:$A134,$B138,AE3:AE134))</f>
        <v>234.5</v>
      </c>
      <c r="AF138" s="21"/>
      <c r="AG138" s="21">
        <f>SUMIF($A3:$A134,$B138,AG3:AG134)</f>
        <v>260</v>
      </c>
      <c r="AH138" s="21"/>
      <c r="AI138" s="21">
        <f>SUMIF($A3:$A134,$B138,AI3:AI134)</f>
        <v>275</v>
      </c>
      <c r="AJ138" s="21"/>
      <c r="AK138" s="21">
        <f>SUMIF($A3:$A134,$B138,AK3:AK134)</f>
        <v>150.5</v>
      </c>
      <c r="AL138" s="21"/>
      <c r="AM138" s="21">
        <f>SUMIF($A3:$A134,$B138,AM3:AM134)</f>
        <v>178.5</v>
      </c>
      <c r="AN138" s="21"/>
      <c r="AO138" s="21">
        <f>SUMIF($A3:$A134,$B138,AO3:AO134)</f>
        <v>162</v>
      </c>
      <c r="AP138" s="21"/>
      <c r="AQ138" s="21">
        <f>SUMIF($A3:$A134,$B138,AQ3:AQ134)</f>
        <v>157</v>
      </c>
      <c r="AR138" s="21"/>
      <c r="AS138" s="21">
        <f>SUMIF($A3:$A134,$B138,AS3:AS134)</f>
        <v>229.5</v>
      </c>
      <c r="AT138" s="21"/>
      <c r="AU138" s="21">
        <f>SUMIF($A3:$A134,$B138,AU3:AU136)</f>
        <v>233</v>
      </c>
      <c r="AV138" s="21"/>
      <c r="AW138" s="21">
        <f>SUMIF($A3:$A134,$B138,AW3:AW134)</f>
        <v>90.5</v>
      </c>
      <c r="AX138" s="21"/>
      <c r="AY138" s="21">
        <f>SUMIF($A3:$A134,$B138,AY3:AY134)</f>
        <v>76.5</v>
      </c>
      <c r="AZ138" s="21"/>
      <c r="BA138" s="21">
        <f>SUMIF($A3:$A134,$B138,BA3:BA134)</f>
        <v>117.5</v>
      </c>
      <c r="BB138" s="21"/>
      <c r="BC138" s="21">
        <f>SUMIF($A3:$A134,$B138,BC3:BC134)</f>
        <v>137</v>
      </c>
      <c r="BD138" s="21"/>
      <c r="BE138" s="21">
        <f>SUMIF($A3:$A134,$B138,BE3:BE134)</f>
        <v>191</v>
      </c>
      <c r="BF138" s="21"/>
      <c r="BG138" s="21">
        <f>SUMIF($A3:$A134,$B138,BG3:BG136)</f>
        <v>215</v>
      </c>
      <c r="BH138" s="21"/>
      <c r="BI138" s="21">
        <f>SUMIF($A3:$A134,$B138,BI3:BI134)</f>
        <v>259.5</v>
      </c>
      <c r="BJ138" s="21"/>
      <c r="BK138" s="21">
        <f>SUMIF($A3:$A134,$B138,BK3:BK134)</f>
        <v>173.5</v>
      </c>
      <c r="BM138" s="21">
        <f>SUMIF($A3:$A134,$B138,BM3:BM134)</f>
        <v>0</v>
      </c>
      <c r="BN138" s="22">
        <f>SUM(E138:BM138)</f>
        <v>5498.1665999999996</v>
      </c>
      <c r="BO138" s="22">
        <f>BN138/4</f>
        <v>1374.5416499999999</v>
      </c>
      <c r="BP138" s="11">
        <f>BO138/30</f>
        <v>45.818054999999994</v>
      </c>
    </row>
    <row r="139" spans="1:68" ht="15" customHeight="1" x14ac:dyDescent="0.2">
      <c r="B139" s="18" t="s">
        <v>15</v>
      </c>
      <c r="E139" s="21">
        <f>SUMIF($A3:$A119,$B139,E3:E134)</f>
        <v>19</v>
      </c>
      <c r="F139" s="21"/>
      <c r="G139" s="21">
        <f>SUMIF($A3:$A119,$B139,G3:G134)</f>
        <v>16.5</v>
      </c>
      <c r="H139" s="21"/>
      <c r="I139" s="21">
        <f>SUMIF($A3:$A119,$B139,I3:I134)</f>
        <v>26</v>
      </c>
      <c r="J139" s="21"/>
      <c r="K139" s="21">
        <f>SUMIF($A3:$A119,$B139,K3:K134)</f>
        <v>19.5</v>
      </c>
      <c r="L139" s="21"/>
      <c r="M139" s="21">
        <f>SUMIF($A3:$A119,$B139,M3:M134)</f>
        <v>20.5</v>
      </c>
      <c r="O139" s="21">
        <f>SUMIF($A3:$A119,$B139,O3:O134)</f>
        <v>23.5</v>
      </c>
      <c r="P139" s="21"/>
      <c r="Q139" s="27">
        <f>SUMIF($A3:$A119,$B139,Q3:Q134)</f>
        <v>39.5</v>
      </c>
      <c r="S139" s="21">
        <f>SUMIF($A3:$A119,$B139,S3:S134)</f>
        <v>29</v>
      </c>
      <c r="T139" s="21"/>
      <c r="U139" s="21">
        <f>SUMIF($A3:$A119,$B139,U3:U134)</f>
        <v>22.5</v>
      </c>
      <c r="W139" s="21">
        <f>SUMIF($A3:$A119,$B139,W3:W134)</f>
        <v>20.5</v>
      </c>
      <c r="X139" s="21"/>
      <c r="Y139" s="21">
        <f>SUMIF($A3:$A119,$B139,Y3:Y134)</f>
        <v>23.5</v>
      </c>
      <c r="Z139" s="21"/>
      <c r="AA139" s="21">
        <f>SUMIF($A3:$A119,$B139,AA3:AA134)</f>
        <v>25</v>
      </c>
      <c r="AB139" s="21"/>
      <c r="AC139" s="21">
        <f>SUMIF($A3:$A119,$B139,AC3:AC134)</f>
        <v>25.5</v>
      </c>
      <c r="AD139" s="21"/>
      <c r="AE139" s="21">
        <f>SUMIF($A3:$A119,$B139,AE3:AE134)</f>
        <v>31.5</v>
      </c>
      <c r="AF139" s="21"/>
      <c r="AG139" s="21">
        <f>SUMIF($A3:$A119,$B139,AG3:AG134)</f>
        <v>57</v>
      </c>
      <c r="AH139" s="21"/>
      <c r="AI139" s="21">
        <f>SUMIF($A3:$A119,$B139,AI3:AI134)</f>
        <v>39.5</v>
      </c>
      <c r="AJ139" s="21"/>
      <c r="AK139" s="21">
        <f>SUMIF($A3:$A119,$B139,AK3:AK134)</f>
        <v>26</v>
      </c>
      <c r="AL139" s="21"/>
      <c r="AM139" s="21">
        <f>SUMIF($A3:$A119,$B139,AM3:AM134)</f>
        <v>29</v>
      </c>
      <c r="AN139" s="21"/>
      <c r="AO139" s="21">
        <f>SUMIF($A3:$A119,$B139,AO3:AO134)</f>
        <v>46.5</v>
      </c>
      <c r="AP139" s="21"/>
      <c r="AQ139" s="21">
        <f>SUMIF($A3:$A119,$B139,AQ3:AQ134)</f>
        <v>29</v>
      </c>
      <c r="AR139" s="21"/>
      <c r="AS139" s="21">
        <f>SUMIF($A3:$A119,$B139,AS3:AS134)</f>
        <v>40.5</v>
      </c>
      <c r="AT139" s="21"/>
      <c r="AU139" s="21">
        <f>SUMIF($A3:$A119,$B139,AU3:AU134)</f>
        <v>51.5</v>
      </c>
      <c r="AV139" s="21"/>
      <c r="AW139" s="21">
        <f>SUMIF($A3:$A119,$B139,AW3:AW134)</f>
        <v>35</v>
      </c>
      <c r="AX139" s="21"/>
      <c r="AY139" s="21">
        <f>SUMIF($A3:$A119,$B139,AY3:AY134)</f>
        <v>26</v>
      </c>
      <c r="AZ139" s="21"/>
      <c r="BA139" s="21">
        <f>SUMIF($A3:$A119,$B139,BA3:BA134)</f>
        <v>24</v>
      </c>
      <c r="BB139" s="21"/>
      <c r="BC139" s="21">
        <f>SUMIF($A3:$A119,$B139,BC3:BC134)</f>
        <v>35</v>
      </c>
      <c r="BD139" s="21"/>
      <c r="BE139" s="21">
        <f>SUMIF($A3:$A119,$B139,BE3:BE134)</f>
        <v>40</v>
      </c>
      <c r="BF139" s="21"/>
      <c r="BG139" s="21">
        <f>SUMIF($A3:$A119,$B139,BG3:BG134)</f>
        <v>41.5</v>
      </c>
      <c r="BH139" s="21"/>
      <c r="BI139" s="21">
        <f>SUMIF($A3:$A119,$B139,BI3:BI134)</f>
        <v>37</v>
      </c>
      <c r="BJ139" s="21"/>
      <c r="BK139" s="21">
        <f>SUMIF($A3:$A119,$B139,BK3:BK134)</f>
        <v>36</v>
      </c>
      <c r="BM139" s="21">
        <f>SUMIF($A3:$A119,$B139,BM3:BM134)</f>
        <v>0</v>
      </c>
      <c r="BN139" s="22">
        <f>SUM(E139:BM139)</f>
        <v>935.5</v>
      </c>
      <c r="BO139" s="22">
        <f>BN139/4</f>
        <v>233.875</v>
      </c>
      <c r="BP139" s="11">
        <f>BO139/30</f>
        <v>7.7958333333333334</v>
      </c>
    </row>
    <row r="141" spans="1:68" ht="15" customHeight="1" x14ac:dyDescent="0.2">
      <c r="B141" s="11" t="s">
        <v>144</v>
      </c>
      <c r="E141" s="21"/>
      <c r="F141" s="23"/>
      <c r="G141" s="21"/>
      <c r="H141" s="23"/>
      <c r="I141" s="21"/>
      <c r="J141" s="21"/>
      <c r="K141" s="21"/>
      <c r="L141" s="21"/>
      <c r="M141" s="21"/>
      <c r="O141" s="21"/>
      <c r="P141" s="21"/>
      <c r="Q141" s="21"/>
      <c r="S141" s="21"/>
      <c r="T141" s="21"/>
      <c r="U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M141" s="21"/>
      <c r="BN141" s="24"/>
      <c r="BP141" s="11">
        <v>30</v>
      </c>
    </row>
    <row r="142" spans="1:68" ht="15" customHeight="1" x14ac:dyDescent="0.2">
      <c r="B142" s="14" t="s">
        <v>5</v>
      </c>
      <c r="E142" s="21">
        <f>E138/4</f>
        <v>62.583327500000003</v>
      </c>
      <c r="G142" s="21">
        <f>G138/4</f>
        <v>46.125</v>
      </c>
      <c r="I142" s="21">
        <f>I138/4</f>
        <v>41.333332499999997</v>
      </c>
      <c r="J142" s="21"/>
      <c r="K142" s="21">
        <f>K138/4</f>
        <v>37.416664999999995</v>
      </c>
      <c r="L142" s="21"/>
      <c r="M142" s="21">
        <f>M138/4</f>
        <v>44.5</v>
      </c>
      <c r="O142" s="21">
        <f>O138/4</f>
        <v>32.499997499999999</v>
      </c>
      <c r="P142" s="21"/>
      <c r="Q142" s="21">
        <f>Q138/4</f>
        <v>53.333332499999997</v>
      </c>
      <c r="S142" s="21">
        <f>S138/4</f>
        <v>56.291665000000002</v>
      </c>
      <c r="T142" s="21"/>
      <c r="U142" s="21">
        <f>U138/4</f>
        <v>48.458332499999997</v>
      </c>
      <c r="W142" s="21">
        <f>W138/4</f>
        <v>37.583332499999997</v>
      </c>
      <c r="X142" s="21"/>
      <c r="Y142" s="21">
        <f>Y138/4</f>
        <v>44.291665000000002</v>
      </c>
      <c r="Z142" s="21"/>
      <c r="AA142" s="21">
        <f>AA138/4</f>
        <v>43.375</v>
      </c>
      <c r="AB142" s="21"/>
      <c r="AC142" s="21">
        <f>AC138/4</f>
        <v>41.625</v>
      </c>
      <c r="AD142" s="21"/>
      <c r="AE142" s="21">
        <f>AE138/4</f>
        <v>58.625</v>
      </c>
      <c r="AF142" s="21"/>
      <c r="AG142" s="21">
        <f>AG138/4</f>
        <v>65</v>
      </c>
      <c r="AH142" s="21"/>
      <c r="AI142" s="21">
        <f>AI138/4</f>
        <v>68.75</v>
      </c>
      <c r="AJ142" s="21"/>
      <c r="AK142" s="21">
        <f>AK138/4</f>
        <v>37.625</v>
      </c>
      <c r="AL142" s="21"/>
      <c r="AM142" s="21">
        <f>AM138/4</f>
        <v>44.625</v>
      </c>
      <c r="AN142" s="21"/>
      <c r="AO142" s="21">
        <f>AO138/4</f>
        <v>40.5</v>
      </c>
      <c r="AP142" s="21"/>
      <c r="AQ142" s="21">
        <f>AQ138/4</f>
        <v>39.25</v>
      </c>
      <c r="AR142" s="21"/>
      <c r="AS142" s="21">
        <f>AS138/4</f>
        <v>57.375</v>
      </c>
      <c r="AT142" s="21"/>
      <c r="AU142" s="21">
        <f>AU138/4</f>
        <v>58.25</v>
      </c>
      <c r="AV142" s="21"/>
      <c r="AW142" s="21">
        <f>AW138/4</f>
        <v>22.625</v>
      </c>
      <c r="AX142" s="21"/>
      <c r="AY142" s="21">
        <f>AY138/4</f>
        <v>19.125</v>
      </c>
      <c r="AZ142" s="21"/>
      <c r="BA142" s="21">
        <f>BA138/4</f>
        <v>29.375</v>
      </c>
      <c r="BB142" s="21"/>
      <c r="BC142" s="21">
        <f>BC138/4</f>
        <v>34.25</v>
      </c>
      <c r="BD142" s="21"/>
      <c r="BE142" s="21">
        <f>BE138/4</f>
        <v>47.75</v>
      </c>
      <c r="BF142" s="21"/>
      <c r="BG142" s="21">
        <f>BG138/4</f>
        <v>53.75</v>
      </c>
      <c r="BH142" s="21"/>
      <c r="BI142" s="21">
        <f>BI138/4</f>
        <v>64.875</v>
      </c>
      <c r="BJ142" s="21"/>
      <c r="BK142" s="21">
        <f>BK138/4</f>
        <v>43.375</v>
      </c>
      <c r="BM142" s="21">
        <f>BM138/4</f>
        <v>0</v>
      </c>
      <c r="BN142" s="24"/>
      <c r="BO142" s="21">
        <f>SUM(E142:BM142)</f>
        <v>1374.5416499999999</v>
      </c>
      <c r="BP142" s="77">
        <f>BO142/BP141</f>
        <v>45.818054999999994</v>
      </c>
    </row>
    <row r="143" spans="1:68" ht="15" customHeight="1" x14ac:dyDescent="0.2">
      <c r="B143" s="18" t="s">
        <v>15</v>
      </c>
      <c r="E143" s="21">
        <f>E139/4</f>
        <v>4.75</v>
      </c>
      <c r="G143" s="21">
        <f>G139/4</f>
        <v>4.125</v>
      </c>
      <c r="I143" s="21">
        <f>I139/4</f>
        <v>6.5</v>
      </c>
      <c r="J143" s="21"/>
      <c r="K143" s="21">
        <f>K139/4</f>
        <v>4.875</v>
      </c>
      <c r="L143" s="21"/>
      <c r="M143" s="21">
        <f>M139/4</f>
        <v>5.125</v>
      </c>
      <c r="N143" s="21"/>
      <c r="O143" s="21">
        <f>O139/4</f>
        <v>5.875</v>
      </c>
      <c r="Q143" s="21">
        <f>Q139/4</f>
        <v>9.875</v>
      </c>
      <c r="S143" s="21">
        <f>S139/4</f>
        <v>7.25</v>
      </c>
      <c r="U143" s="21">
        <f>U139/4</f>
        <v>5.625</v>
      </c>
      <c r="W143" s="21">
        <f>W139/4</f>
        <v>5.125</v>
      </c>
      <c r="Y143" s="21">
        <f>Y139/4</f>
        <v>5.875</v>
      </c>
      <c r="AA143" s="21">
        <f>AA139/4</f>
        <v>6.25</v>
      </c>
      <c r="AB143" s="21"/>
      <c r="AC143" s="21">
        <f>AC139/4</f>
        <v>6.375</v>
      </c>
      <c r="AE143" s="21">
        <f>AE139/4</f>
        <v>7.875</v>
      </c>
      <c r="AG143" s="21">
        <f>AG139/4</f>
        <v>14.25</v>
      </c>
      <c r="AI143" s="21">
        <f>AI139/4</f>
        <v>9.875</v>
      </c>
      <c r="AK143" s="21">
        <f>AK139/4</f>
        <v>6.5</v>
      </c>
      <c r="AM143" s="21">
        <f>AM139/4</f>
        <v>7.25</v>
      </c>
      <c r="AO143" s="21">
        <f>AO139/4</f>
        <v>11.625</v>
      </c>
      <c r="AQ143" s="21">
        <f>AQ139/4</f>
        <v>7.25</v>
      </c>
      <c r="AS143" s="21">
        <f>AS139/4</f>
        <v>10.125</v>
      </c>
      <c r="AU143" s="21">
        <f>AU139/4</f>
        <v>12.875</v>
      </c>
      <c r="AW143" s="21">
        <f>AW139/4</f>
        <v>8.75</v>
      </c>
      <c r="AY143" s="21">
        <f>AY139/4</f>
        <v>6.5</v>
      </c>
      <c r="BA143" s="21">
        <f>BA139/4</f>
        <v>6</v>
      </c>
      <c r="BC143" s="21">
        <f>BC139/4</f>
        <v>8.75</v>
      </c>
      <c r="BE143" s="21">
        <f>BE139/4</f>
        <v>10</v>
      </c>
      <c r="BG143" s="21">
        <f>BG139/4</f>
        <v>10.375</v>
      </c>
      <c r="BI143" s="21">
        <f>BI139/4</f>
        <v>9.25</v>
      </c>
      <c r="BK143" s="21">
        <f>BK139/4</f>
        <v>9</v>
      </c>
      <c r="BM143" s="21">
        <f>BM139/4</f>
        <v>0</v>
      </c>
      <c r="BO143" s="21">
        <f>SUM(E143:BM143)</f>
        <v>233.875</v>
      </c>
      <c r="BP143" s="77">
        <f>BO143/BP141</f>
        <v>7.7958333333333334</v>
      </c>
    </row>
    <row r="144" spans="1:68" ht="15" customHeight="1" x14ac:dyDescent="0.2">
      <c r="E144" s="21"/>
      <c r="G144" s="21"/>
      <c r="I144" s="21"/>
      <c r="J144" s="21"/>
      <c r="K144" s="21"/>
      <c r="L144" s="21"/>
      <c r="M144" s="21"/>
      <c r="N144" s="21"/>
      <c r="O144" s="21"/>
      <c r="Q144" s="21"/>
      <c r="AB144" s="21"/>
      <c r="AJ144" s="21"/>
      <c r="AL144" s="21"/>
      <c r="AN144" s="21"/>
      <c r="AP144" s="21"/>
      <c r="AR144" s="21"/>
      <c r="BO144" s="21"/>
      <c r="BP144" s="83"/>
    </row>
    <row r="145" spans="1:68" ht="15" customHeight="1" x14ac:dyDescent="0.2">
      <c r="B145" s="14" t="s">
        <v>5</v>
      </c>
      <c r="E145" s="21">
        <f>0.25-(0+59-E142)</f>
        <v>3.8333275000000029</v>
      </c>
      <c r="G145" s="21">
        <f>3.75-(0.25+47-G142)</f>
        <v>2.625</v>
      </c>
      <c r="I145" s="21">
        <f>11.5-(3.75+49-I142)</f>
        <v>8.3332499999997367E-2</v>
      </c>
      <c r="K145" s="21">
        <f>7.25-(11.5+35-K142)</f>
        <v>-1.8333350000000053</v>
      </c>
      <c r="M145" s="21">
        <f>4-(7.25+39-M142)</f>
        <v>2.25</v>
      </c>
      <c r="O145" s="21">
        <f>12.5-(4+41-O142)</f>
        <v>-2.5000000007935341E-6</v>
      </c>
      <c r="Q145" s="21">
        <f>3.75-(12.5+45-Q142)</f>
        <v>-0.41666750000000263</v>
      </c>
      <c r="S145" s="21">
        <f>0-(3.75+55-S142)</f>
        <v>-2.4583349999999982</v>
      </c>
      <c r="T145" s="21"/>
      <c r="U145" s="21">
        <f>0-(0+46-U142)</f>
        <v>2.4583324999999974</v>
      </c>
      <c r="W145" s="21">
        <f>5.25-(0+45-W142)</f>
        <v>-2.1666675000000026</v>
      </c>
      <c r="Y145" s="21">
        <f>1.25-(5.25+40-Y142)</f>
        <v>0.29166500000000184</v>
      </c>
      <c r="Z145" s="78"/>
      <c r="AA145" s="21">
        <f>4.75-(1.25+48-AA142)</f>
        <v>-1.125</v>
      </c>
      <c r="AB145" s="78"/>
      <c r="AC145" s="21">
        <f>5.75-(4.75+45-AC142)</f>
        <v>-2.375</v>
      </c>
      <c r="AD145" s="78"/>
      <c r="AE145" s="21">
        <f>10-(5.75+60-AE142)</f>
        <v>2.875</v>
      </c>
      <c r="AF145" s="78"/>
      <c r="AG145" s="21">
        <f>0-(10+50-AG142)</f>
        <v>5</v>
      </c>
      <c r="AH145" s="78"/>
      <c r="AI145" s="21">
        <f>36-(5+101-AI142)</f>
        <v>-1.25</v>
      </c>
      <c r="AK145" s="21">
        <f>2-(36+0-AK142)</f>
        <v>3.625</v>
      </c>
      <c r="AM145" s="21">
        <f>6-(2+46-AM142)</f>
        <v>2.625</v>
      </c>
      <c r="AO145" s="21">
        <f>11.5-(6+40-AO142)</f>
        <v>6</v>
      </c>
      <c r="AQ145" s="21">
        <f>14.75-(11.5+40-AQ142)</f>
        <v>2.5</v>
      </c>
      <c r="AS145" s="21">
        <f>3.25-(14.75+42-AS142)</f>
        <v>3.875</v>
      </c>
      <c r="AU145" s="21">
        <f>0.5-(3.25+55-AU142)</f>
        <v>0.5</v>
      </c>
      <c r="AW145" s="21">
        <f>21.5-(0.5+45-AW142)</f>
        <v>-1.375</v>
      </c>
      <c r="AY145" s="21">
        <f>29.5-(21.5+29-AY142)</f>
        <v>-1.875</v>
      </c>
      <c r="BA145" s="21">
        <f>18.5-(29.5+20-BA142)</f>
        <v>-1.625</v>
      </c>
      <c r="BC145" s="21">
        <f>23.75-(18.25+32-BC142)</f>
        <v>7.75</v>
      </c>
      <c r="BE145" s="21">
        <f>0.25-(23.75+26-BE142)</f>
        <v>-1.75</v>
      </c>
      <c r="BG145" s="21">
        <f>0-(0.25+57-BG142)</f>
        <v>-3.5</v>
      </c>
      <c r="BI145" s="21">
        <f>0-(0+60-BI142)</f>
        <v>4.875</v>
      </c>
      <c r="BK145" s="21">
        <f>5.75-(0+50-BK142)</f>
        <v>-0.875</v>
      </c>
      <c r="BM145" s="21"/>
      <c r="BO145" s="21">
        <f>SUM(E145:BL145)</f>
        <v>28.54164999999999</v>
      </c>
      <c r="BP145" s="77">
        <f>BO145/BP141</f>
        <v>0.95138833333333295</v>
      </c>
    </row>
    <row r="146" spans="1:68" ht="15" customHeight="1" x14ac:dyDescent="0.2">
      <c r="B146" s="18" t="s">
        <v>15</v>
      </c>
      <c r="E146" s="21">
        <f>5.5-(0.5+10-E143)</f>
        <v>-0.25</v>
      </c>
      <c r="G146" s="21">
        <f>4.75-(5.5+5-G143)</f>
        <v>-1.625</v>
      </c>
      <c r="I146" s="21">
        <f>2.5-(4.75+5-I143)</f>
        <v>-0.75</v>
      </c>
      <c r="K146" s="21">
        <f>6.5-(2.5+10-K143)</f>
        <v>-1.125</v>
      </c>
      <c r="M146" s="21">
        <f>5.75-(6.5+5-M143)</f>
        <v>-0.625</v>
      </c>
      <c r="O146" s="21">
        <f>5.5-(5.75+5-O143)</f>
        <v>0.625</v>
      </c>
      <c r="Q146" s="21">
        <f>0-(5.5+5-Q143)</f>
        <v>-0.625</v>
      </c>
      <c r="S146" s="21">
        <f>1.5-(0+10-S143)</f>
        <v>-1.25</v>
      </c>
      <c r="T146" s="21"/>
      <c r="U146" s="21">
        <f>3.25-(1.5+10-U143)</f>
        <v>-2.625</v>
      </c>
      <c r="W146" s="21">
        <f>4-(3.25+5-W143)</f>
        <v>0.875</v>
      </c>
      <c r="Y146" s="21">
        <f>3-(4+5-Y143)</f>
        <v>-0.125</v>
      </c>
      <c r="Z146" s="78"/>
      <c r="AA146" s="21">
        <f>5.75-(3+10-AA143)</f>
        <v>-1</v>
      </c>
      <c r="AB146" s="78"/>
      <c r="AC146" s="21">
        <f>3-(5.75+5-AC143)</f>
        <v>-1.375</v>
      </c>
      <c r="AD146" s="78"/>
      <c r="AE146" s="21">
        <f>4.5-(3+10-AE143)</f>
        <v>-0.625</v>
      </c>
      <c r="AF146" s="78"/>
      <c r="AG146" s="21">
        <f>0-(4.5+10-AG143)</f>
        <v>-0.25</v>
      </c>
      <c r="AH146" s="78"/>
      <c r="AI146" s="21">
        <f>0-(0+10-AI143)</f>
        <v>-0.125</v>
      </c>
      <c r="AK146" s="21">
        <f>2-(0+10-AK143)</f>
        <v>-1.5</v>
      </c>
      <c r="AM146" s="21">
        <f>3.5-(2+10-AM143)</f>
        <v>-1.25</v>
      </c>
      <c r="AO146" s="21">
        <f>1.5-(3.5+10-AO143)</f>
        <v>-0.375</v>
      </c>
      <c r="AQ146" s="21">
        <f>3-(1.5+10-AQ143)</f>
        <v>-1.25</v>
      </c>
      <c r="AS146" s="21">
        <f>3-(3+10-AS143)</f>
        <v>0.125</v>
      </c>
      <c r="AU146" s="21">
        <f>0-(3+10-AU143)</f>
        <v>-0.125</v>
      </c>
      <c r="AW146" s="21">
        <f>1.25-(0+10-AW143)</f>
        <v>0</v>
      </c>
      <c r="AY146" s="21">
        <f>3.75-(1.25+10-AY143)</f>
        <v>-1</v>
      </c>
      <c r="BA146" s="21">
        <f>0-(3.75+5-BA143)</f>
        <v>-2.75</v>
      </c>
      <c r="BC146" s="21">
        <f>1.5-(0+10-BC143)</f>
        <v>0.25</v>
      </c>
      <c r="BE146" s="21">
        <f>1-(1.5+10-BE143)</f>
        <v>-0.5</v>
      </c>
      <c r="BG146" s="21">
        <f>0-(1+10-BG143)</f>
        <v>-0.625</v>
      </c>
      <c r="BI146" s="21">
        <f>0-(0+10-BI143)</f>
        <v>-0.75</v>
      </c>
      <c r="BK146" s="21">
        <f>0.75-(0+10-BK143)</f>
        <v>-0.25</v>
      </c>
      <c r="BM146" s="21"/>
      <c r="BO146" s="21">
        <f>SUM(E146:BL146)</f>
        <v>-20.875</v>
      </c>
      <c r="BP146" s="77">
        <f>BO146/BP141</f>
        <v>-0.6958333333333333</v>
      </c>
    </row>
    <row r="147" spans="1:68" ht="15" customHeight="1" x14ac:dyDescent="0.25">
      <c r="I147" s="79"/>
      <c r="O147" s="21"/>
      <c r="AI147" s="21"/>
      <c r="AO147" s="78"/>
      <c r="AU147" s="77"/>
      <c r="AW147" s="78"/>
      <c r="AY147" s="78"/>
      <c r="BC147" s="21"/>
      <c r="BI147" s="78"/>
    </row>
    <row r="148" spans="1:68" ht="15" customHeight="1" x14ac:dyDescent="0.2">
      <c r="A148" s="14"/>
      <c r="G148" s="21"/>
      <c r="I148" s="80"/>
      <c r="U148" s="81"/>
      <c r="W148" s="21"/>
      <c r="AH148" s="77"/>
      <c r="AU148" s="77"/>
      <c r="BA148" s="21"/>
      <c r="BE148" s="21"/>
      <c r="BN148" s="11"/>
    </row>
    <row r="149" spans="1:68" ht="15" customHeight="1" x14ac:dyDescent="0.2">
      <c r="A149" s="14"/>
      <c r="I149" s="80"/>
      <c r="AG149" s="21"/>
    </row>
    <row r="150" spans="1:68" ht="15" customHeight="1" x14ac:dyDescent="0.2">
      <c r="A150" s="14"/>
      <c r="B150" s="105">
        <f>53000000/20</f>
        <v>2650000</v>
      </c>
    </row>
    <row r="151" spans="1:68" ht="15" customHeight="1" x14ac:dyDescent="0.2">
      <c r="A151" s="14"/>
      <c r="B151" s="80">
        <f>7900000-4700000</f>
        <v>3200000</v>
      </c>
    </row>
    <row r="152" spans="1:68" ht="15" customHeight="1" x14ac:dyDescent="0.2">
      <c r="A152" s="14"/>
    </row>
    <row r="156" spans="1:68" ht="15" customHeight="1" x14ac:dyDescent="0.25">
      <c r="B156" s="7"/>
    </row>
    <row r="157" spans="1:68" ht="15" customHeight="1" x14ac:dyDescent="0.25">
      <c r="B157" s="7"/>
    </row>
    <row r="158" spans="1:68" ht="15" customHeight="1" x14ac:dyDescent="0.25">
      <c r="B158" s="7"/>
    </row>
    <row r="159" spans="1:68" ht="15" customHeight="1" x14ac:dyDescent="0.25">
      <c r="B159" s="7"/>
    </row>
    <row r="160" spans="1:68" ht="15" customHeight="1" x14ac:dyDescent="0.25">
      <c r="B160" s="7"/>
    </row>
    <row r="161" spans="2:2" ht="15" customHeight="1" x14ac:dyDescent="0.25">
      <c r="B161" s="7"/>
    </row>
    <row r="162" spans="2:2" ht="15" customHeight="1" x14ac:dyDescent="0.25">
      <c r="B162" s="7"/>
    </row>
    <row r="163" spans="2:2" ht="15" customHeight="1" x14ac:dyDescent="0.25">
      <c r="B163" s="7"/>
    </row>
    <row r="164" spans="2:2" ht="15" customHeight="1" x14ac:dyDescent="0.25">
      <c r="B164" s="7"/>
    </row>
    <row r="165" spans="2:2" ht="15" customHeight="1" x14ac:dyDescent="0.25">
      <c r="B165" s="7"/>
    </row>
    <row r="166" spans="2:2" ht="15" customHeight="1" x14ac:dyDescent="0.25">
      <c r="B166" s="7"/>
    </row>
    <row r="167" spans="2:2" ht="15" customHeight="1" x14ac:dyDescent="0.25">
      <c r="B167" s="7"/>
    </row>
    <row r="168" spans="2:2" ht="15" customHeight="1" x14ac:dyDescent="0.25">
      <c r="B168" s="7"/>
    </row>
    <row r="169" spans="2:2" ht="15" customHeight="1" x14ac:dyDescent="0.25">
      <c r="B169" s="7"/>
    </row>
    <row r="170" spans="2:2" ht="15" customHeight="1" x14ac:dyDescent="0.25">
      <c r="B170" s="7"/>
    </row>
    <row r="171" spans="2:2" ht="15" customHeight="1" x14ac:dyDescent="0.25">
      <c r="B171" s="7"/>
    </row>
    <row r="172" spans="2:2" ht="15" customHeight="1" x14ac:dyDescent="0.25">
      <c r="B172" s="7"/>
    </row>
    <row r="173" spans="2:2" ht="15" customHeight="1" x14ac:dyDescent="0.25">
      <c r="B173" s="7"/>
    </row>
    <row r="174" spans="2:2" ht="15" customHeight="1" x14ac:dyDescent="0.25">
      <c r="B174" s="7"/>
    </row>
    <row r="175" spans="2:2" ht="15" customHeight="1" x14ac:dyDescent="0.25">
      <c r="B175" s="7"/>
    </row>
    <row r="176" spans="2:2" ht="15" customHeight="1" x14ac:dyDescent="0.25">
      <c r="B176" s="7"/>
    </row>
    <row r="177" spans="2:2" ht="15" customHeight="1" x14ac:dyDescent="0.25">
      <c r="B177" s="7"/>
    </row>
    <row r="178" spans="2:2" ht="15" customHeight="1" x14ac:dyDescent="0.25">
      <c r="B178" s="7"/>
    </row>
    <row r="179" spans="2:2" ht="15" customHeight="1" x14ac:dyDescent="0.25">
      <c r="B179" s="7"/>
    </row>
    <row r="180" spans="2:2" ht="15" customHeight="1" x14ac:dyDescent="0.25">
      <c r="B180" s="7"/>
    </row>
    <row r="181" spans="2:2" ht="15" customHeight="1" x14ac:dyDescent="0.25">
      <c r="B181" s="7"/>
    </row>
    <row r="182" spans="2:2" ht="15" customHeight="1" x14ac:dyDescent="0.25">
      <c r="B182" s="7"/>
    </row>
    <row r="183" spans="2:2" ht="15" customHeight="1" x14ac:dyDescent="0.25">
      <c r="B183" s="7"/>
    </row>
    <row r="184" spans="2:2" ht="15" customHeight="1" x14ac:dyDescent="0.25">
      <c r="B184" s="7"/>
    </row>
    <row r="185" spans="2:2" ht="15" customHeight="1" x14ac:dyDescent="0.25">
      <c r="B185" s="7"/>
    </row>
    <row r="186" spans="2:2" ht="15" customHeight="1" x14ac:dyDescent="0.25">
      <c r="B186" s="7"/>
    </row>
    <row r="187" spans="2:2" ht="15" customHeight="1" x14ac:dyDescent="0.25">
      <c r="B187" s="7"/>
    </row>
    <row r="188" spans="2:2" ht="15" customHeight="1" x14ac:dyDescent="0.25">
      <c r="B188" s="7"/>
    </row>
    <row r="189" spans="2:2" ht="15" customHeight="1" x14ac:dyDescent="0.25">
      <c r="B189" s="7"/>
    </row>
    <row r="190" spans="2:2" ht="15" customHeight="1" x14ac:dyDescent="0.25">
      <c r="B190" s="7"/>
    </row>
    <row r="191" spans="2:2" ht="15" customHeight="1" x14ac:dyDescent="0.25">
      <c r="B191" s="7"/>
    </row>
    <row r="192" spans="2:2" ht="15" customHeight="1" x14ac:dyDescent="0.25">
      <c r="B192" s="7"/>
    </row>
    <row r="193" spans="2:2" ht="15" customHeight="1" x14ac:dyDescent="0.25">
      <c r="B193" s="7"/>
    </row>
    <row r="194" spans="2:2" ht="15" customHeight="1" x14ac:dyDescent="0.25">
      <c r="B194" s="7"/>
    </row>
    <row r="195" spans="2:2" ht="15" customHeight="1" x14ac:dyDescent="0.25">
      <c r="B195" s="7"/>
    </row>
    <row r="196" spans="2:2" ht="15" customHeight="1" x14ac:dyDescent="0.25">
      <c r="B196" s="7"/>
    </row>
    <row r="197" spans="2:2" ht="15" customHeight="1" x14ac:dyDescent="0.25">
      <c r="B197" s="7"/>
    </row>
    <row r="198" spans="2:2" ht="15" customHeight="1" x14ac:dyDescent="0.25">
      <c r="B198" s="7"/>
    </row>
    <row r="199" spans="2:2" ht="15" customHeight="1" x14ac:dyDescent="0.25">
      <c r="B199" s="7"/>
    </row>
    <row r="200" spans="2:2" ht="15" customHeight="1" x14ac:dyDescent="0.25">
      <c r="B200" s="7"/>
    </row>
    <row r="201" spans="2:2" ht="15" customHeight="1" x14ac:dyDescent="0.25">
      <c r="B201" s="7"/>
    </row>
    <row r="202" spans="2:2" ht="15" customHeight="1" x14ac:dyDescent="0.25">
      <c r="B202" s="7"/>
    </row>
    <row r="203" spans="2:2" ht="15" customHeight="1" x14ac:dyDescent="0.25">
      <c r="B203" s="7"/>
    </row>
    <row r="204" spans="2:2" ht="15" customHeight="1" x14ac:dyDescent="0.25">
      <c r="B204" s="7"/>
    </row>
    <row r="205" spans="2:2" ht="15" customHeight="1" x14ac:dyDescent="0.25">
      <c r="B205" s="7"/>
    </row>
    <row r="206" spans="2:2" ht="15" customHeight="1" x14ac:dyDescent="0.25">
      <c r="B206" s="7"/>
    </row>
    <row r="207" spans="2:2" ht="15" customHeight="1" x14ac:dyDescent="0.25">
      <c r="B207" s="7"/>
    </row>
    <row r="208" spans="2:2" ht="15" customHeight="1" x14ac:dyDescent="0.25">
      <c r="B208" s="7"/>
    </row>
    <row r="209" spans="2:2" ht="15" customHeight="1" x14ac:dyDescent="0.25">
      <c r="B209" s="7"/>
    </row>
    <row r="210" spans="2:2" ht="15" customHeight="1" x14ac:dyDescent="0.25">
      <c r="B210" s="7"/>
    </row>
    <row r="211" spans="2:2" ht="15" customHeight="1" x14ac:dyDescent="0.25">
      <c r="B211" s="7"/>
    </row>
    <row r="212" spans="2:2" ht="15" customHeight="1" x14ac:dyDescent="0.25">
      <c r="B212" s="7"/>
    </row>
    <row r="213" spans="2:2" ht="15" customHeight="1" x14ac:dyDescent="0.25">
      <c r="B213" s="7"/>
    </row>
    <row r="214" spans="2:2" ht="15" customHeight="1" x14ac:dyDescent="0.25">
      <c r="B214" s="7"/>
    </row>
    <row r="215" spans="2:2" ht="15" customHeight="1" x14ac:dyDescent="0.25">
      <c r="B215" s="7"/>
    </row>
    <row r="216" spans="2:2" ht="15" customHeight="1" x14ac:dyDescent="0.25">
      <c r="B216" s="7"/>
    </row>
    <row r="217" spans="2:2" ht="15" customHeight="1" x14ac:dyDescent="0.25">
      <c r="B217" s="7"/>
    </row>
    <row r="218" spans="2:2" ht="15" customHeight="1" x14ac:dyDescent="0.25">
      <c r="B218" s="7"/>
    </row>
    <row r="219" spans="2:2" ht="15" customHeight="1" x14ac:dyDescent="0.25">
      <c r="B219" s="7"/>
    </row>
    <row r="220" spans="2:2" ht="15" customHeight="1" x14ac:dyDescent="0.25">
      <c r="B220" s="7"/>
    </row>
    <row r="221" spans="2:2" ht="15" customHeight="1" x14ac:dyDescent="0.25">
      <c r="B221" s="7"/>
    </row>
    <row r="222" spans="2:2" ht="15" customHeight="1" x14ac:dyDescent="0.25">
      <c r="B222" s="7"/>
    </row>
    <row r="223" spans="2:2" ht="15" customHeight="1" x14ac:dyDescent="0.25">
      <c r="B223" s="7"/>
    </row>
    <row r="224" spans="2:2" ht="15" customHeight="1" x14ac:dyDescent="0.25">
      <c r="B224" s="7"/>
    </row>
    <row r="225" spans="2:2" ht="15" customHeight="1" x14ac:dyDescent="0.25">
      <c r="B225" s="7"/>
    </row>
    <row r="226" spans="2:2" ht="15" customHeight="1" x14ac:dyDescent="0.25">
      <c r="B226" s="7"/>
    </row>
    <row r="227" spans="2:2" ht="15" customHeight="1" x14ac:dyDescent="0.25">
      <c r="B227" s="7"/>
    </row>
    <row r="228" spans="2:2" ht="15" customHeight="1" x14ac:dyDescent="0.25">
      <c r="B228" s="7"/>
    </row>
    <row r="229" spans="2:2" ht="15" customHeight="1" x14ac:dyDescent="0.25">
      <c r="B229" s="7"/>
    </row>
    <row r="230" spans="2:2" ht="15" customHeight="1" x14ac:dyDescent="0.25">
      <c r="B230" s="7"/>
    </row>
    <row r="231" spans="2:2" ht="15" customHeight="1" x14ac:dyDescent="0.25">
      <c r="B231" s="7"/>
    </row>
    <row r="232" spans="2:2" ht="15" customHeight="1" x14ac:dyDescent="0.25">
      <c r="B232" s="7"/>
    </row>
    <row r="233" spans="2:2" ht="15" customHeight="1" x14ac:dyDescent="0.25">
      <c r="B233" s="7"/>
    </row>
    <row r="234" spans="2:2" ht="15" customHeight="1" x14ac:dyDescent="0.25">
      <c r="B234" s="7"/>
    </row>
    <row r="235" spans="2:2" ht="15" customHeight="1" x14ac:dyDescent="0.25">
      <c r="B235" s="7"/>
    </row>
    <row r="236" spans="2:2" ht="15" customHeight="1" x14ac:dyDescent="0.25">
      <c r="B236" s="7"/>
    </row>
    <row r="237" spans="2:2" ht="15" customHeight="1" x14ac:dyDescent="0.25">
      <c r="B237" s="7"/>
    </row>
    <row r="238" spans="2:2" ht="15" customHeight="1" x14ac:dyDescent="0.25">
      <c r="B238" s="7"/>
    </row>
    <row r="239" spans="2:2" ht="15" customHeight="1" x14ac:dyDescent="0.25">
      <c r="B239" s="7"/>
    </row>
    <row r="240" spans="2:2" ht="15" customHeight="1" x14ac:dyDescent="0.25">
      <c r="B240" s="7"/>
    </row>
    <row r="241" spans="2:2" ht="15" customHeight="1" x14ac:dyDescent="0.25">
      <c r="B241" s="7"/>
    </row>
    <row r="242" spans="2:2" ht="15" customHeight="1" x14ac:dyDescent="0.25">
      <c r="B242" s="7"/>
    </row>
    <row r="243" spans="2:2" ht="15" customHeight="1" x14ac:dyDescent="0.25">
      <c r="B243" s="7"/>
    </row>
    <row r="244" spans="2:2" ht="15" customHeight="1" x14ac:dyDescent="0.25">
      <c r="B244" s="7"/>
    </row>
    <row r="245" spans="2:2" ht="15" customHeight="1" x14ac:dyDescent="0.25">
      <c r="B245" s="7"/>
    </row>
    <row r="246" spans="2:2" ht="15" customHeight="1" x14ac:dyDescent="0.25">
      <c r="B246" s="7"/>
    </row>
    <row r="247" spans="2:2" ht="15" customHeight="1" x14ac:dyDescent="0.25">
      <c r="B247" s="7"/>
    </row>
    <row r="248" spans="2:2" ht="15" customHeight="1" x14ac:dyDescent="0.25">
      <c r="B248" s="7"/>
    </row>
    <row r="249" spans="2:2" ht="15" customHeight="1" x14ac:dyDescent="0.25">
      <c r="B249" s="7"/>
    </row>
    <row r="250" spans="2:2" ht="15" customHeight="1" x14ac:dyDescent="0.25">
      <c r="B250" s="7"/>
    </row>
    <row r="251" spans="2:2" ht="15" customHeight="1" x14ac:dyDescent="0.25">
      <c r="B251" s="7"/>
    </row>
    <row r="252" spans="2:2" ht="15" customHeight="1" x14ac:dyDescent="0.25">
      <c r="B252" s="7"/>
    </row>
    <row r="253" spans="2:2" ht="15" customHeight="1" x14ac:dyDescent="0.25">
      <c r="B253" s="7"/>
    </row>
    <row r="254" spans="2:2" ht="15" customHeight="1" x14ac:dyDescent="0.25">
      <c r="B254" s="7"/>
    </row>
    <row r="255" spans="2:2" ht="15" customHeight="1" x14ac:dyDescent="0.25">
      <c r="B255" s="7"/>
    </row>
    <row r="256" spans="2:2" ht="15" customHeight="1" x14ac:dyDescent="0.25">
      <c r="B256" s="7"/>
    </row>
    <row r="257" spans="2:2" ht="15" customHeight="1" x14ac:dyDescent="0.25">
      <c r="B257" s="7"/>
    </row>
    <row r="258" spans="2:2" ht="15" customHeight="1" x14ac:dyDescent="0.25">
      <c r="B258" s="7"/>
    </row>
    <row r="259" spans="2:2" ht="15" customHeight="1" x14ac:dyDescent="0.25">
      <c r="B259" s="7"/>
    </row>
    <row r="260" spans="2:2" ht="15" customHeight="1" x14ac:dyDescent="0.25">
      <c r="B260" s="7"/>
    </row>
  </sheetData>
  <autoFilter ref="A1:BM146" xr:uid="{00000000-0009-0000-0000-000001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</autoFilter>
  <mergeCells count="32">
    <mergeCell ref="BL1:BM1"/>
    <mergeCell ref="BN1:BO1"/>
    <mergeCell ref="AZ1:BA1"/>
    <mergeCell ref="BB1:BC1"/>
    <mergeCell ref="BD1:BE1"/>
    <mergeCell ref="BF1:BG1"/>
    <mergeCell ref="BH1:BI1"/>
    <mergeCell ref="BJ1:BK1"/>
    <mergeCell ref="AX1:AY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porsi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Muhammad Raihan Fahrifi</cp:lastModifiedBy>
  <cp:lastPrinted>2024-10-15T10:43:46Z</cp:lastPrinted>
  <dcterms:created xsi:type="dcterms:W3CDTF">2018-04-01T05:25:15Z</dcterms:created>
  <dcterms:modified xsi:type="dcterms:W3CDTF">2025-12-17T17:43:54Z</dcterms:modified>
</cp:coreProperties>
</file>