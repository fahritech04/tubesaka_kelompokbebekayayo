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77723064-6D69-4005-AEA2-950B1DABCDFD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'!$A$1:$BM$146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6" i="1" l="1"/>
  <c r="H686" i="1" s="1"/>
  <c r="G684" i="1"/>
  <c r="G689" i="1"/>
  <c r="C685" i="1"/>
  <c r="C706" i="1" s="1"/>
  <c r="C693" i="1"/>
  <c r="D695" i="1"/>
  <c r="H694" i="1"/>
  <c r="H693" i="1"/>
  <c r="H692" i="1"/>
  <c r="H691" i="1"/>
  <c r="H690" i="1"/>
  <c r="H689" i="1"/>
  <c r="H688" i="1"/>
  <c r="H687" i="1"/>
  <c r="H685" i="1"/>
  <c r="E685" i="1"/>
  <c r="E686" i="1" s="1"/>
  <c r="E687" i="1" s="1"/>
  <c r="E688" i="1" s="1"/>
  <c r="E689" i="1" s="1"/>
  <c r="E690" i="1" s="1"/>
  <c r="E691" i="1" s="1"/>
  <c r="E692" i="1" s="1"/>
  <c r="H684" i="1"/>
  <c r="D706" i="1" l="1"/>
  <c r="E693" i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F705" i="1"/>
  <c r="G705" i="1" s="1"/>
  <c r="G669" i="1"/>
  <c r="G666" i="1"/>
  <c r="G665" i="1"/>
  <c r="G662" i="1"/>
  <c r="H662" i="1" s="1"/>
  <c r="C682" i="1"/>
  <c r="D671" i="1"/>
  <c r="D682" i="1" s="1"/>
  <c r="H670" i="1"/>
  <c r="H669" i="1"/>
  <c r="H668" i="1"/>
  <c r="H667" i="1"/>
  <c r="H666" i="1"/>
  <c r="H665" i="1"/>
  <c r="H664" i="1"/>
  <c r="H663" i="1"/>
  <c r="H661" i="1"/>
  <c r="E661" i="1"/>
  <c r="E662" i="1" s="1"/>
  <c r="E663" i="1" s="1"/>
  <c r="E664" i="1" s="1"/>
  <c r="E665" i="1" s="1"/>
  <c r="E666" i="1" s="1"/>
  <c r="E667" i="1" s="1"/>
  <c r="E668" i="1" s="1"/>
  <c r="E669" i="1" s="1"/>
  <c r="E670" i="1" s="1"/>
  <c r="H660" i="1"/>
  <c r="F706" i="1" l="1"/>
  <c r="F681" i="1"/>
  <c r="G681" i="1" s="1"/>
  <c r="E671" i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H646" i="1"/>
  <c r="H645" i="1"/>
  <c r="H644" i="1"/>
  <c r="H643" i="1"/>
  <c r="H642" i="1"/>
  <c r="H641" i="1"/>
  <c r="H640" i="1"/>
  <c r="H639" i="1"/>
  <c r="C658" i="1"/>
  <c r="H638" i="1"/>
  <c r="H637" i="1"/>
  <c r="E637" i="1"/>
  <c r="E638" i="1" s="1"/>
  <c r="E639" i="1" s="1"/>
  <c r="E640" i="1" s="1"/>
  <c r="E641" i="1" s="1"/>
  <c r="E642" i="1" s="1"/>
  <c r="E643" i="1" s="1"/>
  <c r="E644" i="1" s="1"/>
  <c r="E645" i="1" s="1"/>
  <c r="E646" i="1" s="1"/>
  <c r="H636" i="1"/>
  <c r="F682" i="1" l="1"/>
  <c r="F657" i="1"/>
  <c r="G657" i="1" s="1"/>
  <c r="D647" i="1"/>
  <c r="D658" i="1" s="1"/>
  <c r="E647" i="1" l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F658" i="1" s="1"/>
  <c r="D626" i="1" l="1"/>
  <c r="C615" i="1"/>
  <c r="C634" i="1"/>
  <c r="D623" i="1"/>
  <c r="H622" i="1"/>
  <c r="H621" i="1"/>
  <c r="H620" i="1"/>
  <c r="H619" i="1"/>
  <c r="H618" i="1"/>
  <c r="H617" i="1"/>
  <c r="H616" i="1"/>
  <c r="H615" i="1"/>
  <c r="H614" i="1"/>
  <c r="H613" i="1"/>
  <c r="E613" i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H612" i="1"/>
  <c r="F633" i="1" l="1"/>
  <c r="G633" i="1" s="1"/>
  <c r="D634" i="1"/>
  <c r="D602" i="1"/>
  <c r="C600" i="1"/>
  <c r="C610" i="1"/>
  <c r="D599" i="1"/>
  <c r="D610" i="1" s="1"/>
  <c r="H598" i="1"/>
  <c r="H597" i="1"/>
  <c r="H596" i="1"/>
  <c r="H595" i="1"/>
  <c r="H594" i="1"/>
  <c r="H593" i="1"/>
  <c r="H592" i="1"/>
  <c r="H591" i="1"/>
  <c r="H590" i="1"/>
  <c r="H589" i="1"/>
  <c r="E589" i="1"/>
  <c r="E590" i="1" s="1"/>
  <c r="E591" i="1" s="1"/>
  <c r="E592" i="1" s="1"/>
  <c r="E593" i="1" s="1"/>
  <c r="E594" i="1" s="1"/>
  <c r="E595" i="1" s="1"/>
  <c r="E596" i="1" s="1"/>
  <c r="E597" i="1" s="1"/>
  <c r="E598" i="1" s="1"/>
  <c r="H588" i="1"/>
  <c r="F609" i="1" l="1"/>
  <c r="G609" i="1" s="1"/>
  <c r="F634" i="1"/>
  <c r="E599" i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F610" i="1" l="1"/>
  <c r="G570" i="1"/>
  <c r="G569" i="1"/>
  <c r="C586" i="1"/>
  <c r="D575" i="1"/>
  <c r="D586" i="1" s="1"/>
  <c r="H574" i="1"/>
  <c r="H573" i="1"/>
  <c r="H572" i="1"/>
  <c r="H571" i="1"/>
  <c r="H570" i="1"/>
  <c r="H569" i="1"/>
  <c r="H568" i="1"/>
  <c r="H567" i="1"/>
  <c r="H566" i="1"/>
  <c r="H565" i="1"/>
  <c r="E565" i="1"/>
  <c r="E566" i="1" s="1"/>
  <c r="E567" i="1" s="1"/>
  <c r="E568" i="1" s="1"/>
  <c r="E569" i="1" s="1"/>
  <c r="E570" i="1" s="1"/>
  <c r="E571" i="1" s="1"/>
  <c r="E572" i="1" s="1"/>
  <c r="E573" i="1" s="1"/>
  <c r="E574" i="1" s="1"/>
  <c r="H564" i="1"/>
  <c r="F585" i="1" s="1"/>
  <c r="E575" i="1" l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F586" i="1" s="1"/>
  <c r="G585" i="1"/>
  <c r="G548" i="1" l="1"/>
  <c r="G545" i="1"/>
  <c r="D554" i="1"/>
  <c r="C562" i="1"/>
  <c r="D551" i="1"/>
  <c r="H550" i="1"/>
  <c r="H549" i="1"/>
  <c r="H548" i="1"/>
  <c r="H547" i="1"/>
  <c r="H546" i="1"/>
  <c r="H545" i="1"/>
  <c r="H544" i="1"/>
  <c r="H543" i="1"/>
  <c r="H542" i="1"/>
  <c r="H541" i="1"/>
  <c r="E541" i="1"/>
  <c r="E542" i="1" s="1"/>
  <c r="H540" i="1"/>
  <c r="F561" i="1" l="1"/>
  <c r="G561" i="1" s="1"/>
  <c r="D562" i="1"/>
  <c r="E543" i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F562" i="1" l="1"/>
  <c r="D530" i="1"/>
  <c r="G518" i="1"/>
  <c r="G516" i="1"/>
  <c r="H516" i="1" s="1"/>
  <c r="G522" i="1"/>
  <c r="H526" i="1"/>
  <c r="H525" i="1"/>
  <c r="D527" i="1"/>
  <c r="D538" i="1" s="1"/>
  <c r="H524" i="1"/>
  <c r="H523" i="1"/>
  <c r="H522" i="1"/>
  <c r="H521" i="1"/>
  <c r="H520" i="1"/>
  <c r="H519" i="1"/>
  <c r="H518" i="1"/>
  <c r="H517" i="1"/>
  <c r="C538" i="1"/>
  <c r="F537" i="1" l="1"/>
  <c r="G537" i="1" s="1"/>
  <c r="E517" i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G498" i="1"/>
  <c r="G497" i="1"/>
  <c r="D513" i="1"/>
  <c r="G492" i="1"/>
  <c r="H492" i="1"/>
  <c r="G494" i="1"/>
  <c r="G499" i="1"/>
  <c r="H499" i="1" s="1"/>
  <c r="C493" i="1"/>
  <c r="C501" i="1"/>
  <c r="D503" i="1" s="1"/>
  <c r="C514" i="1"/>
  <c r="H502" i="1"/>
  <c r="H501" i="1"/>
  <c r="H500" i="1"/>
  <c r="H498" i="1"/>
  <c r="H497" i="1"/>
  <c r="H496" i="1"/>
  <c r="H495" i="1"/>
  <c r="H494" i="1"/>
  <c r="H493" i="1"/>
  <c r="E493" i="1"/>
  <c r="E494" i="1" s="1"/>
  <c r="E495" i="1" s="1"/>
  <c r="E496" i="1" s="1"/>
  <c r="E497" i="1" s="1"/>
  <c r="E498" i="1" s="1"/>
  <c r="E499" i="1" s="1"/>
  <c r="E500" i="1" s="1"/>
  <c r="E501" i="1" s="1"/>
  <c r="E502" i="1" s="1"/>
  <c r="D514" i="1" l="1"/>
  <c r="F538" i="1"/>
  <c r="F513" i="1"/>
  <c r="G513" i="1" s="1"/>
  <c r="E503" i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D489" i="1"/>
  <c r="G468" i="1"/>
  <c r="C489" i="1"/>
  <c r="C490" i="1" s="1"/>
  <c r="G473" i="1"/>
  <c r="D482" i="1"/>
  <c r="D479" i="1"/>
  <c r="H478" i="1"/>
  <c r="H477" i="1"/>
  <c r="H476" i="1"/>
  <c r="H475" i="1"/>
  <c r="H474" i="1"/>
  <c r="H473" i="1"/>
  <c r="H472" i="1"/>
  <c r="H471" i="1"/>
  <c r="H470" i="1"/>
  <c r="H469" i="1"/>
  <c r="E469" i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H468" i="1"/>
  <c r="D490" i="1" l="1"/>
  <c r="F514" i="1"/>
  <c r="F489" i="1"/>
  <c r="F490" i="1" s="1"/>
  <c r="G489" i="1" l="1"/>
  <c r="G452" i="1" l="1"/>
  <c r="G453" i="1"/>
  <c r="G444" i="1"/>
  <c r="H444" i="1"/>
  <c r="D458" i="1"/>
  <c r="H454" i="1"/>
  <c r="H453" i="1"/>
  <c r="H452" i="1"/>
  <c r="G448" i="1"/>
  <c r="G449" i="1"/>
  <c r="C466" i="1"/>
  <c r="D455" i="1"/>
  <c r="H451" i="1"/>
  <c r="H450" i="1"/>
  <c r="H449" i="1"/>
  <c r="H448" i="1"/>
  <c r="H447" i="1"/>
  <c r="H446" i="1"/>
  <c r="H445" i="1"/>
  <c r="E445" i="1"/>
  <c r="E446" i="1" s="1"/>
  <c r="E447" i="1" s="1"/>
  <c r="E448" i="1" s="1"/>
  <c r="E449" i="1" s="1"/>
  <c r="E450" i="1" s="1"/>
  <c r="E451" i="1" s="1"/>
  <c r="E452" i="1" s="1"/>
  <c r="E453" i="1" s="1"/>
  <c r="E454" i="1" s="1"/>
  <c r="D466" i="1" l="1"/>
  <c r="F465" i="1"/>
  <c r="G465" i="1" s="1"/>
  <c r="E455" i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D434" i="1"/>
  <c r="C442" i="1"/>
  <c r="H431" i="1"/>
  <c r="D431" i="1"/>
  <c r="D442" i="1" s="1"/>
  <c r="H430" i="1"/>
  <c r="H429" i="1"/>
  <c r="H428" i="1"/>
  <c r="H427" i="1"/>
  <c r="H426" i="1"/>
  <c r="H425" i="1"/>
  <c r="H424" i="1"/>
  <c r="H423" i="1"/>
  <c r="H422" i="1"/>
  <c r="H421" i="1"/>
  <c r="E421" i="1"/>
  <c r="E422" i="1" s="1"/>
  <c r="E423" i="1" s="1"/>
  <c r="E424" i="1" s="1"/>
  <c r="E425" i="1" s="1"/>
  <c r="E426" i="1" s="1"/>
  <c r="E427" i="1" s="1"/>
  <c r="E428" i="1" s="1"/>
  <c r="E429" i="1" s="1"/>
  <c r="E430" i="1" s="1"/>
  <c r="H420" i="1"/>
  <c r="F466" i="1" l="1"/>
  <c r="E431" i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F441" i="1"/>
  <c r="G441" i="1" s="1"/>
  <c r="F442" i="1" l="1"/>
  <c r="G405" i="1" l="1"/>
  <c r="G401" i="1"/>
  <c r="G396" i="1"/>
  <c r="H396" i="1" s="1"/>
  <c r="G398" i="1"/>
  <c r="H398" i="1" s="1"/>
  <c r="H407" i="1"/>
  <c r="H406" i="1"/>
  <c r="H405" i="1"/>
  <c r="H404" i="1"/>
  <c r="H403" i="1"/>
  <c r="H402" i="1"/>
  <c r="H401" i="1"/>
  <c r="H400" i="1"/>
  <c r="H399" i="1"/>
  <c r="D407" i="1"/>
  <c r="D418" i="1" s="1"/>
  <c r="H397" i="1"/>
  <c r="C418" i="1"/>
  <c r="F417" i="1" l="1"/>
  <c r="E397" i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F418" i="1" l="1"/>
  <c r="G372" i="1" l="1"/>
  <c r="G376" i="1"/>
  <c r="H376" i="1" s="1"/>
  <c r="G374" i="1"/>
  <c r="H374" i="1" s="1"/>
  <c r="D386" i="1"/>
  <c r="C373" i="1"/>
  <c r="E373" i="1"/>
  <c r="E374" i="1" s="1"/>
  <c r="E375" i="1" s="1"/>
  <c r="E376" i="1" s="1"/>
  <c r="C375" i="1"/>
  <c r="D383" i="1" s="1"/>
  <c r="H383" i="1"/>
  <c r="H382" i="1"/>
  <c r="H381" i="1"/>
  <c r="H380" i="1"/>
  <c r="H379" i="1"/>
  <c r="H378" i="1"/>
  <c r="H377" i="1"/>
  <c r="H375" i="1"/>
  <c r="H373" i="1"/>
  <c r="H372" i="1"/>
  <c r="C394" i="1" l="1"/>
  <c r="F393" i="1"/>
  <c r="D394" i="1"/>
  <c r="E377" i="1"/>
  <c r="E378" i="1" s="1"/>
  <c r="E379" i="1" s="1"/>
  <c r="E380" i="1" s="1"/>
  <c r="E381" i="1" s="1"/>
  <c r="E382" i="1" s="1"/>
  <c r="E383" i="1" l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F394" i="1" s="1"/>
  <c r="G358" i="1" l="1"/>
  <c r="G357" i="1"/>
  <c r="G348" i="1"/>
  <c r="H348" i="1" s="1"/>
  <c r="G350" i="1"/>
  <c r="H350" i="1" s="1"/>
  <c r="C370" i="1"/>
  <c r="D359" i="1"/>
  <c r="D370" i="1" s="1"/>
  <c r="H356" i="1"/>
  <c r="H357" i="1"/>
  <c r="H358" i="1"/>
  <c r="H359" i="1"/>
  <c r="H355" i="1"/>
  <c r="H354" i="1"/>
  <c r="H353" i="1"/>
  <c r="H352" i="1"/>
  <c r="H351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F369" i="1" l="1"/>
  <c r="G369" i="1" s="1"/>
  <c r="F370" i="1" l="1"/>
  <c r="G333" i="1" l="1"/>
  <c r="H333" i="1" s="1"/>
  <c r="G332" i="1"/>
  <c r="H332" i="1" s="1"/>
  <c r="G331" i="1"/>
  <c r="G329" i="1"/>
  <c r="H329" i="1" s="1"/>
  <c r="G327" i="1"/>
  <c r="G325" i="1"/>
  <c r="C333" i="1"/>
  <c r="D333" i="1"/>
  <c r="C327" i="1"/>
  <c r="D327" i="1" s="1"/>
  <c r="C326" i="1"/>
  <c r="C346" i="1" s="1"/>
  <c r="H335" i="1"/>
  <c r="H334" i="1"/>
  <c r="H331" i="1"/>
  <c r="H330" i="1"/>
  <c r="H328" i="1"/>
  <c r="H327" i="1"/>
  <c r="H326" i="1"/>
  <c r="E326" i="1"/>
  <c r="H325" i="1"/>
  <c r="F345" i="1" l="1"/>
  <c r="E327" i="1"/>
  <c r="E328" i="1" s="1"/>
  <c r="E329" i="1" s="1"/>
  <c r="E330" i="1" s="1"/>
  <c r="E331" i="1" s="1"/>
  <c r="E332" i="1" s="1"/>
  <c r="E333" i="1" s="1"/>
  <c r="E334" i="1" s="1"/>
  <c r="D335" i="1"/>
  <c r="D346" i="1" s="1"/>
  <c r="E335" i="1" l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F346" i="1" s="1"/>
  <c r="G307" i="1" l="1"/>
  <c r="G306" i="1"/>
  <c r="H306" i="1" s="1"/>
  <c r="G302" i="1"/>
  <c r="C284" i="1"/>
  <c r="C261" i="1"/>
  <c r="C323" i="1"/>
  <c r="H312" i="1"/>
  <c r="D312" i="1"/>
  <c r="H311" i="1"/>
  <c r="H310" i="1"/>
  <c r="H309" i="1"/>
  <c r="H308" i="1"/>
  <c r="H307" i="1"/>
  <c r="H305" i="1"/>
  <c r="H304" i="1"/>
  <c r="H303" i="1"/>
  <c r="E303" i="1"/>
  <c r="H302" i="1"/>
  <c r="E304" i="1" l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D323" i="1"/>
  <c r="F322" i="1"/>
  <c r="F323" i="1" l="1"/>
  <c r="C300" i="1" l="1"/>
  <c r="H289" i="1"/>
  <c r="D289" i="1"/>
  <c r="D300" i="1" s="1"/>
  <c r="H288" i="1"/>
  <c r="H287" i="1"/>
  <c r="H286" i="1"/>
  <c r="H285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E289" i="1" l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299" i="1"/>
  <c r="F300" i="1" l="1"/>
  <c r="G266" i="1" l="1"/>
  <c r="G265" i="1"/>
  <c r="G262" i="1"/>
  <c r="G258" i="1"/>
  <c r="D266" i="1"/>
  <c r="H266" i="1"/>
  <c r="H265" i="1"/>
  <c r="H264" i="1"/>
  <c r="H263" i="1"/>
  <c r="H262" i="1"/>
  <c r="H261" i="1"/>
  <c r="H260" i="1"/>
  <c r="H259" i="1"/>
  <c r="H258" i="1"/>
  <c r="C277" i="1"/>
  <c r="H257" i="1"/>
  <c r="E257" i="1"/>
  <c r="E258" i="1" s="1"/>
  <c r="E259" i="1" s="1"/>
  <c r="E260" i="1" s="1"/>
  <c r="E261" i="1" s="1"/>
  <c r="H256" i="1"/>
  <c r="F276" i="1" l="1"/>
  <c r="G276" i="1" s="1"/>
  <c r="E262" i="1"/>
  <c r="E263" i="1" s="1"/>
  <c r="E264" i="1" s="1"/>
  <c r="E265" i="1" s="1"/>
  <c r="D277" i="1"/>
  <c r="E266" i="1" l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F277" i="1" l="1"/>
  <c r="G233" i="1" l="1"/>
  <c r="G235" i="1"/>
  <c r="G238" i="1"/>
  <c r="H238" i="1" s="1"/>
  <c r="G243" i="1"/>
  <c r="G242" i="1"/>
  <c r="H242" i="1" s="1"/>
  <c r="G237" i="1"/>
  <c r="D246" i="1"/>
  <c r="C239" i="1"/>
  <c r="D243" i="1" s="1"/>
  <c r="C235" i="1"/>
  <c r="D235" i="1"/>
  <c r="C241" i="1"/>
  <c r="H243" i="1"/>
  <c r="H241" i="1"/>
  <c r="H240" i="1"/>
  <c r="H239" i="1"/>
  <c r="H237" i="1"/>
  <c r="H236" i="1"/>
  <c r="H235" i="1"/>
  <c r="H234" i="1"/>
  <c r="E234" i="1"/>
  <c r="E235" i="1" s="1"/>
  <c r="E236" i="1" s="1"/>
  <c r="E237" i="1" s="1"/>
  <c r="E238" i="1" s="1"/>
  <c r="H233" i="1"/>
  <c r="C254" i="1" l="1"/>
  <c r="E239" i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D254" i="1"/>
  <c r="F253" i="1"/>
  <c r="F254" i="1" l="1"/>
  <c r="D230" i="1" l="1"/>
  <c r="C230" i="1"/>
  <c r="G218" i="1"/>
  <c r="G216" i="1"/>
  <c r="G215" i="1"/>
  <c r="G210" i="1"/>
  <c r="G214" i="1"/>
  <c r="H214" i="1" s="1"/>
  <c r="C215" i="1"/>
  <c r="D220" i="1" s="1"/>
  <c r="C211" i="1"/>
  <c r="C231" i="1" s="1"/>
  <c r="C219" i="1"/>
  <c r="H220" i="1"/>
  <c r="H219" i="1"/>
  <c r="H218" i="1"/>
  <c r="H217" i="1"/>
  <c r="H216" i="1"/>
  <c r="H215" i="1"/>
  <c r="H213" i="1"/>
  <c r="H212" i="1"/>
  <c r="H211" i="1"/>
  <c r="H210" i="1"/>
  <c r="E211" i="1" l="1"/>
  <c r="E212" i="1" s="1"/>
  <c r="E213" i="1" s="1"/>
  <c r="E214" i="1" s="1"/>
  <c r="E215" i="1" s="1"/>
  <c r="E216" i="1" s="1"/>
  <c r="E217" i="1" s="1"/>
  <c r="E218" i="1" s="1"/>
  <c r="E219" i="1" s="1"/>
  <c r="F230" i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D231" i="1"/>
  <c r="F231" i="1" l="1"/>
  <c r="G187" i="1" l="1"/>
  <c r="G189" i="1"/>
  <c r="G194" i="1"/>
  <c r="G193" i="1"/>
  <c r="G192" i="1"/>
  <c r="C188" i="1"/>
  <c r="D200" i="1"/>
  <c r="C195" i="1"/>
  <c r="C208" i="1" s="1"/>
  <c r="D195" i="1"/>
  <c r="H197" i="1" l="1"/>
  <c r="H196" i="1"/>
  <c r="H195" i="1"/>
  <c r="D197" i="1"/>
  <c r="D208" i="1" s="1"/>
  <c r="H194" i="1"/>
  <c r="H193" i="1"/>
  <c r="H192" i="1"/>
  <c r="H191" i="1"/>
  <c r="H190" i="1"/>
  <c r="H189" i="1"/>
  <c r="H188" i="1"/>
  <c r="H187" i="1"/>
  <c r="F207" i="1" l="1"/>
  <c r="E188" i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8" i="1" l="1"/>
  <c r="D174" i="1" l="1"/>
  <c r="C165" i="1"/>
  <c r="C172" i="1"/>
  <c r="D172" i="1"/>
  <c r="H174" i="1"/>
  <c r="H173" i="1"/>
  <c r="H172" i="1"/>
  <c r="H171" i="1"/>
  <c r="H170" i="1"/>
  <c r="H169" i="1"/>
  <c r="H168" i="1"/>
  <c r="H167" i="1"/>
  <c r="H166" i="1"/>
  <c r="H165" i="1"/>
  <c r="C185" i="1"/>
  <c r="H164" i="1"/>
  <c r="F184" i="1" l="1"/>
  <c r="E165" i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D185" i="1"/>
  <c r="F185" i="1" l="1"/>
  <c r="G149" i="1" l="1"/>
  <c r="G144" i="1"/>
  <c r="H144" i="1" s="1"/>
  <c r="G141" i="1"/>
  <c r="H141" i="1" s="1"/>
  <c r="C149" i="1"/>
  <c r="D151" i="1" s="1"/>
  <c r="D162" i="1" s="1"/>
  <c r="C142" i="1"/>
  <c r="E142" i="1" s="1"/>
  <c r="E143" i="1" s="1"/>
  <c r="E144" i="1" s="1"/>
  <c r="E145" i="1" s="1"/>
  <c r="E146" i="1" s="1"/>
  <c r="E147" i="1" s="1"/>
  <c r="E148" i="1" s="1"/>
  <c r="E149" i="1" s="1"/>
  <c r="E150" i="1" s="1"/>
  <c r="D149" i="1"/>
  <c r="C162" i="1"/>
  <c r="H151" i="1"/>
  <c r="H150" i="1"/>
  <c r="H149" i="1"/>
  <c r="H148" i="1"/>
  <c r="H147" i="1"/>
  <c r="H146" i="1"/>
  <c r="H145" i="1"/>
  <c r="H143" i="1"/>
  <c r="H142" i="1"/>
  <c r="E151" i="1" l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F161" i="1"/>
  <c r="F162" i="1" l="1"/>
  <c r="G126" i="1"/>
  <c r="G124" i="1"/>
  <c r="H124" i="1" s="1"/>
  <c r="G120" i="1"/>
  <c r="H120" i="1" s="1"/>
  <c r="G118" i="1"/>
  <c r="H118" i="1" s="1"/>
  <c r="H128" i="1"/>
  <c r="H127" i="1"/>
  <c r="H126" i="1"/>
  <c r="H125" i="1"/>
  <c r="H123" i="1"/>
  <c r="H122" i="1"/>
  <c r="H121" i="1"/>
  <c r="C139" i="1"/>
  <c r="H119" i="1"/>
  <c r="E119" i="1"/>
  <c r="E120" i="1" s="1"/>
  <c r="E121" i="1" s="1"/>
  <c r="E122" i="1" s="1"/>
  <c r="E123" i="1" s="1"/>
  <c r="E124" i="1" s="1"/>
  <c r="E125" i="1" s="1"/>
  <c r="E126" i="1" s="1"/>
  <c r="E127" i="1" s="1"/>
  <c r="F138" i="1" l="1"/>
  <c r="D128" i="1"/>
  <c r="D139" i="1" s="1"/>
  <c r="E128" i="1" l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F139" i="1" s="1"/>
  <c r="C97" i="1" l="1"/>
  <c r="C116" i="1"/>
  <c r="H105" i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H95" i="1"/>
  <c r="F115" i="1" l="1"/>
  <c r="E100" i="1"/>
  <c r="E101" i="1" s="1"/>
  <c r="E102" i="1" s="1"/>
  <c r="E103" i="1" s="1"/>
  <c r="E104" i="1" s="1"/>
  <c r="D105" i="1"/>
  <c r="D116" i="1" s="1"/>
  <c r="E105" i="1" l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F116" i="1" s="1"/>
  <c r="C77" i="1" l="1"/>
  <c r="H79" i="1" l="1"/>
  <c r="G77" i="1"/>
  <c r="H77" i="1" s="1"/>
  <c r="G78" i="1"/>
  <c r="H82" i="1"/>
  <c r="H81" i="1"/>
  <c r="H80" i="1"/>
  <c r="H78" i="1"/>
  <c r="H76" i="1"/>
  <c r="H75" i="1"/>
  <c r="H74" i="1"/>
  <c r="C93" i="1"/>
  <c r="H73" i="1"/>
  <c r="E73" i="1"/>
  <c r="E74" i="1" s="1"/>
  <c r="E75" i="1" s="1"/>
  <c r="E76" i="1" s="1"/>
  <c r="E77" i="1" s="1"/>
  <c r="E78" i="1" s="1"/>
  <c r="E79" i="1" s="1"/>
  <c r="E80" i="1" s="1"/>
  <c r="E81" i="1" s="1"/>
  <c r="H72" i="1"/>
  <c r="F92" i="1" l="1"/>
  <c r="D82" i="1"/>
  <c r="D93" i="1" s="1"/>
  <c r="E82" i="1" l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3" i="1" s="1"/>
  <c r="D62" i="1" l="1"/>
  <c r="G51" i="1"/>
  <c r="G49" i="1"/>
  <c r="G58" i="1"/>
  <c r="G56" i="1"/>
  <c r="G52" i="1"/>
  <c r="G53" i="1"/>
  <c r="G55" i="1"/>
  <c r="G54" i="1"/>
  <c r="C51" i="1"/>
  <c r="C70" i="1" l="1"/>
  <c r="H59" i="1"/>
  <c r="D59" i="1"/>
  <c r="D70" i="1" s="1"/>
  <c r="H58" i="1"/>
  <c r="H57" i="1"/>
  <c r="H56" i="1"/>
  <c r="H55" i="1"/>
  <c r="H54" i="1"/>
  <c r="H53" i="1"/>
  <c r="H52" i="1"/>
  <c r="H51" i="1"/>
  <c r="H50" i="1"/>
  <c r="E50" i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H49" i="1"/>
  <c r="F69" i="1" l="1"/>
  <c r="F70" i="1" s="1"/>
  <c r="G26" i="1"/>
  <c r="G32" i="1"/>
  <c r="H32" i="1"/>
  <c r="D39" i="1"/>
  <c r="D36" i="1"/>
  <c r="H36" i="1"/>
  <c r="H35" i="1"/>
  <c r="H34" i="1"/>
  <c r="C47" i="1"/>
  <c r="H33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H26" i="1"/>
  <c r="F46" i="1" l="1"/>
  <c r="D47" i="1" l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D16" i="1" l="1"/>
  <c r="H6" i="1"/>
  <c r="H7" i="1"/>
  <c r="H8" i="1"/>
  <c r="H9" i="1"/>
  <c r="G5" i="1"/>
  <c r="C11" i="1"/>
  <c r="D11" i="1"/>
  <c r="AM38" i="2" l="1"/>
  <c r="D13" i="1" l="1"/>
  <c r="O67" i="2" l="1"/>
  <c r="K67" i="2"/>
  <c r="E67" i="2"/>
  <c r="G67" i="2"/>
  <c r="I67" i="2"/>
  <c r="M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AY67" i="2"/>
  <c r="BA67" i="2"/>
  <c r="BC67" i="2"/>
  <c r="BE67" i="2"/>
  <c r="BG67" i="2"/>
  <c r="BI67" i="2"/>
  <c r="BK67" i="2"/>
  <c r="BM67" i="2"/>
  <c r="Q17" i="2" l="1"/>
  <c r="Q18" i="2"/>
  <c r="Q19" i="2"/>
  <c r="BM24" i="2" l="1"/>
  <c r="BM3" i="2"/>
  <c r="B151" i="2" l="1"/>
  <c r="B150" i="2"/>
  <c r="K10" i="2" l="1"/>
  <c r="AW3" i="2" l="1"/>
  <c r="AW4" i="2"/>
  <c r="AW5" i="2"/>
  <c r="AA9" i="2" l="1"/>
  <c r="H13" i="1" l="1"/>
  <c r="H12" i="1"/>
  <c r="H11" i="1"/>
  <c r="H10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BC7" i="2" l="1"/>
  <c r="O10" i="2" l="1"/>
  <c r="K7" i="2" l="1"/>
  <c r="I46" i="2" l="1"/>
  <c r="I5" i="2" l="1"/>
  <c r="I4" i="2"/>
  <c r="I6" i="2"/>
  <c r="AW69" i="2" l="1"/>
  <c r="S15" i="2" l="1"/>
  <c r="K69" i="2" l="1"/>
  <c r="W69" i="2" l="1"/>
  <c r="W70" i="2"/>
  <c r="W71" i="2"/>
  <c r="U69" i="2"/>
  <c r="U70" i="2"/>
  <c r="U71" i="2"/>
  <c r="S69" i="2"/>
  <c r="S70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8" i="2"/>
  <c r="I68" i="2"/>
  <c r="K68" i="2"/>
  <c r="M68" i="2"/>
  <c r="O68" i="2"/>
  <c r="Q68" i="2"/>
  <c r="S68" i="2"/>
  <c r="U68" i="2"/>
  <c r="W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AW68" i="2"/>
  <c r="BA68" i="2"/>
  <c r="BC68" i="2"/>
  <c r="BE68" i="2"/>
  <c r="BG68" i="2"/>
  <c r="BI68" i="2"/>
  <c r="BK68" i="2"/>
  <c r="BM68" i="2"/>
  <c r="G69" i="2"/>
  <c r="I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79" i="2"/>
  <c r="I79" i="2"/>
  <c r="K79" i="2"/>
  <c r="M79" i="2"/>
  <c r="O79" i="2"/>
  <c r="Q79" i="2"/>
  <c r="S79" i="2"/>
  <c r="U79" i="2"/>
  <c r="W79" i="2"/>
  <c r="Y79" i="2"/>
  <c r="AA79" i="2"/>
  <c r="AC79" i="2"/>
  <c r="AE79" i="2"/>
  <c r="AG79" i="2"/>
  <c r="AI79" i="2"/>
  <c r="AK79" i="2"/>
  <c r="AM79" i="2"/>
  <c r="AO79" i="2"/>
  <c r="AQ79" i="2"/>
  <c r="AS79" i="2"/>
  <c r="AU79" i="2"/>
  <c r="AW79" i="2"/>
  <c r="BA79" i="2"/>
  <c r="BC79" i="2"/>
  <c r="BE79" i="2"/>
  <c r="BG79" i="2"/>
  <c r="BI79" i="2"/>
  <c r="BK79" i="2"/>
  <c r="BM79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G136" i="2"/>
  <c r="I136" i="2"/>
  <c r="K136" i="2"/>
  <c r="M136" i="2"/>
  <c r="O136" i="2"/>
  <c r="Q136" i="2"/>
  <c r="S136" i="2"/>
  <c r="U136" i="2"/>
  <c r="W136" i="2"/>
  <c r="Y136" i="2"/>
  <c r="AA136" i="2"/>
  <c r="AC136" i="2"/>
  <c r="AE136" i="2"/>
  <c r="AG136" i="2"/>
  <c r="AI136" i="2"/>
  <c r="AK136" i="2"/>
  <c r="AM136" i="2"/>
  <c r="AO136" i="2"/>
  <c r="AQ136" i="2"/>
  <c r="AS136" i="2"/>
  <c r="AU136" i="2"/>
  <c r="AW136" i="2"/>
  <c r="BA136" i="2"/>
  <c r="BC136" i="2"/>
  <c r="BE136" i="2"/>
  <c r="BG136" i="2"/>
  <c r="BI136" i="2"/>
  <c r="BK136" i="2"/>
  <c r="BM136" i="2"/>
  <c r="BM138" i="2" l="1"/>
  <c r="BM142" i="2" s="1"/>
  <c r="W138" i="2"/>
  <c r="W142" i="2" s="1"/>
  <c r="W145" i="2" s="1"/>
  <c r="E69" i="2" l="1"/>
  <c r="E72" i="2" l="1"/>
  <c r="BO72" i="2"/>
  <c r="E65" i="2" l="1"/>
  <c r="E66" i="2" l="1"/>
  <c r="E10" i="2" l="1"/>
  <c r="BG138" i="2" l="1"/>
  <c r="BG142" i="2" s="1"/>
  <c r="BG145" i="2" s="1"/>
  <c r="AO138" i="2" l="1"/>
  <c r="AO142" i="2" s="1"/>
  <c r="AO145" i="2" s="1"/>
  <c r="W139" i="2" l="1"/>
  <c r="W143" i="2" s="1"/>
  <c r="W146" i="2" s="1"/>
  <c r="Q138" i="2" l="1"/>
  <c r="Q142" i="2" s="1"/>
  <c r="Q145" i="2" s="1"/>
  <c r="AA138" i="2" l="1"/>
  <c r="AA142" i="2" s="1"/>
  <c r="AA145" i="2" s="1"/>
  <c r="AE138" i="2" l="1"/>
  <c r="AE142" i="2" s="1"/>
  <c r="AE145" i="2" s="1"/>
  <c r="C80" i="2" l="1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C81" i="2"/>
  <c r="AY81" i="2" s="1"/>
  <c r="I81" i="2" l="1"/>
  <c r="M81" i="2"/>
  <c r="Q81" i="2"/>
  <c r="U81" i="2"/>
  <c r="Y81" i="2"/>
  <c r="AC81" i="2"/>
  <c r="AG81" i="2"/>
  <c r="AK81" i="2"/>
  <c r="AO81" i="2"/>
  <c r="AS81" i="2"/>
  <c r="AW81" i="2"/>
  <c r="BA81" i="2"/>
  <c r="BE81" i="2"/>
  <c r="BI81" i="2"/>
  <c r="BM81" i="2"/>
  <c r="G81" i="2"/>
  <c r="K81" i="2"/>
  <c r="O81" i="2"/>
  <c r="S81" i="2"/>
  <c r="W81" i="2"/>
  <c r="AA81" i="2"/>
  <c r="AE81" i="2"/>
  <c r="AI81" i="2"/>
  <c r="AM81" i="2"/>
  <c r="AQ81" i="2"/>
  <c r="AU81" i="2"/>
  <c r="BC81" i="2"/>
  <c r="BG81" i="2"/>
  <c r="BK81" i="2"/>
  <c r="E13" i="2" l="1"/>
  <c r="AY138" i="2" l="1"/>
  <c r="AY142" i="2" s="1"/>
  <c r="AY145" i="2" s="1"/>
  <c r="E44" i="2" l="1"/>
  <c r="E43" i="2"/>
  <c r="E29" i="2" l="1"/>
  <c r="AM138" i="2" l="1"/>
  <c r="AM142" i="2" s="1"/>
  <c r="AM145" i="2" s="1"/>
  <c r="Y138" i="2" l="1"/>
  <c r="Y142" i="2" s="1"/>
  <c r="Y145" i="2" s="1"/>
  <c r="S138" i="2" l="1"/>
  <c r="S142" i="2" s="1"/>
  <c r="S145" i="2" s="1"/>
  <c r="E4" i="2" l="1"/>
  <c r="E5" i="2"/>
  <c r="E3" i="2" l="1"/>
  <c r="BN3" i="2" s="1"/>
  <c r="U138" i="2" l="1"/>
  <c r="U142" i="2" s="1"/>
  <c r="U145" i="2" s="1"/>
  <c r="E136" i="2" l="1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8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2" i="2"/>
  <c r="BN66" i="2"/>
  <c r="BO66" i="2" s="1"/>
  <c r="E138" i="2"/>
  <c r="E142" i="2" s="1"/>
  <c r="E145" i="2" s="1"/>
  <c r="BN44" i="2"/>
  <c r="BO44" i="2" s="1"/>
  <c r="BN13" i="2"/>
  <c r="BO13" i="2" s="1"/>
  <c r="BN29" i="2"/>
  <c r="BO29" i="2" s="1"/>
  <c r="BN43" i="2"/>
  <c r="BO43" i="2" s="1"/>
  <c r="I139" i="2"/>
  <c r="I143" i="2" s="1"/>
  <c r="I146" i="2" s="1"/>
  <c r="I138" i="2"/>
  <c r="I142" i="2" s="1"/>
  <c r="I145" i="2" s="1"/>
  <c r="K139" i="2" l="1"/>
  <c r="K143" i="2" s="1"/>
  <c r="K146" i="2" s="1"/>
  <c r="K138" i="2"/>
  <c r="K142" i="2" s="1"/>
  <c r="K145" i="2" s="1"/>
  <c r="BM139" i="2" l="1"/>
  <c r="BM143" i="2" s="1"/>
  <c r="BK139" i="2"/>
  <c r="BK143" i="2" s="1"/>
  <c r="BK146" i="2" s="1"/>
  <c r="BI139" i="2"/>
  <c r="BI143" i="2" s="1"/>
  <c r="BI146" i="2" s="1"/>
  <c r="BG139" i="2"/>
  <c r="BG143" i="2" s="1"/>
  <c r="BG146" i="2" s="1"/>
  <c r="BE139" i="2"/>
  <c r="BE143" i="2" s="1"/>
  <c r="BE146" i="2" s="1"/>
  <c r="BC139" i="2"/>
  <c r="BC143" i="2" s="1"/>
  <c r="BC146" i="2" s="1"/>
  <c r="BA139" i="2"/>
  <c r="BA143" i="2" s="1"/>
  <c r="BA146" i="2" s="1"/>
  <c r="AY139" i="2"/>
  <c r="AY143" i="2" s="1"/>
  <c r="AY146" i="2" s="1"/>
  <c r="AW139" i="2"/>
  <c r="AW143" i="2" s="1"/>
  <c r="AW146" i="2" s="1"/>
  <c r="AU139" i="2"/>
  <c r="AU143" i="2" s="1"/>
  <c r="AU146" i="2" s="1"/>
  <c r="AS139" i="2"/>
  <c r="AS143" i="2" s="1"/>
  <c r="AS146" i="2" s="1"/>
  <c r="AQ139" i="2"/>
  <c r="AQ143" i="2" s="1"/>
  <c r="AQ146" i="2" s="1"/>
  <c r="AO139" i="2"/>
  <c r="AO143" i="2" s="1"/>
  <c r="AO146" i="2" s="1"/>
  <c r="AM139" i="2"/>
  <c r="AM143" i="2" s="1"/>
  <c r="AM146" i="2" s="1"/>
  <c r="AK139" i="2"/>
  <c r="AK143" i="2" s="1"/>
  <c r="AK146" i="2" s="1"/>
  <c r="AI139" i="2"/>
  <c r="AI143" i="2" s="1"/>
  <c r="AI146" i="2" s="1"/>
  <c r="AG139" i="2"/>
  <c r="AG143" i="2" s="1"/>
  <c r="AG146" i="2" s="1"/>
  <c r="AE139" i="2"/>
  <c r="AE143" i="2" s="1"/>
  <c r="AE146" i="2" s="1"/>
  <c r="AC139" i="2"/>
  <c r="AC143" i="2" s="1"/>
  <c r="AC146" i="2" s="1"/>
  <c r="AA139" i="2"/>
  <c r="AA143" i="2" s="1"/>
  <c r="AA146" i="2" s="1"/>
  <c r="Y139" i="2"/>
  <c r="Y143" i="2" s="1"/>
  <c r="Y146" i="2" s="1"/>
  <c r="U139" i="2"/>
  <c r="U143" i="2" s="1"/>
  <c r="U146" i="2" s="1"/>
  <c r="S139" i="2"/>
  <c r="S143" i="2" s="1"/>
  <c r="S146" i="2" s="1"/>
  <c r="Q139" i="2"/>
  <c r="Q143" i="2" s="1"/>
  <c r="Q146" i="2" s="1"/>
  <c r="O139" i="2"/>
  <c r="O143" i="2" s="1"/>
  <c r="O146" i="2" s="1"/>
  <c r="M139" i="2"/>
  <c r="M143" i="2" s="1"/>
  <c r="M146" i="2" s="1"/>
  <c r="G139" i="2"/>
  <c r="G143" i="2" s="1"/>
  <c r="G146" i="2" s="1"/>
  <c r="BK138" i="2"/>
  <c r="BK142" i="2" s="1"/>
  <c r="BK145" i="2" s="1"/>
  <c r="BI138" i="2"/>
  <c r="BI142" i="2" s="1"/>
  <c r="BI145" i="2" s="1"/>
  <c r="BE138" i="2"/>
  <c r="BE142" i="2" s="1"/>
  <c r="BE145" i="2" s="1"/>
  <c r="BC138" i="2"/>
  <c r="BC142" i="2" s="1"/>
  <c r="BC145" i="2" s="1"/>
  <c r="BA138" i="2"/>
  <c r="BA142" i="2" s="1"/>
  <c r="BA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K138" i="2"/>
  <c r="AK142" i="2" s="1"/>
  <c r="AK145" i="2" s="1"/>
  <c r="AI138" i="2"/>
  <c r="AI142" i="2" s="1"/>
  <c r="AI145" i="2" s="1"/>
  <c r="AG138" i="2"/>
  <c r="AG142" i="2" s="1"/>
  <c r="AG145" i="2" s="1"/>
  <c r="AC138" i="2"/>
  <c r="AC142" i="2" s="1"/>
  <c r="AC145" i="2" s="1"/>
  <c r="O138" i="2"/>
  <c r="O142" i="2" s="1"/>
  <c r="O145" i="2" s="1"/>
  <c r="M138" i="2"/>
  <c r="M142" i="2" s="1"/>
  <c r="M145" i="2" s="1"/>
  <c r="G138" i="2"/>
  <c r="G142" i="2" s="1"/>
  <c r="G145" i="2" s="1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1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5" i="2" l="1"/>
  <c r="BP145" i="2" s="1"/>
  <c r="BN138" i="2"/>
  <c r="BO138" i="2" s="1"/>
  <c r="BP138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2" i="2"/>
  <c r="BN100" i="2"/>
  <c r="BN98" i="2"/>
  <c r="BN96" i="2"/>
  <c r="BN94" i="2"/>
  <c r="BN92" i="2"/>
  <c r="BN90" i="2"/>
  <c r="BN88" i="2"/>
  <c r="BN86" i="2"/>
  <c r="BN84" i="2"/>
  <c r="BN82" i="2"/>
  <c r="BN80" i="2"/>
  <c r="BN78" i="2"/>
  <c r="BN76" i="2"/>
  <c r="BN71" i="2"/>
  <c r="BN70" i="2"/>
  <c r="BO70" i="2" s="1"/>
  <c r="BN68" i="2"/>
  <c r="BO68" i="2" s="1"/>
  <c r="BN64" i="2"/>
  <c r="BO64" i="2" s="1"/>
  <c r="BO3" i="2"/>
  <c r="E139" i="2"/>
  <c r="E143" i="2" s="1"/>
  <c r="E146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4" i="2"/>
  <c r="BO74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3" i="2"/>
  <c r="BO73" i="2" s="1"/>
  <c r="BN75" i="2"/>
  <c r="BN77" i="2"/>
  <c r="BN79" i="2"/>
  <c r="BN81" i="2"/>
  <c r="BN83" i="2"/>
  <c r="BN85" i="2"/>
  <c r="BN87" i="2"/>
  <c r="BN89" i="2"/>
  <c r="BN91" i="2"/>
  <c r="BN93" i="2"/>
  <c r="BN95" i="2"/>
  <c r="BN97" i="2"/>
  <c r="BN99" i="2"/>
  <c r="BN101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O142" i="2" l="1"/>
  <c r="BP142" i="2" s="1"/>
  <c r="BN139" i="2"/>
  <c r="BO139" i="2" s="1"/>
  <c r="BP139" i="2" s="1"/>
  <c r="BO143" i="2"/>
  <c r="BP143" i="2" s="1"/>
  <c r="BO146" i="2"/>
  <c r="BP146" i="2" s="1"/>
  <c r="BN131" i="2"/>
  <c r="BO131" i="2" s="1"/>
</calcChain>
</file>

<file path=xl/sharedStrings.xml><?xml version="1.0" encoding="utf-8"?>
<sst xmlns="http://schemas.openxmlformats.org/spreadsheetml/2006/main" count="797" uniqueCount="167">
  <si>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</si>
  <si>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</si>
  <si>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</si>
  <si>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</si>
  <si>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</si>
  <si>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</si>
  <si>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</si>
  <si>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</si>
  <si>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</si>
  <si>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</si>
  <si>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</si>
  <si>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</si>
  <si>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</si>
  <si>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</si>
  <si>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</si>
  <si>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</si>
  <si>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</si>
  <si>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</si>
  <si>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</si>
  <si>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</si>
  <si>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</si>
  <si>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</si>
  <si>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</si>
  <si>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</si>
  <si>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</si>
  <si>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</si>
  <si>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</si>
  <si>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</si>
  <si>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</si>
  <si>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</si>
  <si>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</si>
  <si>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</si>
  <si>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</si>
  <si>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</si>
  <si>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</si>
  <si>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</si>
  <si>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</si>
  <si>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</si>
  <si>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</si>
  <si>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</si>
  <si>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</si>
  <si>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</si>
  <si>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</si>
  <si>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</si>
  <si>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</si>
  <si>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</si>
  <si>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</si>
  <si>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</si>
  <si>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</si>
  <si>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</si>
  <si>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</si>
  <si>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</si>
  <si>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</si>
  <si>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</si>
  <si>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</si>
  <si>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</si>
  <si>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</si>
  <si>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</si>
  <si>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</si>
  <si>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</si>
  <si>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</si>
  <si>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</si>
  <si>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</si>
  <si>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</si>
  <si>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</si>
  <si>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</si>
  <si>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</si>
  <si>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</si>
  <si>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</si>
  <si>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</si>
  <si>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</si>
  <si>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</si>
  <si>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</si>
  <si>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</si>
  <si>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</si>
  <si>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</si>
  <si>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</si>
  <si>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</si>
  <si>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</si>
  <si>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</si>
  <si>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</si>
  <si>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</si>
  <si>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</si>
  <si>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</si>
  <si>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</si>
  <si>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</si>
  <si>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</si>
  <si>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</si>
  <si>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</si>
  <si>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</si>
  <si>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</si>
  <si>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</si>
  <si>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</si>
  <si>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</si>
  <si>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</si>
  <si>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</si>
  <si>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</si>
  <si>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</si>
  <si>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</si>
  <si>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</si>
  <si>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</si>
  <si>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</si>
  <si>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</si>
  <si>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</si>
  <si>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</si>
  <si>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</si>
  <si>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</si>
  <si>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</si>
  <si>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</si>
  <si>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</si>
  <si>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</si>
  <si>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</si>
  <si>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</si>
  <si>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</si>
  <si>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</si>
  <si>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</si>
  <si>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</si>
  <si>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</si>
  <si>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</si>
  <si>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</si>
  <si>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</si>
  <si>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</si>
  <si>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</si>
  <si>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</si>
  <si>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</si>
  <si>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</si>
  <si>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</si>
  <si>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</si>
  <si>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</si>
  <si>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</si>
  <si>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</si>
  <si>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</si>
  <si>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</si>
  <si>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</si>
  <si>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</si>
  <si>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</si>
  <si>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</si>
  <si>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</si>
  <si>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</si>
  <si>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</si>
  <si>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</si>
  <si>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</si>
  <si>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</si>
  <si>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</si>
  <si>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</si>
  <si>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</si>
  <si>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</si>
  <si>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</si>
  <si>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</si>
  <si>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</si>
  <si>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mie goreng ayam</t>
  </si>
  <si>
    <t>mie kuah ayam</t>
  </si>
  <si>
    <t>lain2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</si>
  <si>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</si>
  <si>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</si>
  <si>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</si>
  <si>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</si>
  <si>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</si>
  <si>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</si>
  <si>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</si>
  <si>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</si>
  <si>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</si>
  <si>
    <t xml:space="preserve">bun </t>
  </si>
  <si>
    <t>ovo</t>
  </si>
  <si>
    <t>qr bca</t>
  </si>
  <si>
    <t>qr bri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</si>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</sst>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2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79" activePane="bottomLeft" state="frozen"/>
      <selection pane="bottomLeft" activeCell="C685" sqref="C685:C694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5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4"/>
      <c r="I2" s="29"/>
      <c r="J2" s="62"/>
      <c r="K2" s="58"/>
      <c r="L2" s="61"/>
      <c r="M2" s="61"/>
      <c r="N2" s="60"/>
    </row>
    <row r="3" spans="1:14" ht="15" customHeight="1" x14ac:dyDescent="0.25">
      <c r="A3" s="47">
        <v>45597</v>
      </c>
      <c r="B3" s="1" t="s">
        <v>140</v>
      </c>
      <c r="C3" s="65"/>
      <c r="D3" s="8"/>
      <c r="E3" s="8">
        <v>250000</v>
      </c>
      <c r="F3" s="49">
        <v>100000</v>
      </c>
      <c r="G3" s="103"/>
      <c r="H3" s="3">
        <f>G3*F3</f>
        <v>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45597</v>
      </c>
      <c r="B4" s="31" t="s">
        <v>138</v>
      </c>
      <c r="C4" s="73">
        <v>341000</v>
      </c>
      <c r="D4" s="44"/>
      <c r="E4" s="32">
        <f>E3+C4-D4</f>
        <v>591000</v>
      </c>
      <c r="F4" s="3">
        <v>75000</v>
      </c>
      <c r="G4" s="103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45597</v>
      </c>
      <c r="B5" s="1" t="s">
        <v>155</v>
      </c>
      <c r="C5" s="73">
        <v>459000</v>
      </c>
      <c r="D5" s="44"/>
      <c r="E5" s="32">
        <f t="shared" ref="E5:E23" si="1">E4+C5-D5</f>
        <v>1050000</v>
      </c>
      <c r="F5" s="34">
        <v>50000</v>
      </c>
      <c r="G5" s="103">
        <f>1+4</f>
        <v>5</v>
      </c>
      <c r="H5" s="3">
        <f t="shared" si="0"/>
        <v>250000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45597</v>
      </c>
      <c r="B6" s="1" t="s">
        <v>156</v>
      </c>
      <c r="C6" s="73">
        <v>283000</v>
      </c>
      <c r="D6" s="44"/>
      <c r="E6" s="32">
        <f t="shared" si="1"/>
        <v>1333000</v>
      </c>
      <c r="F6" s="34">
        <v>20000</v>
      </c>
      <c r="G6" s="103">
        <v>1</v>
      </c>
      <c r="H6" s="3">
        <f t="shared" si="0"/>
        <v>20000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45597</v>
      </c>
      <c r="B7" s="1" t="s">
        <v>133</v>
      </c>
      <c r="C7" s="73">
        <v>1638000</v>
      </c>
      <c r="D7" s="44"/>
      <c r="E7" s="32">
        <f t="shared" si="1"/>
        <v>2971000</v>
      </c>
      <c r="F7" s="34">
        <v>10000</v>
      </c>
      <c r="G7" s="103">
        <v>1</v>
      </c>
      <c r="H7" s="3">
        <f t="shared" si="0"/>
        <v>10000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45597</v>
      </c>
      <c r="B8" s="1" t="s">
        <v>163</v>
      </c>
      <c r="C8" s="73"/>
      <c r="D8" s="44"/>
      <c r="E8" s="32">
        <f t="shared" si="1"/>
        <v>2971000</v>
      </c>
      <c r="F8" s="34">
        <v>5000</v>
      </c>
      <c r="G8" s="103">
        <v>1</v>
      </c>
      <c r="H8" s="3">
        <f t="shared" si="0"/>
        <v>5000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45597</v>
      </c>
      <c r="B9" s="1" t="s">
        <v>146</v>
      </c>
      <c r="C9" s="73">
        <v>6439000</v>
      </c>
      <c r="D9" s="44"/>
      <c r="E9" s="32">
        <f t="shared" si="1"/>
        <v>9410000</v>
      </c>
      <c r="F9" s="34">
        <v>2000</v>
      </c>
      <c r="G9" s="103">
        <v>7</v>
      </c>
      <c r="H9" s="3">
        <f t="shared" si="0"/>
        <v>14000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45597</v>
      </c>
      <c r="B10" s="1" t="s">
        <v>157</v>
      </c>
      <c r="C10" s="86"/>
      <c r="D10" s="44"/>
      <c r="E10" s="32">
        <f t="shared" si="1"/>
        <v>9410000</v>
      </c>
      <c r="F10" s="34">
        <v>1000</v>
      </c>
      <c r="G10" s="103"/>
      <c r="H10" s="3">
        <f t="shared" si="0"/>
        <v>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45597</v>
      </c>
      <c r="B11" s="1" t="s">
        <v>159</v>
      </c>
      <c r="C11" s="86">
        <f>2833000-216000</f>
        <v>2617000</v>
      </c>
      <c r="D11" s="44">
        <f>C11-2617000</f>
        <v>0</v>
      </c>
      <c r="E11" s="32">
        <f t="shared" si="1"/>
        <v>12027000</v>
      </c>
      <c r="F11" s="34">
        <v>500</v>
      </c>
      <c r="G11" s="103">
        <v>2</v>
      </c>
      <c r="H11" s="3">
        <f t="shared" si="0"/>
        <v>1000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45597</v>
      </c>
      <c r="B12" s="1" t="s">
        <v>145</v>
      </c>
      <c r="C12" s="86"/>
      <c r="D12" s="44"/>
      <c r="E12" s="32">
        <f t="shared" si="1"/>
        <v>12027000</v>
      </c>
      <c r="F12" s="34">
        <v>200</v>
      </c>
      <c r="G12" s="103"/>
      <c r="H12" s="3">
        <f t="shared" si="0"/>
        <v>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45597</v>
      </c>
      <c r="B13" s="1" t="s">
        <v>143</v>
      </c>
      <c r="C13" s="86"/>
      <c r="D13" s="44">
        <f>SUM(C5:C13)</f>
        <v>11436000</v>
      </c>
      <c r="E13" s="32">
        <f t="shared" si="1"/>
        <v>591000</v>
      </c>
      <c r="F13" s="34">
        <v>100</v>
      </c>
      <c r="G13" s="104"/>
      <c r="H13" s="3">
        <f t="shared" si="0"/>
        <v>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45597</v>
      </c>
      <c r="B14" s="1" t="s">
        <v>160</v>
      </c>
      <c r="C14" s="86">
        <v>-16000</v>
      </c>
      <c r="D14" s="46"/>
      <c r="E14" s="32">
        <f t="shared" si="1"/>
        <v>575000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45597</v>
      </c>
      <c r="B15" s="1"/>
      <c r="C15" s="86"/>
      <c r="D15" s="44"/>
      <c r="E15" s="32">
        <f t="shared" si="1"/>
        <v>575000</v>
      </c>
      <c r="F15" s="3"/>
      <c r="G15" s="34"/>
      <c r="H15" s="34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45597</v>
      </c>
      <c r="B16" s="31" t="s">
        <v>139</v>
      </c>
      <c r="C16" s="86"/>
      <c r="D16" s="44">
        <f>497800+200-16000</f>
        <v>482000</v>
      </c>
      <c r="E16" s="32">
        <f t="shared" si="1"/>
        <v>93000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45597</v>
      </c>
      <c r="B17" s="47"/>
      <c r="C17" s="87"/>
      <c r="D17" s="44"/>
      <c r="E17" s="32">
        <f t="shared" si="1"/>
        <v>93000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45597</v>
      </c>
      <c r="B18" s="82"/>
      <c r="C18" s="87"/>
      <c r="D18" s="44"/>
      <c r="E18" s="32">
        <f t="shared" si="1"/>
        <v>93000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45597</v>
      </c>
      <c r="B19" s="3"/>
      <c r="C19" s="87"/>
      <c r="D19" s="44"/>
      <c r="E19" s="32">
        <f t="shared" si="1"/>
        <v>93000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45597</v>
      </c>
      <c r="B20" s="1"/>
      <c r="C20" s="88"/>
      <c r="D20" s="36"/>
      <c r="E20" s="32">
        <f t="shared" si="1"/>
        <v>93000</v>
      </c>
      <c r="F20" s="1"/>
      <c r="G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45597</v>
      </c>
      <c r="B21" s="1" t="s">
        <v>143</v>
      </c>
      <c r="C21" s="89"/>
      <c r="D21" s="44"/>
      <c r="E21" s="32">
        <f t="shared" si="1"/>
        <v>93000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45597</v>
      </c>
      <c r="B22" s="47"/>
      <c r="C22" s="90"/>
      <c r="D22" s="44"/>
      <c r="E22" s="32">
        <f t="shared" si="1"/>
        <v>93000</v>
      </c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45597</v>
      </c>
      <c r="B23" s="45" t="s">
        <v>136</v>
      </c>
      <c r="C23" s="86">
        <v>207000</v>
      </c>
      <c r="D23" s="44"/>
      <c r="E23" s="32">
        <f t="shared" si="1"/>
        <v>300000</v>
      </c>
      <c r="F23" s="3">
        <f>SUM(H3:H19)</f>
        <v>300000</v>
      </c>
      <c r="G23" s="49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45597</v>
      </c>
      <c r="B24" s="4" t="s">
        <v>161</v>
      </c>
      <c r="C24" s="86">
        <f>SUM(C4:C23)</f>
        <v>11968000</v>
      </c>
      <c r="D24" s="33">
        <f>SUM(D5:D23)</f>
        <v>11918000</v>
      </c>
      <c r="E24" s="32"/>
      <c r="F24" s="25">
        <f>F23-E23</f>
        <v>0</v>
      </c>
      <c r="G24" s="34"/>
      <c r="I24" s="29"/>
      <c r="J24" s="60"/>
      <c r="K24" s="60"/>
      <c r="L24" s="60"/>
      <c r="M24" s="60"/>
      <c r="N24" s="60"/>
    </row>
    <row r="25" spans="1:14" ht="15" customHeight="1" x14ac:dyDescent="0.25">
      <c r="B25" s="30"/>
      <c r="C25" s="65"/>
      <c r="D25" s="8"/>
      <c r="E25" s="8"/>
      <c r="F25" s="34"/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A26" s="47">
        <v>45598</v>
      </c>
      <c r="B26" s="1" t="s">
        <v>140</v>
      </c>
      <c r="C26" s="65"/>
      <c r="D26" s="8"/>
      <c r="E26" s="8">
        <v>300000</v>
      </c>
      <c r="F26" s="49">
        <v>100000</v>
      </c>
      <c r="G26" s="103">
        <f>1-1</f>
        <v>0</v>
      </c>
      <c r="H26" s="3">
        <f>G26*F26</f>
        <v>0</v>
      </c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45598</v>
      </c>
      <c r="B27" s="31" t="s">
        <v>138</v>
      </c>
      <c r="C27" s="73">
        <v>477000</v>
      </c>
      <c r="D27" s="44"/>
      <c r="E27" s="32">
        <f>E26+C27-D27</f>
        <v>777000</v>
      </c>
      <c r="F27" s="3">
        <v>75000</v>
      </c>
      <c r="G27" s="103"/>
      <c r="H27" s="3">
        <f t="shared" ref="H27:H36" si="2"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45598</v>
      </c>
      <c r="B28" s="1" t="s">
        <v>155</v>
      </c>
      <c r="C28" s="73">
        <v>571000</v>
      </c>
      <c r="D28" s="44"/>
      <c r="E28" s="32">
        <f t="shared" ref="E28:E46" si="3">E27+C28-D28</f>
        <v>1348000</v>
      </c>
      <c r="F28" s="34">
        <v>50000</v>
      </c>
      <c r="G28" s="103">
        <v>5</v>
      </c>
      <c r="H28" s="3">
        <f t="shared" si="2"/>
        <v>250000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45598</v>
      </c>
      <c r="B29" s="1" t="s">
        <v>156</v>
      </c>
      <c r="C29" s="73">
        <v>374000</v>
      </c>
      <c r="D29" s="44"/>
      <c r="E29" s="32">
        <f t="shared" si="3"/>
        <v>1722000</v>
      </c>
      <c r="F29" s="34">
        <v>20000</v>
      </c>
      <c r="G29" s="103"/>
      <c r="H29" s="3">
        <f t="shared" si="2"/>
        <v>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45598</v>
      </c>
      <c r="B30" s="1" t="s">
        <v>133</v>
      </c>
      <c r="C30" s="73">
        <v>1166000</v>
      </c>
      <c r="D30" s="44"/>
      <c r="E30" s="32">
        <f t="shared" si="3"/>
        <v>2888000</v>
      </c>
      <c r="F30" s="34">
        <v>10000</v>
      </c>
      <c r="G30" s="103">
        <v>1</v>
      </c>
      <c r="H30" s="3">
        <f t="shared" si="2"/>
        <v>10000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45598</v>
      </c>
      <c r="B31" s="1" t="s">
        <v>163</v>
      </c>
      <c r="C31" s="73">
        <v>237000</v>
      </c>
      <c r="D31" s="44"/>
      <c r="E31" s="32">
        <f t="shared" si="3"/>
        <v>3125000</v>
      </c>
      <c r="F31" s="34">
        <v>5000</v>
      </c>
      <c r="G31" s="103">
        <v>5</v>
      </c>
      <c r="H31" s="3">
        <f t="shared" si="2"/>
        <v>25000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45598</v>
      </c>
      <c r="B32" s="1" t="s">
        <v>146</v>
      </c>
      <c r="C32" s="73">
        <v>6656000</v>
      </c>
      <c r="D32" s="44"/>
      <c r="E32" s="32">
        <f t="shared" si="3"/>
        <v>9781000</v>
      </c>
      <c r="F32" s="34">
        <v>2000</v>
      </c>
      <c r="G32" s="103">
        <f>13-6</f>
        <v>7</v>
      </c>
      <c r="H32" s="3">
        <f t="shared" si="2"/>
        <v>14000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45598</v>
      </c>
      <c r="B33" s="1" t="s">
        <v>157</v>
      </c>
      <c r="C33" s="86"/>
      <c r="D33" s="44"/>
      <c r="E33" s="32">
        <f t="shared" si="3"/>
        <v>9781000</v>
      </c>
      <c r="F33" s="34">
        <v>1000</v>
      </c>
      <c r="G33" s="103">
        <v>1</v>
      </c>
      <c r="H33" s="3">
        <f t="shared" si="2"/>
        <v>1000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45598</v>
      </c>
      <c r="B34" s="1" t="s">
        <v>159</v>
      </c>
      <c r="C34" s="86">
        <v>3177000</v>
      </c>
      <c r="D34" s="44"/>
      <c r="E34" s="32">
        <f t="shared" si="3"/>
        <v>12958000</v>
      </c>
      <c r="F34" s="34">
        <v>500</v>
      </c>
      <c r="G34" s="103"/>
      <c r="H34" s="3">
        <f t="shared" si="2"/>
        <v>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45598</v>
      </c>
      <c r="B35" s="1" t="s">
        <v>145</v>
      </c>
      <c r="C35" s="86"/>
      <c r="D35" s="44"/>
      <c r="E35" s="32">
        <f t="shared" si="3"/>
        <v>12958000</v>
      </c>
      <c r="F35" s="34">
        <v>200</v>
      </c>
      <c r="G35" s="103"/>
      <c r="H35" s="3">
        <f t="shared" si="2"/>
        <v>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45598</v>
      </c>
      <c r="B36" s="1" t="s">
        <v>143</v>
      </c>
      <c r="C36" s="86"/>
      <c r="D36" s="44">
        <f>SUM(C28:C36)</f>
        <v>12181000</v>
      </c>
      <c r="E36" s="32">
        <f t="shared" si="3"/>
        <v>777000</v>
      </c>
      <c r="F36" s="34">
        <v>100</v>
      </c>
      <c r="G36" s="104"/>
      <c r="H36" s="3">
        <f t="shared" si="2"/>
        <v>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45598</v>
      </c>
      <c r="B37" s="1" t="s">
        <v>160</v>
      </c>
      <c r="C37" s="86">
        <v>-25000</v>
      </c>
      <c r="D37" s="46"/>
      <c r="E37" s="32">
        <f t="shared" si="3"/>
        <v>752000</v>
      </c>
      <c r="F37" s="1"/>
      <c r="G37" s="1"/>
      <c r="H37" s="1"/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45598</v>
      </c>
      <c r="B38" s="1"/>
      <c r="C38" s="86"/>
      <c r="D38" s="44"/>
      <c r="E38" s="32">
        <f t="shared" si="3"/>
        <v>752000</v>
      </c>
      <c r="F38" s="3"/>
      <c r="G38" s="34"/>
      <c r="H38" s="34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45598</v>
      </c>
      <c r="B39" s="31" t="s">
        <v>139</v>
      </c>
      <c r="C39" s="86"/>
      <c r="D39" s="44">
        <f>311000-25000</f>
        <v>286000</v>
      </c>
      <c r="E39" s="32">
        <f t="shared" si="3"/>
        <v>466000</v>
      </c>
      <c r="F39" s="3"/>
      <c r="G39" s="34"/>
      <c r="H39" s="34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45598</v>
      </c>
      <c r="B40" s="47"/>
      <c r="C40" s="87"/>
      <c r="D40" s="44"/>
      <c r="E40" s="32">
        <f t="shared" si="3"/>
        <v>466000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45598</v>
      </c>
      <c r="B41" s="82"/>
      <c r="C41" s="87"/>
      <c r="D41" s="44"/>
      <c r="E41" s="32">
        <f t="shared" si="3"/>
        <v>466000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45598</v>
      </c>
      <c r="B42" s="3"/>
      <c r="C42" s="87"/>
      <c r="D42" s="44"/>
      <c r="E42" s="32">
        <f t="shared" si="3"/>
        <v>466000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45598</v>
      </c>
      <c r="B43" s="1"/>
      <c r="C43" s="88"/>
      <c r="D43" s="36"/>
      <c r="E43" s="32">
        <f t="shared" si="3"/>
        <v>466000</v>
      </c>
      <c r="F43" s="1"/>
      <c r="G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45598</v>
      </c>
      <c r="B44" s="1" t="s">
        <v>143</v>
      </c>
      <c r="C44" s="89"/>
      <c r="D44" s="44"/>
      <c r="E44" s="32">
        <f t="shared" si="3"/>
        <v>466000</v>
      </c>
      <c r="F44" s="1"/>
      <c r="G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45598</v>
      </c>
      <c r="B45" s="47"/>
      <c r="C45" s="90"/>
      <c r="D45" s="44"/>
      <c r="E45" s="32">
        <f t="shared" si="3"/>
        <v>466000</v>
      </c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45598</v>
      </c>
      <c r="B46" s="45" t="s">
        <v>136</v>
      </c>
      <c r="C46" s="86"/>
      <c r="D46" s="44">
        <v>112000</v>
      </c>
      <c r="E46" s="32">
        <f t="shared" si="3"/>
        <v>354000</v>
      </c>
      <c r="F46" s="3">
        <f>SUM(H26:H42)</f>
        <v>300000</v>
      </c>
      <c r="G46" s="49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45598</v>
      </c>
      <c r="B47" s="4" t="s">
        <v>161</v>
      </c>
      <c r="C47" s="86">
        <f>SUM(C27:C46)</f>
        <v>12633000</v>
      </c>
      <c r="D47" s="33">
        <f>SUM(D28:D46)</f>
        <v>12579000</v>
      </c>
      <c r="E47" s="32"/>
      <c r="F47" s="25"/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B48" s="30"/>
      <c r="C48" s="65"/>
      <c r="D48" s="8"/>
      <c r="E48" s="32"/>
      <c r="F48" s="34"/>
      <c r="G48" s="34"/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45599</v>
      </c>
      <c r="B49" s="1" t="s">
        <v>140</v>
      </c>
      <c r="C49" s="65"/>
      <c r="D49" s="8"/>
      <c r="E49" s="8">
        <v>300000</v>
      </c>
      <c r="F49" s="49">
        <v>100000</v>
      </c>
      <c r="G49" s="103">
        <f>1-1</f>
        <v>0</v>
      </c>
      <c r="H49" s="3">
        <f>G49*F49</f>
        <v>0</v>
      </c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A50" s="47">
        <v>45599</v>
      </c>
      <c r="B50" s="31" t="s">
        <v>138</v>
      </c>
      <c r="C50" s="73">
        <v>423000</v>
      </c>
      <c r="D50" s="44"/>
      <c r="E50" s="32">
        <f>E49+C50-D50</f>
        <v>723000</v>
      </c>
      <c r="F50" s="3">
        <v>75000</v>
      </c>
      <c r="G50" s="103"/>
      <c r="H50" s="3">
        <f t="shared" ref="H50:H59" si="4">G50*F50</f>
        <v>0</v>
      </c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45599</v>
      </c>
      <c r="B51" s="1" t="s">
        <v>155</v>
      </c>
      <c r="C51" s="73">
        <f>272000+312000</f>
        <v>584000</v>
      </c>
      <c r="D51" s="44"/>
      <c r="E51" s="32">
        <f t="shared" ref="E51:E69" si="5">E50+C51-D51</f>
        <v>1307000</v>
      </c>
      <c r="F51" s="34">
        <v>50000</v>
      </c>
      <c r="G51" s="103">
        <f>2+1-3</f>
        <v>0</v>
      </c>
      <c r="H51" s="3">
        <f t="shared" si="4"/>
        <v>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45599</v>
      </c>
      <c r="B52" s="1" t="s">
        <v>156</v>
      </c>
      <c r="C52" s="73">
        <v>230000</v>
      </c>
      <c r="D52" s="44"/>
      <c r="E52" s="32">
        <f t="shared" si="5"/>
        <v>1537000</v>
      </c>
      <c r="F52" s="34">
        <v>20000</v>
      </c>
      <c r="G52" s="103">
        <f>2+1+1</f>
        <v>4</v>
      </c>
      <c r="H52" s="3">
        <f t="shared" si="4"/>
        <v>80000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45599</v>
      </c>
      <c r="B53" s="1" t="s">
        <v>133</v>
      </c>
      <c r="C53" s="73">
        <v>3158000</v>
      </c>
      <c r="D53" s="44"/>
      <c r="E53" s="32">
        <f t="shared" si="5"/>
        <v>4695000</v>
      </c>
      <c r="F53" s="34">
        <v>10000</v>
      </c>
      <c r="G53" s="103">
        <f>6+1-2</f>
        <v>5</v>
      </c>
      <c r="H53" s="3">
        <f t="shared" si="4"/>
        <v>50000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45599</v>
      </c>
      <c r="B54" s="1" t="s">
        <v>163</v>
      </c>
      <c r="C54" s="73">
        <v>36000</v>
      </c>
      <c r="D54" s="44"/>
      <c r="E54" s="32">
        <f t="shared" si="5"/>
        <v>4731000</v>
      </c>
      <c r="F54" s="34">
        <v>5000</v>
      </c>
      <c r="G54" s="103">
        <f>14+1</f>
        <v>15</v>
      </c>
      <c r="H54" s="3">
        <f t="shared" si="4"/>
        <v>75000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45599</v>
      </c>
      <c r="B55" s="1" t="s">
        <v>146</v>
      </c>
      <c r="C55" s="73">
        <v>5690000</v>
      </c>
      <c r="D55" s="44"/>
      <c r="E55" s="32">
        <f t="shared" si="5"/>
        <v>10421000</v>
      </c>
      <c r="F55" s="34">
        <v>2000</v>
      </c>
      <c r="G55" s="103">
        <f>17+5</f>
        <v>22</v>
      </c>
      <c r="H55" s="3">
        <f t="shared" si="4"/>
        <v>44000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45599</v>
      </c>
      <c r="B56" s="1" t="s">
        <v>157</v>
      </c>
      <c r="C56" s="86"/>
      <c r="D56" s="44"/>
      <c r="E56" s="32">
        <f t="shared" si="5"/>
        <v>10421000</v>
      </c>
      <c r="F56" s="34">
        <v>1000</v>
      </c>
      <c r="G56" s="103">
        <f>2-1</f>
        <v>1</v>
      </c>
      <c r="H56" s="3">
        <f t="shared" si="4"/>
        <v>1000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45599</v>
      </c>
      <c r="B57" s="1" t="s">
        <v>159</v>
      </c>
      <c r="C57" s="86">
        <v>2724000</v>
      </c>
      <c r="D57" s="44"/>
      <c r="E57" s="32">
        <f t="shared" si="5"/>
        <v>13145000</v>
      </c>
      <c r="F57" s="34">
        <v>500</v>
      </c>
      <c r="G57" s="103"/>
      <c r="H57" s="3">
        <f t="shared" si="4"/>
        <v>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45599</v>
      </c>
      <c r="B58" s="1" t="s">
        <v>145</v>
      </c>
      <c r="C58" s="86"/>
      <c r="D58" s="44"/>
      <c r="E58" s="32">
        <f t="shared" si="5"/>
        <v>13145000</v>
      </c>
      <c r="F58" s="34">
        <v>200</v>
      </c>
      <c r="G58" s="103">
        <f>1-1</f>
        <v>0</v>
      </c>
      <c r="H58" s="3">
        <f t="shared" si="4"/>
        <v>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45599</v>
      </c>
      <c r="B59" s="1" t="s">
        <v>143</v>
      </c>
      <c r="C59" s="86"/>
      <c r="D59" s="44">
        <f>SUM(C51:C59)</f>
        <v>12422000</v>
      </c>
      <c r="E59" s="32">
        <f t="shared" si="5"/>
        <v>723000</v>
      </c>
      <c r="F59" s="34">
        <v>100</v>
      </c>
      <c r="G59" s="104"/>
      <c r="H59" s="3">
        <f t="shared" si="4"/>
        <v>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45599</v>
      </c>
      <c r="B60" s="1" t="s">
        <v>160</v>
      </c>
      <c r="C60" s="86">
        <v>-16000</v>
      </c>
      <c r="D60" s="46"/>
      <c r="E60" s="32">
        <f t="shared" si="5"/>
        <v>707000</v>
      </c>
      <c r="F60" s="1"/>
      <c r="G60" s="1"/>
      <c r="H60" s="1"/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45599</v>
      </c>
      <c r="B61" s="1"/>
      <c r="C61" s="86"/>
      <c r="D61" s="44"/>
      <c r="E61" s="32">
        <f t="shared" si="5"/>
        <v>707000</v>
      </c>
      <c r="G61" s="34"/>
      <c r="H61" s="34"/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45599</v>
      </c>
      <c r="B62" s="31" t="s">
        <v>139</v>
      </c>
      <c r="C62" s="86">
        <v>170000</v>
      </c>
      <c r="D62" s="44">
        <f>486700-16000</f>
        <v>470700</v>
      </c>
      <c r="E62" s="32">
        <f t="shared" si="5"/>
        <v>406300</v>
      </c>
      <c r="G62" s="34"/>
      <c r="H62" s="34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45599</v>
      </c>
      <c r="B63" s="47" t="s">
        <v>152</v>
      </c>
      <c r="C63" s="87">
        <v>65000</v>
      </c>
      <c r="D63" s="44"/>
      <c r="E63" s="32">
        <f t="shared" si="5"/>
        <v>471300</v>
      </c>
      <c r="G63" s="34"/>
      <c r="H63" s="34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45599</v>
      </c>
      <c r="B64" s="82"/>
      <c r="C64" s="87"/>
      <c r="D64" s="44"/>
      <c r="E64" s="32">
        <f t="shared" si="5"/>
        <v>471300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45599</v>
      </c>
      <c r="C65" s="87"/>
      <c r="D65" s="44"/>
      <c r="E65" s="32">
        <f t="shared" si="5"/>
        <v>471300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45599</v>
      </c>
      <c r="B66" s="1"/>
      <c r="C66" s="88"/>
      <c r="D66" s="36"/>
      <c r="E66" s="32">
        <f t="shared" si="5"/>
        <v>471300</v>
      </c>
      <c r="F66" s="1"/>
      <c r="G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45599</v>
      </c>
      <c r="B67" s="1" t="s">
        <v>143</v>
      </c>
      <c r="C67" s="89"/>
      <c r="D67" s="44"/>
      <c r="E67" s="32">
        <f t="shared" si="5"/>
        <v>471300</v>
      </c>
      <c r="F67" s="1"/>
      <c r="G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45599</v>
      </c>
      <c r="B68" s="47"/>
      <c r="C68" s="90"/>
      <c r="D68" s="44"/>
      <c r="E68" s="32">
        <f t="shared" si="5"/>
        <v>471300</v>
      </c>
      <c r="F68" s="43"/>
      <c r="G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45599</v>
      </c>
      <c r="B69" s="45" t="s">
        <v>136</v>
      </c>
      <c r="C69" s="86">
        <v>28700</v>
      </c>
      <c r="D69" s="44">
        <v>250000</v>
      </c>
      <c r="E69" s="32">
        <f t="shared" si="5"/>
        <v>250000</v>
      </c>
      <c r="F69" s="3">
        <f>SUM(H49:H65)</f>
        <v>250000</v>
      </c>
      <c r="G69" s="49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45599</v>
      </c>
      <c r="B70" s="4" t="s">
        <v>161</v>
      </c>
      <c r="C70" s="86">
        <f>SUM(C50:C69)</f>
        <v>13092700</v>
      </c>
      <c r="D70" s="33">
        <f>SUM(D51:D69)</f>
        <v>13142700</v>
      </c>
      <c r="E70" s="32"/>
      <c r="F70" s="25">
        <f>F69-E69</f>
        <v>0</v>
      </c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B71" s="30"/>
      <c r="C71" s="65"/>
      <c r="D71" s="8"/>
      <c r="E71" s="8"/>
      <c r="F71" s="34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45600</v>
      </c>
      <c r="B72" s="1" t="s">
        <v>140</v>
      </c>
      <c r="C72" s="65"/>
      <c r="D72" s="8"/>
      <c r="E72" s="8">
        <v>250000</v>
      </c>
      <c r="F72" s="49">
        <v>100000</v>
      </c>
      <c r="G72" s="103">
        <v>1</v>
      </c>
      <c r="H72" s="3">
        <f>G72*F72</f>
        <v>100000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45600</v>
      </c>
      <c r="B73" s="31" t="s">
        <v>138</v>
      </c>
      <c r="C73" s="73"/>
      <c r="D73" s="44"/>
      <c r="E73" s="32">
        <f>E72+C73-D73</f>
        <v>250000</v>
      </c>
      <c r="F73" s="3">
        <v>75000</v>
      </c>
      <c r="G73" s="103"/>
      <c r="H73" s="3">
        <f t="shared" ref="H73:H82" si="6">G73*F73</f>
        <v>0</v>
      </c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A74" s="47">
        <v>45600</v>
      </c>
      <c r="B74" s="1" t="s">
        <v>155</v>
      </c>
      <c r="C74" s="73">
        <v>407000</v>
      </c>
      <c r="D74" s="44"/>
      <c r="E74" s="32">
        <f t="shared" ref="E74:E92" si="7">E73+C74-D74</f>
        <v>657000</v>
      </c>
      <c r="F74" s="34">
        <v>50000</v>
      </c>
      <c r="G74" s="103">
        <v>1</v>
      </c>
      <c r="H74" s="3">
        <f t="shared" si="6"/>
        <v>50000</v>
      </c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45600</v>
      </c>
      <c r="B75" s="1" t="s">
        <v>156</v>
      </c>
      <c r="C75" s="73">
        <v>41000</v>
      </c>
      <c r="D75" s="44"/>
      <c r="E75" s="32">
        <f t="shared" si="7"/>
        <v>698000</v>
      </c>
      <c r="F75" s="34">
        <v>20000</v>
      </c>
      <c r="G75" s="103"/>
      <c r="H75" s="3">
        <f t="shared" si="6"/>
        <v>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45600</v>
      </c>
      <c r="B76" s="1" t="s">
        <v>133</v>
      </c>
      <c r="C76" s="73">
        <v>503000</v>
      </c>
      <c r="D76" s="44"/>
      <c r="E76" s="32">
        <f t="shared" si="7"/>
        <v>1201000</v>
      </c>
      <c r="F76" s="34">
        <v>10000</v>
      </c>
      <c r="G76" s="103">
        <v>2</v>
      </c>
      <c r="H76" s="3">
        <f t="shared" si="6"/>
        <v>20000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45600</v>
      </c>
      <c r="B77" s="1" t="s">
        <v>163</v>
      </c>
      <c r="C77" s="73">
        <f>3343200+995800</f>
        <v>4339000</v>
      </c>
      <c r="D77" s="44"/>
      <c r="E77" s="32">
        <f t="shared" si="7"/>
        <v>5540000</v>
      </c>
      <c r="F77" s="34">
        <v>5000</v>
      </c>
      <c r="G77" s="103">
        <f>5+2</f>
        <v>7</v>
      </c>
      <c r="H77" s="3">
        <f t="shared" si="6"/>
        <v>35000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45600</v>
      </c>
      <c r="B78" s="1" t="s">
        <v>146</v>
      </c>
      <c r="C78" s="73">
        <v>2443000</v>
      </c>
      <c r="D78" s="44"/>
      <c r="E78" s="32">
        <f t="shared" si="7"/>
        <v>7983000</v>
      </c>
      <c r="F78" s="34">
        <v>2000</v>
      </c>
      <c r="G78" s="103">
        <f>18+1</f>
        <v>19</v>
      </c>
      <c r="H78" s="3">
        <f t="shared" si="6"/>
        <v>38000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45600</v>
      </c>
      <c r="B79" s="1" t="s">
        <v>157</v>
      </c>
      <c r="C79" s="86"/>
      <c r="D79" s="44"/>
      <c r="E79" s="32">
        <f t="shared" si="7"/>
        <v>7983000</v>
      </c>
      <c r="F79" s="34">
        <v>1000</v>
      </c>
      <c r="G79" s="103">
        <v>2</v>
      </c>
      <c r="H79" s="3">
        <f t="shared" si="6"/>
        <v>2000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45600</v>
      </c>
      <c r="B80" s="1" t="s">
        <v>159</v>
      </c>
      <c r="C80" s="86">
        <v>1661000</v>
      </c>
      <c r="D80" s="44"/>
      <c r="E80" s="32">
        <f t="shared" si="7"/>
        <v>9644000</v>
      </c>
      <c r="F80" s="34">
        <v>500</v>
      </c>
      <c r="G80" s="103"/>
      <c r="H80" s="3">
        <f t="shared" si="6"/>
        <v>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45600</v>
      </c>
      <c r="B81" s="1" t="s">
        <v>145</v>
      </c>
      <c r="C81" s="86"/>
      <c r="D81" s="44"/>
      <c r="E81" s="32">
        <f t="shared" si="7"/>
        <v>9644000</v>
      </c>
      <c r="F81" s="34">
        <v>200</v>
      </c>
      <c r="G81" s="103"/>
      <c r="H81" s="3">
        <f t="shared" si="6"/>
        <v>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45600</v>
      </c>
      <c r="B82" s="1" t="s">
        <v>143</v>
      </c>
      <c r="C82" s="86"/>
      <c r="D82" s="44">
        <f>SUM(C74:C82)</f>
        <v>9394000</v>
      </c>
      <c r="E82" s="32">
        <f t="shared" si="7"/>
        <v>250000</v>
      </c>
      <c r="F82" s="34">
        <v>100</v>
      </c>
      <c r="G82" s="104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45600</v>
      </c>
      <c r="B83" s="1" t="s">
        <v>160</v>
      </c>
      <c r="C83" s="86"/>
      <c r="D83" s="46"/>
      <c r="E83" s="32">
        <f t="shared" si="7"/>
        <v>250000</v>
      </c>
      <c r="F83" s="1"/>
      <c r="G83" s="1"/>
      <c r="H83" s="1"/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45600</v>
      </c>
      <c r="B84" s="1"/>
      <c r="C84" s="86"/>
      <c r="D84" s="44"/>
      <c r="E84" s="32">
        <f t="shared" si="7"/>
        <v>250000</v>
      </c>
      <c r="G84" s="34"/>
      <c r="H84" s="34"/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45600</v>
      </c>
      <c r="B85" s="31" t="s">
        <v>139</v>
      </c>
      <c r="C85" s="86">
        <v>155000</v>
      </c>
      <c r="D85" s="44">
        <v>323300</v>
      </c>
      <c r="E85" s="32">
        <f t="shared" si="7"/>
        <v>81700</v>
      </c>
      <c r="G85" s="34"/>
      <c r="H85" s="34"/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45600</v>
      </c>
      <c r="B86" s="47" t="s">
        <v>152</v>
      </c>
      <c r="C86" s="87"/>
      <c r="D86" s="44"/>
      <c r="E86" s="32">
        <f t="shared" si="7"/>
        <v>81700</v>
      </c>
      <c r="G86" s="34"/>
      <c r="H86" s="34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45600</v>
      </c>
      <c r="B87" s="82"/>
      <c r="C87" s="87"/>
      <c r="D87" s="44"/>
      <c r="E87" s="32">
        <f t="shared" si="7"/>
        <v>81700</v>
      </c>
      <c r="G87" s="34"/>
      <c r="H87" s="34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45600</v>
      </c>
      <c r="C88" s="87"/>
      <c r="D88" s="44"/>
      <c r="E88" s="32">
        <f t="shared" si="7"/>
        <v>81700</v>
      </c>
      <c r="G88" s="34"/>
      <c r="H88" s="34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45600</v>
      </c>
      <c r="B89" s="1"/>
      <c r="C89" s="88"/>
      <c r="D89" s="36"/>
      <c r="E89" s="32">
        <f t="shared" si="7"/>
        <v>81700</v>
      </c>
      <c r="F89" s="1"/>
      <c r="G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45600</v>
      </c>
      <c r="B90" s="1" t="s">
        <v>143</v>
      </c>
      <c r="C90" s="89"/>
      <c r="D90" s="44"/>
      <c r="E90" s="32">
        <f t="shared" si="7"/>
        <v>81700</v>
      </c>
      <c r="F90" s="1"/>
      <c r="G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45600</v>
      </c>
      <c r="B91" s="47"/>
      <c r="C91" s="90"/>
      <c r="D91" s="44"/>
      <c r="E91" s="32">
        <f t="shared" si="7"/>
        <v>81700</v>
      </c>
      <c r="F91" s="43"/>
      <c r="G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45600</v>
      </c>
      <c r="B92" s="45" t="s">
        <v>136</v>
      </c>
      <c r="C92" s="86">
        <v>163000</v>
      </c>
      <c r="D92" s="44"/>
      <c r="E92" s="32">
        <f t="shared" si="7"/>
        <v>244700</v>
      </c>
      <c r="F92" s="3">
        <f>SUM(H72:H88)</f>
        <v>245000</v>
      </c>
      <c r="G92" s="49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45600</v>
      </c>
      <c r="B93" s="4" t="s">
        <v>161</v>
      </c>
      <c r="C93" s="86">
        <f>SUM(C73:C92)</f>
        <v>9712000</v>
      </c>
      <c r="D93" s="33">
        <f>SUM(D74:D92)</f>
        <v>9717300</v>
      </c>
      <c r="E93" s="32"/>
      <c r="F93" s="25">
        <f>F92-E92</f>
        <v>300</v>
      </c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B94" s="30"/>
      <c r="C94" s="65"/>
      <c r="D94" s="8"/>
      <c r="E94" s="8"/>
      <c r="F94" s="34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45601</v>
      </c>
      <c r="B95" s="1" t="s">
        <v>140</v>
      </c>
      <c r="C95" s="65"/>
      <c r="D95" s="8"/>
      <c r="E95" s="8">
        <v>245000</v>
      </c>
      <c r="F95" s="49">
        <v>100000</v>
      </c>
      <c r="G95" s="103">
        <v>1</v>
      </c>
      <c r="H95" s="3">
        <f>G95*F95</f>
        <v>100000</v>
      </c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45601</v>
      </c>
      <c r="B96" s="31" t="s">
        <v>138</v>
      </c>
      <c r="C96" s="73">
        <v>239800</v>
      </c>
      <c r="D96" s="44"/>
      <c r="E96" s="32">
        <f>E95+C96-D96</f>
        <v>484800</v>
      </c>
      <c r="F96" s="3">
        <v>75000</v>
      </c>
      <c r="G96" s="103"/>
      <c r="H96" s="3">
        <f t="shared" ref="H96:H105" si="8">G96*F96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45601</v>
      </c>
      <c r="B97" s="1" t="s">
        <v>155</v>
      </c>
      <c r="C97" s="73">
        <f>1157000+1341000</f>
        <v>2498000</v>
      </c>
      <c r="D97" s="44"/>
      <c r="E97" s="32">
        <f t="shared" ref="E97:E115" si="9">E96+C97-D97</f>
        <v>2982800</v>
      </c>
      <c r="F97" s="34">
        <v>50000</v>
      </c>
      <c r="G97" s="103"/>
      <c r="H97" s="3">
        <f t="shared" si="8"/>
        <v>0</v>
      </c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A98" s="47">
        <v>45601</v>
      </c>
      <c r="B98" s="1" t="s">
        <v>156</v>
      </c>
      <c r="C98" s="73"/>
      <c r="D98" s="44"/>
      <c r="E98" s="32">
        <f t="shared" si="9"/>
        <v>2982800</v>
      </c>
      <c r="F98" s="34">
        <v>20000</v>
      </c>
      <c r="G98" s="103">
        <v>2</v>
      </c>
      <c r="H98" s="3">
        <f t="shared" si="8"/>
        <v>40000</v>
      </c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45601</v>
      </c>
      <c r="B99" s="1" t="s">
        <v>133</v>
      </c>
      <c r="C99" s="73">
        <v>790000</v>
      </c>
      <c r="D99" s="44"/>
      <c r="E99" s="32">
        <f t="shared" si="9"/>
        <v>3772800</v>
      </c>
      <c r="F99" s="34">
        <v>10000</v>
      </c>
      <c r="G99" s="103">
        <v>2</v>
      </c>
      <c r="H99" s="3">
        <f t="shared" si="8"/>
        <v>20000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45601</v>
      </c>
      <c r="B100" s="1" t="s">
        <v>163</v>
      </c>
      <c r="C100" s="73">
        <v>132000</v>
      </c>
      <c r="D100" s="44"/>
      <c r="E100" s="32">
        <f t="shared" si="9"/>
        <v>3904800</v>
      </c>
      <c r="F100" s="34">
        <v>5000</v>
      </c>
      <c r="G100" s="103">
        <v>6</v>
      </c>
      <c r="H100" s="3">
        <f t="shared" si="8"/>
        <v>30000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45601</v>
      </c>
      <c r="B101" s="1" t="s">
        <v>146</v>
      </c>
      <c r="C101" s="73">
        <v>3112000</v>
      </c>
      <c r="D101" s="44"/>
      <c r="E101" s="32">
        <f t="shared" si="9"/>
        <v>7016800</v>
      </c>
      <c r="F101" s="34">
        <v>2000</v>
      </c>
      <c r="G101" s="103">
        <v>18</v>
      </c>
      <c r="H101" s="3">
        <f t="shared" si="8"/>
        <v>36000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45601</v>
      </c>
      <c r="B102" s="1" t="s">
        <v>157</v>
      </c>
      <c r="C102" s="86"/>
      <c r="D102" s="44"/>
      <c r="E102" s="32">
        <f t="shared" si="9"/>
        <v>7016800</v>
      </c>
      <c r="F102" s="34">
        <v>1000</v>
      </c>
      <c r="G102" s="103">
        <v>4</v>
      </c>
      <c r="H102" s="3">
        <f t="shared" si="8"/>
        <v>4000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45601</v>
      </c>
      <c r="B103" s="1" t="s">
        <v>159</v>
      </c>
      <c r="C103" s="86">
        <v>1975000</v>
      </c>
      <c r="D103" s="44"/>
      <c r="E103" s="32">
        <f t="shared" si="9"/>
        <v>8991800</v>
      </c>
      <c r="F103" s="34">
        <v>500</v>
      </c>
      <c r="G103" s="103">
        <v>3</v>
      </c>
      <c r="H103" s="3">
        <f t="shared" si="8"/>
        <v>1500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45601</v>
      </c>
      <c r="B104" s="1" t="s">
        <v>145</v>
      </c>
      <c r="C104" s="86"/>
      <c r="D104" s="44"/>
      <c r="E104" s="32">
        <f t="shared" si="9"/>
        <v>8991800</v>
      </c>
      <c r="F104" s="34">
        <v>200</v>
      </c>
      <c r="G104" s="103"/>
      <c r="H104" s="3">
        <f t="shared" si="8"/>
        <v>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45601</v>
      </c>
      <c r="B105" s="1" t="s">
        <v>143</v>
      </c>
      <c r="C105" s="86"/>
      <c r="D105" s="44">
        <f>SUM(C97:C105)</f>
        <v>8507000</v>
      </c>
      <c r="E105" s="32">
        <f t="shared" si="9"/>
        <v>484800</v>
      </c>
      <c r="F105" s="34">
        <v>100</v>
      </c>
      <c r="G105" s="104"/>
      <c r="H105" s="3">
        <f t="shared" si="8"/>
        <v>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45601</v>
      </c>
      <c r="B106" s="1" t="s">
        <v>160</v>
      </c>
      <c r="C106" s="86"/>
      <c r="D106" s="46"/>
      <c r="E106" s="32">
        <f t="shared" si="9"/>
        <v>484800</v>
      </c>
      <c r="F106" s="1"/>
      <c r="G106" s="1"/>
      <c r="H106" s="1"/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45601</v>
      </c>
      <c r="B107" s="1"/>
      <c r="C107" s="86"/>
      <c r="D107" s="44"/>
      <c r="E107" s="32">
        <f t="shared" si="9"/>
        <v>484800</v>
      </c>
      <c r="G107" s="34"/>
      <c r="H107" s="34"/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45601</v>
      </c>
      <c r="B108" s="31" t="s">
        <v>139</v>
      </c>
      <c r="C108" s="86"/>
      <c r="D108" s="44">
        <v>252000</v>
      </c>
      <c r="E108" s="32">
        <f t="shared" si="9"/>
        <v>232800</v>
      </c>
      <c r="G108" s="34"/>
      <c r="H108" s="34"/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45601</v>
      </c>
      <c r="B109" s="47" t="s">
        <v>152</v>
      </c>
      <c r="C109" s="87"/>
      <c r="D109" s="44"/>
      <c r="E109" s="32">
        <f t="shared" si="9"/>
        <v>232800</v>
      </c>
      <c r="G109" s="34"/>
      <c r="H109" s="34"/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45601</v>
      </c>
      <c r="B110" s="82"/>
      <c r="C110" s="87"/>
      <c r="D110" s="44"/>
      <c r="E110" s="32">
        <f t="shared" si="9"/>
        <v>232800</v>
      </c>
      <c r="G110" s="34"/>
      <c r="H110" s="34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45601</v>
      </c>
      <c r="C111" s="87"/>
      <c r="D111" s="44"/>
      <c r="E111" s="32">
        <f t="shared" si="9"/>
        <v>232800</v>
      </c>
      <c r="G111" s="34"/>
      <c r="H111" s="34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45601</v>
      </c>
      <c r="B112" s="1"/>
      <c r="C112" s="88"/>
      <c r="D112" s="36"/>
      <c r="E112" s="32">
        <f t="shared" si="9"/>
        <v>232800</v>
      </c>
      <c r="F112" s="1"/>
      <c r="G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45601</v>
      </c>
      <c r="B113" s="1" t="s">
        <v>143</v>
      </c>
      <c r="C113" s="89"/>
      <c r="D113" s="44"/>
      <c r="E113" s="32">
        <f t="shared" si="9"/>
        <v>232800</v>
      </c>
      <c r="F113" s="1"/>
      <c r="G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45601</v>
      </c>
      <c r="B114" s="47"/>
      <c r="C114" s="90"/>
      <c r="D114" s="44"/>
      <c r="E114" s="32">
        <f t="shared" si="9"/>
        <v>232800</v>
      </c>
      <c r="F114" s="43"/>
      <c r="G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45601</v>
      </c>
      <c r="B115" s="45" t="s">
        <v>136</v>
      </c>
      <c r="C115" s="86"/>
      <c r="D115" s="44"/>
      <c r="E115" s="32">
        <f t="shared" si="9"/>
        <v>232800</v>
      </c>
      <c r="F115" s="3">
        <f>SUM(H95:H111)</f>
        <v>231500</v>
      </c>
      <c r="G115" s="49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45601</v>
      </c>
      <c r="B116" s="4" t="s">
        <v>161</v>
      </c>
      <c r="C116" s="86">
        <f>SUM(C96:C115)</f>
        <v>8746800</v>
      </c>
      <c r="D116" s="33">
        <f>SUM(D97:D115)</f>
        <v>8759000</v>
      </c>
      <c r="E116" s="32"/>
      <c r="F116" s="25">
        <f>F115-E115</f>
        <v>-1300</v>
      </c>
      <c r="G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B117" s="30"/>
      <c r="C117" s="65"/>
      <c r="D117" s="8"/>
      <c r="E117" s="8"/>
      <c r="F117" s="34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45602</v>
      </c>
      <c r="B118" s="1" t="s">
        <v>140</v>
      </c>
      <c r="C118" s="65"/>
      <c r="D118" s="8"/>
      <c r="E118" s="8">
        <v>231500</v>
      </c>
      <c r="F118" s="49">
        <v>100000</v>
      </c>
      <c r="G118" s="103">
        <f>5-3</f>
        <v>2</v>
      </c>
      <c r="H118" s="3">
        <f>G118*F118</f>
        <v>200000</v>
      </c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45602</v>
      </c>
      <c r="B119" s="31" t="s">
        <v>138</v>
      </c>
      <c r="C119" s="73">
        <v>678000</v>
      </c>
      <c r="D119" s="44"/>
      <c r="E119" s="32">
        <f>E118+C119-D119</f>
        <v>909500</v>
      </c>
      <c r="F119" s="3">
        <v>75000</v>
      </c>
      <c r="G119" s="103"/>
      <c r="H119" s="3">
        <f t="shared" ref="H119:H128" si="10">G119*F119</f>
        <v>0</v>
      </c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45602</v>
      </c>
      <c r="B120" s="1" t="s">
        <v>155</v>
      </c>
      <c r="C120" s="73">
        <v>183000</v>
      </c>
      <c r="D120" s="44"/>
      <c r="E120" s="32">
        <f t="shared" ref="E120:E138" si="11">E119+C120-D120</f>
        <v>1092500</v>
      </c>
      <c r="F120" s="34">
        <v>50000</v>
      </c>
      <c r="G120" s="103">
        <f>1-1</f>
        <v>0</v>
      </c>
      <c r="H120" s="3">
        <f t="shared" si="10"/>
        <v>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45602</v>
      </c>
      <c r="B121" s="1" t="s">
        <v>156</v>
      </c>
      <c r="C121" s="73"/>
      <c r="D121" s="44"/>
      <c r="E121" s="32">
        <f t="shared" si="11"/>
        <v>1092500</v>
      </c>
      <c r="F121" s="34">
        <v>20000</v>
      </c>
      <c r="G121" s="103"/>
      <c r="H121" s="3">
        <f t="shared" si="10"/>
        <v>0</v>
      </c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A122" s="47">
        <v>45602</v>
      </c>
      <c r="B122" s="1" t="s">
        <v>133</v>
      </c>
      <c r="C122" s="73">
        <v>1837000</v>
      </c>
      <c r="D122" s="44"/>
      <c r="E122" s="32">
        <f t="shared" si="11"/>
        <v>2929500</v>
      </c>
      <c r="F122" s="34">
        <v>10000</v>
      </c>
      <c r="G122" s="103">
        <v>1</v>
      </c>
      <c r="H122" s="3">
        <f t="shared" si="10"/>
        <v>10000</v>
      </c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45602</v>
      </c>
      <c r="B123" s="1" t="s">
        <v>163</v>
      </c>
      <c r="C123" s="73">
        <v>100000</v>
      </c>
      <c r="D123" s="44"/>
      <c r="E123" s="32">
        <f t="shared" si="11"/>
        <v>3029500</v>
      </c>
      <c r="F123" s="34">
        <v>5000</v>
      </c>
      <c r="G123" s="103">
        <v>6</v>
      </c>
      <c r="H123" s="3">
        <f t="shared" si="10"/>
        <v>30000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45602</v>
      </c>
      <c r="B124" s="1" t="s">
        <v>146</v>
      </c>
      <c r="C124" s="73">
        <v>3379000</v>
      </c>
      <c r="D124" s="44"/>
      <c r="E124" s="32">
        <f t="shared" si="11"/>
        <v>6408500</v>
      </c>
      <c r="F124" s="34">
        <v>2000</v>
      </c>
      <c r="G124" s="103">
        <f>4-1</f>
        <v>3</v>
      </c>
      <c r="H124" s="3">
        <f t="shared" si="10"/>
        <v>6000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45602</v>
      </c>
      <c r="B125" s="1" t="s">
        <v>157</v>
      </c>
      <c r="C125" s="86"/>
      <c r="D125" s="44"/>
      <c r="E125" s="32">
        <f t="shared" si="11"/>
        <v>6408500</v>
      </c>
      <c r="F125" s="34">
        <v>1000</v>
      </c>
      <c r="G125" s="103">
        <v>3</v>
      </c>
      <c r="H125" s="3">
        <f t="shared" si="10"/>
        <v>3000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45602</v>
      </c>
      <c r="B126" s="1" t="s">
        <v>159</v>
      </c>
      <c r="C126" s="86">
        <v>1118900</v>
      </c>
      <c r="D126" s="44"/>
      <c r="E126" s="32">
        <f t="shared" si="11"/>
        <v>7527400</v>
      </c>
      <c r="F126" s="34">
        <v>500</v>
      </c>
      <c r="G126" s="103">
        <f>3-1</f>
        <v>2</v>
      </c>
      <c r="H126" s="3">
        <f t="shared" si="10"/>
        <v>1000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45602</v>
      </c>
      <c r="B127" s="1" t="s">
        <v>145</v>
      </c>
      <c r="C127" s="86">
        <v>1553000</v>
      </c>
      <c r="D127" s="44"/>
      <c r="E127" s="32">
        <f t="shared" si="11"/>
        <v>9080400</v>
      </c>
      <c r="F127" s="34">
        <v>200</v>
      </c>
      <c r="G127" s="103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45602</v>
      </c>
      <c r="B128" s="1" t="s">
        <v>143</v>
      </c>
      <c r="C128" s="86"/>
      <c r="D128" s="44">
        <f>SUM(C120:C128)</f>
        <v>8170900</v>
      </c>
      <c r="E128" s="32">
        <f t="shared" si="11"/>
        <v>909500</v>
      </c>
      <c r="F128" s="34">
        <v>100</v>
      </c>
      <c r="G128" s="104"/>
      <c r="H128" s="3">
        <f t="shared" si="10"/>
        <v>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45602</v>
      </c>
      <c r="B129" s="1" t="s">
        <v>160</v>
      </c>
      <c r="C129" s="86"/>
      <c r="D129" s="46"/>
      <c r="E129" s="32">
        <f t="shared" si="11"/>
        <v>909500</v>
      </c>
      <c r="F129" s="1"/>
      <c r="G129" s="1"/>
      <c r="H129" s="1"/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45602</v>
      </c>
      <c r="B130" s="1"/>
      <c r="C130" s="86"/>
      <c r="D130" s="44"/>
      <c r="E130" s="32">
        <f t="shared" si="11"/>
        <v>909500</v>
      </c>
      <c r="G130" s="34"/>
      <c r="H130" s="34"/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45602</v>
      </c>
      <c r="B131" s="31" t="s">
        <v>139</v>
      </c>
      <c r="C131" s="86"/>
      <c r="D131" s="44">
        <v>307000</v>
      </c>
      <c r="E131" s="32">
        <f t="shared" si="11"/>
        <v>602500</v>
      </c>
      <c r="G131" s="34"/>
      <c r="H131" s="34"/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45602</v>
      </c>
      <c r="B132" s="47" t="s">
        <v>152</v>
      </c>
      <c r="C132" s="87"/>
      <c r="D132" s="44"/>
      <c r="E132" s="32">
        <f t="shared" si="11"/>
        <v>602500</v>
      </c>
      <c r="G132" s="34"/>
      <c r="H132" s="34"/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45602</v>
      </c>
      <c r="B133" s="82"/>
      <c r="C133" s="87"/>
      <c r="D133" s="44"/>
      <c r="E133" s="32">
        <f t="shared" si="11"/>
        <v>602500</v>
      </c>
      <c r="G133" s="34"/>
      <c r="H133" s="34"/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45602</v>
      </c>
      <c r="C134" s="87"/>
      <c r="D134" s="44"/>
      <c r="E134" s="32">
        <f t="shared" si="11"/>
        <v>602500</v>
      </c>
      <c r="G134" s="34"/>
      <c r="H134" s="34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45602</v>
      </c>
      <c r="B135" s="1"/>
      <c r="C135" s="88"/>
      <c r="D135" s="36"/>
      <c r="E135" s="32">
        <f t="shared" si="11"/>
        <v>602500</v>
      </c>
      <c r="F135" s="1"/>
      <c r="G135" s="34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45602</v>
      </c>
      <c r="B136" s="1" t="s">
        <v>143</v>
      </c>
      <c r="C136" s="89"/>
      <c r="D136" s="44"/>
      <c r="E136" s="32">
        <f t="shared" si="11"/>
        <v>602500</v>
      </c>
      <c r="F136" s="1"/>
      <c r="G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45602</v>
      </c>
      <c r="B137" s="47"/>
      <c r="C137" s="90"/>
      <c r="D137" s="44"/>
      <c r="E137" s="32">
        <f t="shared" si="11"/>
        <v>602500</v>
      </c>
      <c r="F137" s="43"/>
      <c r="G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45602</v>
      </c>
      <c r="B138" s="45" t="s">
        <v>136</v>
      </c>
      <c r="C138" s="86"/>
      <c r="D138" s="44">
        <v>352500</v>
      </c>
      <c r="E138" s="32">
        <f t="shared" si="11"/>
        <v>250000</v>
      </c>
      <c r="F138" s="3">
        <f>SUM(H118:H134)</f>
        <v>250000</v>
      </c>
      <c r="G138" s="49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45602</v>
      </c>
      <c r="B139" s="4" t="s">
        <v>161</v>
      </c>
      <c r="C139" s="86">
        <f>SUM(C119:C138)</f>
        <v>8848900</v>
      </c>
      <c r="D139" s="33">
        <f>SUM(D120:D138)</f>
        <v>8830400</v>
      </c>
      <c r="E139" s="32"/>
      <c r="F139" s="25">
        <f>F138-E138</f>
        <v>0</v>
      </c>
      <c r="G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B140" s="30"/>
      <c r="C140" s="65"/>
      <c r="D140" s="8"/>
      <c r="E140" s="8"/>
      <c r="F140" s="34"/>
      <c r="G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45603</v>
      </c>
      <c r="B141" s="1" t="s">
        <v>140</v>
      </c>
      <c r="C141" s="65"/>
      <c r="D141" s="8"/>
      <c r="E141" s="8">
        <v>250000</v>
      </c>
      <c r="F141" s="49">
        <v>100000</v>
      </c>
      <c r="G141" s="103">
        <f>4-2</f>
        <v>2</v>
      </c>
      <c r="H141" s="3">
        <f>G141*F141</f>
        <v>200000</v>
      </c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45603</v>
      </c>
      <c r="B142" s="31" t="s">
        <v>138</v>
      </c>
      <c r="C142" s="73">
        <f>511000-5000</f>
        <v>506000</v>
      </c>
      <c r="D142" s="44"/>
      <c r="E142" s="32">
        <f>E141+C142-D142</f>
        <v>756000</v>
      </c>
      <c r="F142" s="3">
        <v>75000</v>
      </c>
      <c r="G142" s="103"/>
      <c r="H142" s="3">
        <f t="shared" ref="H142:H151" si="12">G142*F142</f>
        <v>0</v>
      </c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45603</v>
      </c>
      <c r="B143" s="1" t="s">
        <v>155</v>
      </c>
      <c r="C143" s="73"/>
      <c r="D143" s="44"/>
      <c r="E143" s="32">
        <f t="shared" ref="E143:E161" si="13">E142+C143-D143</f>
        <v>756000</v>
      </c>
      <c r="F143" s="34">
        <v>50000</v>
      </c>
      <c r="G143" s="103"/>
      <c r="H143" s="3">
        <f t="shared" si="12"/>
        <v>0</v>
      </c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45603</v>
      </c>
      <c r="B144" s="1" t="s">
        <v>156</v>
      </c>
      <c r="C144" s="73"/>
      <c r="D144" s="44"/>
      <c r="E144" s="32">
        <f t="shared" si="13"/>
        <v>756000</v>
      </c>
      <c r="F144" s="34">
        <v>20000</v>
      </c>
      <c r="G144" s="103">
        <f>1-1</f>
        <v>0</v>
      </c>
      <c r="H144" s="3">
        <f t="shared" si="12"/>
        <v>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45603</v>
      </c>
      <c r="B145" s="1" t="s">
        <v>133</v>
      </c>
      <c r="C145" s="73">
        <v>945000</v>
      </c>
      <c r="D145" s="44"/>
      <c r="E145" s="32">
        <f t="shared" si="13"/>
        <v>1701000</v>
      </c>
      <c r="F145" s="34">
        <v>10000</v>
      </c>
      <c r="G145" s="103">
        <v>3</v>
      </c>
      <c r="H145" s="3">
        <f t="shared" si="12"/>
        <v>30000</v>
      </c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A146" s="47">
        <v>45603</v>
      </c>
      <c r="B146" s="1" t="s">
        <v>163</v>
      </c>
      <c r="C146" s="73">
        <v>53000</v>
      </c>
      <c r="D146" s="44"/>
      <c r="E146" s="32">
        <f t="shared" si="13"/>
        <v>1754000</v>
      </c>
      <c r="F146" s="34">
        <v>5000</v>
      </c>
      <c r="G146" s="103">
        <v>4</v>
      </c>
      <c r="H146" s="3">
        <f t="shared" si="12"/>
        <v>20000</v>
      </c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45603</v>
      </c>
      <c r="B147" s="1" t="s">
        <v>146</v>
      </c>
      <c r="C147" s="73">
        <v>2522000</v>
      </c>
      <c r="D147" s="44"/>
      <c r="E147" s="32">
        <f t="shared" si="13"/>
        <v>4276000</v>
      </c>
      <c r="F147" s="34">
        <v>2000</v>
      </c>
      <c r="G147" s="103"/>
      <c r="H147" s="3">
        <f t="shared" si="12"/>
        <v>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45603</v>
      </c>
      <c r="B148" s="1" t="s">
        <v>157</v>
      </c>
      <c r="C148" s="86"/>
      <c r="D148" s="44"/>
      <c r="E148" s="32">
        <f t="shared" si="13"/>
        <v>4276000</v>
      </c>
      <c r="F148" s="34">
        <v>1000</v>
      </c>
      <c r="G148" s="103"/>
      <c r="H148" s="3">
        <f t="shared" si="12"/>
        <v>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45603</v>
      </c>
      <c r="B149" s="1" t="s">
        <v>159</v>
      </c>
      <c r="C149" s="86">
        <f>1199000+5000</f>
        <v>1204000</v>
      </c>
      <c r="D149" s="44">
        <f>1204000-C149</f>
        <v>0</v>
      </c>
      <c r="E149" s="32">
        <f t="shared" si="13"/>
        <v>5480000</v>
      </c>
      <c r="F149" s="34">
        <v>500</v>
      </c>
      <c r="G149" s="103">
        <f>1-1</f>
        <v>0</v>
      </c>
      <c r="H149" s="3">
        <f t="shared" si="12"/>
        <v>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45603</v>
      </c>
      <c r="B150" s="1" t="s">
        <v>145</v>
      </c>
      <c r="C150" s="86"/>
      <c r="D150" s="44"/>
      <c r="E150" s="32">
        <f t="shared" si="13"/>
        <v>5480000</v>
      </c>
      <c r="F150" s="34">
        <v>200</v>
      </c>
      <c r="G150" s="103"/>
      <c r="H150" s="3">
        <f t="shared" si="12"/>
        <v>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45603</v>
      </c>
      <c r="B151" s="1" t="s">
        <v>143</v>
      </c>
      <c r="C151" s="86"/>
      <c r="D151" s="44">
        <f>SUM(C143:C151)</f>
        <v>4724000</v>
      </c>
      <c r="E151" s="32">
        <f t="shared" si="13"/>
        <v>756000</v>
      </c>
      <c r="F151" s="34">
        <v>100</v>
      </c>
      <c r="G151" s="104"/>
      <c r="H151" s="3">
        <f t="shared" si="12"/>
        <v>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45603</v>
      </c>
      <c r="B152" s="1" t="s">
        <v>160</v>
      </c>
      <c r="C152" s="86"/>
      <c r="D152" s="46"/>
      <c r="E152" s="32">
        <f t="shared" si="13"/>
        <v>756000</v>
      </c>
      <c r="F152" s="1"/>
      <c r="G152" s="1"/>
      <c r="H152" s="1"/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45603</v>
      </c>
      <c r="B153" s="1"/>
      <c r="C153" s="86"/>
      <c r="D153" s="44"/>
      <c r="E153" s="32">
        <f t="shared" si="13"/>
        <v>756000</v>
      </c>
      <c r="G153" s="34"/>
      <c r="H153" s="34"/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45603</v>
      </c>
      <c r="B154" s="31" t="s">
        <v>139</v>
      </c>
      <c r="C154" s="86"/>
      <c r="D154" s="44">
        <v>288800</v>
      </c>
      <c r="E154" s="32">
        <f t="shared" si="13"/>
        <v>467200</v>
      </c>
      <c r="G154" s="34"/>
      <c r="H154" s="34"/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45603</v>
      </c>
      <c r="B155" s="47" t="s">
        <v>152</v>
      </c>
      <c r="C155" s="87"/>
      <c r="D155" s="44"/>
      <c r="E155" s="32">
        <f t="shared" si="13"/>
        <v>467200</v>
      </c>
      <c r="G155" s="34"/>
      <c r="H155" s="34"/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45603</v>
      </c>
      <c r="B156" s="82"/>
      <c r="C156" s="87"/>
      <c r="D156" s="44"/>
      <c r="E156" s="32">
        <f t="shared" si="13"/>
        <v>467200</v>
      </c>
      <c r="G156" s="34"/>
      <c r="H156" s="34"/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45603</v>
      </c>
      <c r="C157" s="87"/>
      <c r="D157" s="44"/>
      <c r="E157" s="32">
        <f t="shared" si="13"/>
        <v>467200</v>
      </c>
      <c r="G157" s="34"/>
      <c r="H157" s="34"/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45603</v>
      </c>
      <c r="B158" s="1"/>
      <c r="C158" s="88"/>
      <c r="D158" s="36"/>
      <c r="E158" s="32">
        <f t="shared" si="13"/>
        <v>467200</v>
      </c>
      <c r="F158" s="1"/>
      <c r="G158" s="34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45603</v>
      </c>
      <c r="B159" s="1" t="s">
        <v>143</v>
      </c>
      <c r="C159" s="89"/>
      <c r="D159" s="44"/>
      <c r="E159" s="32">
        <f t="shared" si="13"/>
        <v>467200</v>
      </c>
      <c r="F159" s="1"/>
      <c r="G159" s="34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45603</v>
      </c>
      <c r="B160" s="47"/>
      <c r="C160" s="90"/>
      <c r="D160" s="44"/>
      <c r="E160" s="32">
        <f t="shared" si="13"/>
        <v>467200</v>
      </c>
      <c r="F160" s="43"/>
      <c r="G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45603</v>
      </c>
      <c r="B161" s="45" t="s">
        <v>136</v>
      </c>
      <c r="C161" s="86"/>
      <c r="D161" s="44">
        <v>220500</v>
      </c>
      <c r="E161" s="32">
        <f t="shared" si="13"/>
        <v>246700</v>
      </c>
      <c r="F161" s="3">
        <f>SUM(H141:H157)</f>
        <v>250000</v>
      </c>
      <c r="G161" s="49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45603</v>
      </c>
      <c r="B162" s="4" t="s">
        <v>161</v>
      </c>
      <c r="C162" s="86">
        <f>SUM(C142:C161)</f>
        <v>5230000</v>
      </c>
      <c r="D162" s="33">
        <f>SUM(D143:D161)</f>
        <v>5233300</v>
      </c>
      <c r="E162" s="32"/>
      <c r="F162" s="25">
        <f>F161-E161</f>
        <v>3300</v>
      </c>
      <c r="G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B163" s="30"/>
      <c r="C163" s="65"/>
      <c r="D163" s="8"/>
      <c r="E163" s="8"/>
      <c r="F163" s="34"/>
      <c r="G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45604</v>
      </c>
      <c r="B164" s="1" t="s">
        <v>140</v>
      </c>
      <c r="C164" s="65"/>
      <c r="D164" s="8"/>
      <c r="E164" s="8">
        <v>250000</v>
      </c>
      <c r="F164" s="49">
        <v>100000</v>
      </c>
      <c r="G164" s="103">
        <v>2</v>
      </c>
      <c r="H164" s="3">
        <f>G164*F164</f>
        <v>200000</v>
      </c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A165" s="47">
        <v>45604</v>
      </c>
      <c r="B165" s="31" t="s">
        <v>138</v>
      </c>
      <c r="C165" s="73">
        <f>65400+8000+150000</f>
        <v>223400</v>
      </c>
      <c r="D165" s="44"/>
      <c r="E165" s="32">
        <f>E164+C165-D165</f>
        <v>473400</v>
      </c>
      <c r="F165" s="3">
        <v>75000</v>
      </c>
      <c r="G165" s="103"/>
      <c r="H165" s="3">
        <f t="shared" ref="H165:H174" si="14">G165*F165</f>
        <v>0</v>
      </c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45604</v>
      </c>
      <c r="B166" s="1" t="s">
        <v>155</v>
      </c>
      <c r="C166" s="73">
        <v>867000</v>
      </c>
      <c r="D166" s="44"/>
      <c r="E166" s="32">
        <f t="shared" ref="E166:E184" si="15">E165+C166-D166</f>
        <v>1340400</v>
      </c>
      <c r="F166" s="34">
        <v>50000</v>
      </c>
      <c r="G166" s="103">
        <v>1</v>
      </c>
      <c r="H166" s="3">
        <f t="shared" si="14"/>
        <v>50000</v>
      </c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45604</v>
      </c>
      <c r="B167" s="1" t="s">
        <v>156</v>
      </c>
      <c r="C167" s="73">
        <v>541000</v>
      </c>
      <c r="D167" s="44"/>
      <c r="E167" s="32">
        <f t="shared" si="15"/>
        <v>1881400</v>
      </c>
      <c r="F167" s="34">
        <v>20000</v>
      </c>
      <c r="G167" s="103"/>
      <c r="H167" s="3">
        <f t="shared" si="14"/>
        <v>0</v>
      </c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45604</v>
      </c>
      <c r="B168" s="1" t="s">
        <v>133</v>
      </c>
      <c r="C168" s="73">
        <v>1983000</v>
      </c>
      <c r="D168" s="44"/>
      <c r="E168" s="32">
        <f t="shared" si="15"/>
        <v>3864400</v>
      </c>
      <c r="F168" s="34">
        <v>10000</v>
      </c>
      <c r="G168" s="103">
        <v>3</v>
      </c>
      <c r="H168" s="3">
        <f t="shared" si="14"/>
        <v>30000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45604</v>
      </c>
      <c r="B169" s="1" t="s">
        <v>163</v>
      </c>
      <c r="C169" s="73">
        <v>50000</v>
      </c>
      <c r="D169" s="44"/>
      <c r="E169" s="32">
        <f t="shared" si="15"/>
        <v>3914400</v>
      </c>
      <c r="F169" s="34">
        <v>5000</v>
      </c>
      <c r="G169" s="103"/>
      <c r="H169" s="3">
        <f t="shared" si="14"/>
        <v>0</v>
      </c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A170" s="47">
        <v>45604</v>
      </c>
      <c r="B170" s="1" t="s">
        <v>146</v>
      </c>
      <c r="C170" s="73">
        <v>4801000</v>
      </c>
      <c r="D170" s="44"/>
      <c r="E170" s="32">
        <f t="shared" si="15"/>
        <v>8715400</v>
      </c>
      <c r="F170" s="34">
        <v>2000</v>
      </c>
      <c r="G170" s="103">
        <v>2</v>
      </c>
      <c r="H170" s="3">
        <f t="shared" si="14"/>
        <v>4000</v>
      </c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45604</v>
      </c>
      <c r="B171" s="1" t="s">
        <v>157</v>
      </c>
      <c r="C171" s="86"/>
      <c r="D171" s="44"/>
      <c r="E171" s="32">
        <f t="shared" si="15"/>
        <v>8715400</v>
      </c>
      <c r="F171" s="34">
        <v>1000</v>
      </c>
      <c r="G171" s="103"/>
      <c r="H171" s="3">
        <f t="shared" si="14"/>
        <v>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45604</v>
      </c>
      <c r="B172" s="1" t="s">
        <v>159</v>
      </c>
      <c r="C172" s="86">
        <f>2428000-150000</f>
        <v>2278000</v>
      </c>
      <c r="D172" s="44">
        <f>C172-2278000</f>
        <v>0</v>
      </c>
      <c r="E172" s="32">
        <f t="shared" si="15"/>
        <v>10993400</v>
      </c>
      <c r="F172" s="34">
        <v>500</v>
      </c>
      <c r="G172" s="103">
        <v>2</v>
      </c>
      <c r="H172" s="3">
        <f t="shared" si="14"/>
        <v>1000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45604</v>
      </c>
      <c r="B173" s="1" t="s">
        <v>145</v>
      </c>
      <c r="C173" s="86"/>
      <c r="D173" s="44"/>
      <c r="E173" s="32">
        <f t="shared" si="15"/>
        <v>10993400</v>
      </c>
      <c r="F173" s="34">
        <v>200</v>
      </c>
      <c r="G173" s="103"/>
      <c r="H173" s="3">
        <f t="shared" si="14"/>
        <v>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45604</v>
      </c>
      <c r="B174" s="1" t="s">
        <v>143</v>
      </c>
      <c r="C174" s="86"/>
      <c r="D174" s="44">
        <f>SUM(C166:C174)</f>
        <v>10520000</v>
      </c>
      <c r="E174" s="32">
        <f t="shared" si="15"/>
        <v>473400</v>
      </c>
      <c r="F174" s="34">
        <v>100</v>
      </c>
      <c r="G174" s="104"/>
      <c r="H174" s="3">
        <f t="shared" si="14"/>
        <v>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45604</v>
      </c>
      <c r="B175" s="1" t="s">
        <v>160</v>
      </c>
      <c r="C175" s="86"/>
      <c r="D175" s="46"/>
      <c r="E175" s="32">
        <f t="shared" si="15"/>
        <v>473400</v>
      </c>
      <c r="F175" s="1"/>
      <c r="G175" s="1"/>
      <c r="H175" s="1"/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45604</v>
      </c>
      <c r="B176" s="1"/>
      <c r="C176" s="86"/>
      <c r="D176" s="44"/>
      <c r="E176" s="32">
        <f t="shared" si="15"/>
        <v>473400</v>
      </c>
      <c r="G176" s="34"/>
      <c r="H176" s="34"/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45604</v>
      </c>
      <c r="B177" s="31" t="s">
        <v>139</v>
      </c>
      <c r="C177" s="86">
        <v>175000</v>
      </c>
      <c r="D177" s="44">
        <v>343000</v>
      </c>
      <c r="E177" s="32">
        <f t="shared" si="15"/>
        <v>305400</v>
      </c>
      <c r="G177" s="34"/>
      <c r="H177" s="34"/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45604</v>
      </c>
      <c r="B178" s="47" t="s">
        <v>152</v>
      </c>
      <c r="C178" s="87"/>
      <c r="D178" s="44"/>
      <c r="E178" s="32">
        <f t="shared" si="15"/>
        <v>305400</v>
      </c>
      <c r="G178" s="34"/>
      <c r="H178" s="34"/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45604</v>
      </c>
      <c r="B179" s="82"/>
      <c r="C179" s="87"/>
      <c r="D179" s="44"/>
      <c r="E179" s="32">
        <f t="shared" si="15"/>
        <v>305400</v>
      </c>
      <c r="G179" s="34"/>
      <c r="H179" s="34"/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45604</v>
      </c>
      <c r="C180" s="87"/>
      <c r="D180" s="44"/>
      <c r="E180" s="32">
        <f t="shared" si="15"/>
        <v>305400</v>
      </c>
      <c r="G180" s="34"/>
      <c r="H180" s="34"/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45604</v>
      </c>
      <c r="B181" s="1"/>
      <c r="C181" s="88"/>
      <c r="D181" s="36"/>
      <c r="E181" s="32">
        <f t="shared" si="15"/>
        <v>305400</v>
      </c>
      <c r="F181" s="1"/>
      <c r="G181" s="34"/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45604</v>
      </c>
      <c r="B182" s="1" t="s">
        <v>143</v>
      </c>
      <c r="C182" s="89"/>
      <c r="D182" s="44"/>
      <c r="E182" s="32">
        <f t="shared" si="15"/>
        <v>305400</v>
      </c>
      <c r="F182" s="1"/>
      <c r="G182" s="34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45604</v>
      </c>
      <c r="B183" s="47"/>
      <c r="C183" s="90"/>
      <c r="D183" s="44"/>
      <c r="E183" s="32">
        <f t="shared" si="15"/>
        <v>305400</v>
      </c>
      <c r="F183" s="43"/>
      <c r="G183" s="34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45604</v>
      </c>
      <c r="B184" s="45" t="s">
        <v>136</v>
      </c>
      <c r="C184" s="86"/>
      <c r="D184" s="44"/>
      <c r="E184" s="32">
        <f t="shared" si="15"/>
        <v>305400</v>
      </c>
      <c r="F184" s="3">
        <f>SUM(H164:H180)</f>
        <v>285000</v>
      </c>
      <c r="G184" s="49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45604</v>
      </c>
      <c r="B185" s="4" t="s">
        <v>161</v>
      </c>
      <c r="C185" s="86">
        <f>SUM(C165:C184)</f>
        <v>10918400</v>
      </c>
      <c r="D185" s="33">
        <f>SUM(D166:D184)</f>
        <v>10863000</v>
      </c>
      <c r="E185" s="32"/>
      <c r="F185" s="25">
        <f>F184-E184</f>
        <v>-20400</v>
      </c>
      <c r="G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B186" s="45"/>
      <c r="C186" s="86"/>
      <c r="D186" s="44"/>
      <c r="E186" s="32"/>
      <c r="G186" s="49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45605</v>
      </c>
      <c r="B187" s="1" t="s">
        <v>140</v>
      </c>
      <c r="C187" s="65"/>
      <c r="D187" s="8"/>
      <c r="E187" s="8">
        <v>285000</v>
      </c>
      <c r="F187" s="49">
        <v>100000</v>
      </c>
      <c r="G187" s="103">
        <f>8-6</f>
        <v>2</v>
      </c>
      <c r="H187" s="3">
        <f>G187*F187</f>
        <v>200000</v>
      </c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A188" s="47">
        <v>45605</v>
      </c>
      <c r="B188" s="31" t="s">
        <v>138</v>
      </c>
      <c r="C188" s="73">
        <f>896000+45000</f>
        <v>941000</v>
      </c>
      <c r="D188" s="44"/>
      <c r="E188" s="32">
        <f>E187+C188-D188</f>
        <v>1226000</v>
      </c>
      <c r="F188" s="3">
        <v>75000</v>
      </c>
      <c r="G188" s="103"/>
      <c r="H188" s="3">
        <f t="shared" ref="H188:H197" si="16">G188*F188</f>
        <v>0</v>
      </c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45605</v>
      </c>
      <c r="B189" s="1" t="s">
        <v>155</v>
      </c>
      <c r="C189" s="73">
        <v>1022000</v>
      </c>
      <c r="D189" s="44"/>
      <c r="E189" s="32">
        <f t="shared" ref="E189:E207" si="17">E188+C189-D189</f>
        <v>2248000</v>
      </c>
      <c r="F189" s="34">
        <v>50000</v>
      </c>
      <c r="G189" s="103">
        <f>1-0</f>
        <v>1</v>
      </c>
      <c r="H189" s="3">
        <f t="shared" si="16"/>
        <v>50000</v>
      </c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45605</v>
      </c>
      <c r="B190" s="1" t="s">
        <v>156</v>
      </c>
      <c r="C190" s="73"/>
      <c r="D190" s="44"/>
      <c r="E190" s="32">
        <f t="shared" si="17"/>
        <v>2248000</v>
      </c>
      <c r="F190" s="34">
        <v>20000</v>
      </c>
      <c r="G190" s="103"/>
      <c r="H190" s="3">
        <f t="shared" si="16"/>
        <v>0</v>
      </c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45605</v>
      </c>
      <c r="B191" s="1" t="s">
        <v>133</v>
      </c>
      <c r="C191" s="73">
        <v>822000</v>
      </c>
      <c r="D191" s="44"/>
      <c r="E191" s="32">
        <f t="shared" si="17"/>
        <v>3070000</v>
      </c>
      <c r="F191" s="34">
        <v>10000</v>
      </c>
      <c r="G191" s="103">
        <v>1</v>
      </c>
      <c r="H191" s="3">
        <f t="shared" si="16"/>
        <v>10000</v>
      </c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45605</v>
      </c>
      <c r="B192" s="1" t="s">
        <v>163</v>
      </c>
      <c r="C192" s="73">
        <v>288000</v>
      </c>
      <c r="D192" s="44"/>
      <c r="E192" s="32">
        <f t="shared" si="17"/>
        <v>3358000</v>
      </c>
      <c r="F192" s="34">
        <v>5000</v>
      </c>
      <c r="G192" s="103">
        <f>2+1</f>
        <v>3</v>
      </c>
      <c r="H192" s="3">
        <f t="shared" si="16"/>
        <v>15000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45605</v>
      </c>
      <c r="B193" s="1" t="s">
        <v>146</v>
      </c>
      <c r="C193" s="73">
        <v>4738000</v>
      </c>
      <c r="D193" s="44"/>
      <c r="E193" s="32">
        <f t="shared" si="17"/>
        <v>8096000</v>
      </c>
      <c r="F193" s="34">
        <v>2000</v>
      </c>
      <c r="G193" s="103">
        <f>7+2</f>
        <v>9</v>
      </c>
      <c r="H193" s="3">
        <f t="shared" si="16"/>
        <v>18000</v>
      </c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A194" s="47">
        <v>45605</v>
      </c>
      <c r="B194" s="1" t="s">
        <v>157</v>
      </c>
      <c r="C194" s="86"/>
      <c r="D194" s="44"/>
      <c r="E194" s="32">
        <f t="shared" si="17"/>
        <v>8096000</v>
      </c>
      <c r="F194" s="34">
        <v>1000</v>
      </c>
      <c r="G194" s="103">
        <f>5+1</f>
        <v>6</v>
      </c>
      <c r="H194" s="3">
        <f t="shared" si="16"/>
        <v>6000</v>
      </c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45605</v>
      </c>
      <c r="B195" s="1" t="s">
        <v>159</v>
      </c>
      <c r="C195" s="86">
        <f>2666000-45000</f>
        <v>2621000</v>
      </c>
      <c r="D195" s="44">
        <f>2621000-C195</f>
        <v>0</v>
      </c>
      <c r="E195" s="32">
        <f t="shared" si="17"/>
        <v>10717000</v>
      </c>
      <c r="F195" s="34">
        <v>500</v>
      </c>
      <c r="G195" s="103">
        <v>2</v>
      </c>
      <c r="H195" s="3">
        <f t="shared" si="16"/>
        <v>1000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45605</v>
      </c>
      <c r="B196" s="1" t="s">
        <v>145</v>
      </c>
      <c r="C196" s="86">
        <v>45000</v>
      </c>
      <c r="D196" s="44"/>
      <c r="E196" s="32">
        <f t="shared" si="17"/>
        <v>10762000</v>
      </c>
      <c r="F196" s="34">
        <v>200</v>
      </c>
      <c r="G196" s="103"/>
      <c r="H196" s="3">
        <f t="shared" si="16"/>
        <v>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45605</v>
      </c>
      <c r="B197" s="1" t="s">
        <v>143</v>
      </c>
      <c r="C197" s="86"/>
      <c r="D197" s="44">
        <f>SUM(C189:C197)</f>
        <v>9536000</v>
      </c>
      <c r="E197" s="32">
        <f t="shared" si="17"/>
        <v>1226000</v>
      </c>
      <c r="F197" s="34">
        <v>100</v>
      </c>
      <c r="G197" s="104"/>
      <c r="H197" s="3">
        <f t="shared" si="16"/>
        <v>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45605</v>
      </c>
      <c r="B198" s="1" t="s">
        <v>160</v>
      </c>
      <c r="C198" s="86">
        <v>-37000</v>
      </c>
      <c r="D198" s="46"/>
      <c r="E198" s="32">
        <f t="shared" si="17"/>
        <v>1189000</v>
      </c>
      <c r="F198" s="1"/>
      <c r="G198" s="1"/>
      <c r="H198" s="1"/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45605</v>
      </c>
      <c r="B199" s="1"/>
      <c r="C199" s="86"/>
      <c r="D199" s="44"/>
      <c r="E199" s="32">
        <f t="shared" si="17"/>
        <v>1189000</v>
      </c>
      <c r="G199" s="34"/>
      <c r="H199" s="34"/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45605</v>
      </c>
      <c r="B200" s="31" t="s">
        <v>139</v>
      </c>
      <c r="C200" s="86"/>
      <c r="D200" s="44">
        <f>337000-37000</f>
        <v>300000</v>
      </c>
      <c r="E200" s="32">
        <f t="shared" si="17"/>
        <v>889000</v>
      </c>
      <c r="G200" s="34"/>
      <c r="H200" s="34"/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45605</v>
      </c>
      <c r="B201" s="47" t="s">
        <v>152</v>
      </c>
      <c r="C201" s="87"/>
      <c r="D201" s="44"/>
      <c r="E201" s="32">
        <f t="shared" si="17"/>
        <v>889000</v>
      </c>
      <c r="G201" s="34"/>
      <c r="H201" s="34"/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45605</v>
      </c>
      <c r="B202" s="82"/>
      <c r="C202" s="87"/>
      <c r="D202" s="44"/>
      <c r="E202" s="32">
        <f t="shared" si="17"/>
        <v>889000</v>
      </c>
      <c r="G202" s="34"/>
      <c r="H202" s="34"/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45605</v>
      </c>
      <c r="C203" s="87"/>
      <c r="D203" s="44"/>
      <c r="E203" s="32">
        <f t="shared" si="17"/>
        <v>889000</v>
      </c>
      <c r="G203" s="34"/>
      <c r="H203" s="34"/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45605</v>
      </c>
      <c r="B204" s="1"/>
      <c r="C204" s="88"/>
      <c r="D204" s="36"/>
      <c r="E204" s="32">
        <f t="shared" si="17"/>
        <v>889000</v>
      </c>
      <c r="F204" s="1"/>
      <c r="G204" s="34"/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45605</v>
      </c>
      <c r="B205" s="1" t="s">
        <v>143</v>
      </c>
      <c r="C205" s="89"/>
      <c r="D205" s="44"/>
      <c r="E205" s="32">
        <f t="shared" si="17"/>
        <v>889000</v>
      </c>
      <c r="F205" s="1"/>
      <c r="G205" s="34"/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45605</v>
      </c>
      <c r="B206" s="47"/>
      <c r="C206" s="90"/>
      <c r="D206" s="44"/>
      <c r="E206" s="32">
        <f t="shared" si="17"/>
        <v>889000</v>
      </c>
      <c r="F206" s="43"/>
      <c r="G206" s="34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45605</v>
      </c>
      <c r="B207" s="45" t="s">
        <v>136</v>
      </c>
      <c r="C207" s="86">
        <v>10000</v>
      </c>
      <c r="D207" s="44">
        <v>600000</v>
      </c>
      <c r="E207" s="32">
        <f t="shared" si="17"/>
        <v>299000</v>
      </c>
      <c r="F207" s="3">
        <f>SUM(H187:H203)</f>
        <v>300000</v>
      </c>
      <c r="G207" s="49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45605</v>
      </c>
      <c r="B208" s="4" t="s">
        <v>161</v>
      </c>
      <c r="C208" s="86">
        <f>SUM(C188:C207)</f>
        <v>10450000</v>
      </c>
      <c r="D208" s="33">
        <f>SUM(D189:D207)</f>
        <v>10436000</v>
      </c>
      <c r="E208" s="32"/>
      <c r="F208" s="25">
        <f>F207-E207</f>
        <v>1000</v>
      </c>
      <c r="G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B209" s="45"/>
      <c r="C209" s="86"/>
      <c r="D209" s="44"/>
      <c r="E209" s="32"/>
      <c r="G209" s="49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45606</v>
      </c>
      <c r="B210" s="1" t="s">
        <v>140</v>
      </c>
      <c r="C210" s="65"/>
      <c r="D210" s="8"/>
      <c r="E210" s="8">
        <v>300000</v>
      </c>
      <c r="F210" s="49">
        <v>100000</v>
      </c>
      <c r="G210" s="103">
        <f>6-5</f>
        <v>1</v>
      </c>
      <c r="H210" s="3">
        <f>G210*F210</f>
        <v>100000</v>
      </c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A211" s="47">
        <v>45606</v>
      </c>
      <c r="B211" s="31" t="s">
        <v>138</v>
      </c>
      <c r="C211" s="73">
        <f>727000+38000</f>
        <v>765000</v>
      </c>
      <c r="D211" s="44"/>
      <c r="E211" s="32">
        <f>E210+C211-D211</f>
        <v>1065000</v>
      </c>
      <c r="F211" s="3">
        <v>75000</v>
      </c>
      <c r="G211" s="103"/>
      <c r="H211" s="3">
        <f t="shared" ref="H211:H220" si="18">G211*F211</f>
        <v>0</v>
      </c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45606</v>
      </c>
      <c r="B212" s="1" t="s">
        <v>155</v>
      </c>
      <c r="C212" s="73">
        <v>480000</v>
      </c>
      <c r="D212" s="44"/>
      <c r="E212" s="32">
        <f t="shared" ref="E212:E230" si="19">E211+C212-D212</f>
        <v>1545000</v>
      </c>
      <c r="F212" s="34">
        <v>50000</v>
      </c>
      <c r="G212" s="103">
        <v>1</v>
      </c>
      <c r="H212" s="3">
        <f t="shared" si="18"/>
        <v>50000</v>
      </c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45606</v>
      </c>
      <c r="B213" s="1" t="s">
        <v>156</v>
      </c>
      <c r="C213" s="73">
        <v>365000</v>
      </c>
      <c r="D213" s="44"/>
      <c r="E213" s="32">
        <f t="shared" si="19"/>
        <v>1910000</v>
      </c>
      <c r="F213" s="34">
        <v>20000</v>
      </c>
      <c r="G213" s="103"/>
      <c r="H213" s="3">
        <f t="shared" si="18"/>
        <v>0</v>
      </c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45606</v>
      </c>
      <c r="B214" s="1" t="s">
        <v>133</v>
      </c>
      <c r="C214" s="73">
        <v>1686000</v>
      </c>
      <c r="D214" s="44"/>
      <c r="E214" s="32">
        <f t="shared" si="19"/>
        <v>3596000</v>
      </c>
      <c r="F214" s="34">
        <v>10000</v>
      </c>
      <c r="G214" s="103">
        <f>8+1</f>
        <v>9</v>
      </c>
      <c r="H214" s="3">
        <f t="shared" si="18"/>
        <v>90000</v>
      </c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45606</v>
      </c>
      <c r="B215" s="1" t="s">
        <v>163</v>
      </c>
      <c r="C215" s="73">
        <f>700000+33000</f>
        <v>733000</v>
      </c>
      <c r="D215" s="44"/>
      <c r="E215" s="32">
        <f t="shared" si="19"/>
        <v>4329000</v>
      </c>
      <c r="F215" s="34">
        <v>5000</v>
      </c>
      <c r="G215" s="103">
        <f>2-1</f>
        <v>1</v>
      </c>
      <c r="H215" s="3">
        <f t="shared" si="18"/>
        <v>5000</v>
      </c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45606</v>
      </c>
      <c r="B216" s="1" t="s">
        <v>146</v>
      </c>
      <c r="C216" s="73">
        <v>5002000</v>
      </c>
      <c r="D216" s="44"/>
      <c r="E216" s="32">
        <f t="shared" si="19"/>
        <v>9331000</v>
      </c>
      <c r="F216" s="34">
        <v>2000</v>
      </c>
      <c r="G216" s="103">
        <f>3+5-5-1</f>
        <v>2</v>
      </c>
      <c r="H216" s="3">
        <f t="shared" si="18"/>
        <v>4000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45606</v>
      </c>
      <c r="B217" s="1" t="s">
        <v>157</v>
      </c>
      <c r="C217" s="86"/>
      <c r="D217" s="44"/>
      <c r="E217" s="32">
        <f t="shared" si="19"/>
        <v>9331000</v>
      </c>
      <c r="F217" s="34">
        <v>1000</v>
      </c>
      <c r="G217" s="103"/>
      <c r="H217" s="3">
        <f t="shared" si="18"/>
        <v>0</v>
      </c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A218" s="47">
        <v>45606</v>
      </c>
      <c r="B218" s="1" t="s">
        <v>159</v>
      </c>
      <c r="C218" s="86">
        <v>3580000</v>
      </c>
      <c r="D218" s="44"/>
      <c r="E218" s="32">
        <f t="shared" si="19"/>
        <v>12911000</v>
      </c>
      <c r="F218" s="34">
        <v>500</v>
      </c>
      <c r="G218" s="103">
        <f>1+1</f>
        <v>2</v>
      </c>
      <c r="H218" s="3">
        <f t="shared" si="18"/>
        <v>1000</v>
      </c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45606</v>
      </c>
      <c r="B219" s="1" t="s">
        <v>145</v>
      </c>
      <c r="C219" s="86">
        <f>186000</f>
        <v>186000</v>
      </c>
      <c r="D219" s="44"/>
      <c r="E219" s="32">
        <f t="shared" si="19"/>
        <v>13097000</v>
      </c>
      <c r="F219" s="34">
        <v>200</v>
      </c>
      <c r="G219" s="103"/>
      <c r="H219" s="3">
        <f t="shared" si="18"/>
        <v>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45606</v>
      </c>
      <c r="B220" s="1" t="s">
        <v>143</v>
      </c>
      <c r="C220" s="86"/>
      <c r="D220" s="44">
        <f>SUM(C212:C220)</f>
        <v>12032000</v>
      </c>
      <c r="E220" s="32">
        <f t="shared" si="19"/>
        <v>1065000</v>
      </c>
      <c r="F220" s="34">
        <v>100</v>
      </c>
      <c r="G220" s="104"/>
      <c r="H220" s="3">
        <f t="shared" si="18"/>
        <v>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45606</v>
      </c>
      <c r="B221" s="1" t="s">
        <v>160</v>
      </c>
      <c r="C221" s="86"/>
      <c r="D221" s="46"/>
      <c r="E221" s="32">
        <f t="shared" si="19"/>
        <v>1065000</v>
      </c>
      <c r="F221" s="1"/>
      <c r="G221" s="1"/>
      <c r="H221" s="1"/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45606</v>
      </c>
      <c r="B222" s="1"/>
      <c r="C222" s="86"/>
      <c r="D222" s="44"/>
      <c r="E222" s="32">
        <f t="shared" si="19"/>
        <v>1065000</v>
      </c>
      <c r="G222" s="34"/>
      <c r="H222" s="34"/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45606</v>
      </c>
      <c r="B223" s="31" t="s">
        <v>139</v>
      </c>
      <c r="C223" s="86"/>
      <c r="D223" s="44">
        <v>341300</v>
      </c>
      <c r="E223" s="32">
        <f t="shared" si="19"/>
        <v>723700</v>
      </c>
      <c r="G223" s="34"/>
      <c r="H223" s="34"/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45606</v>
      </c>
      <c r="B224" s="47" t="s">
        <v>152</v>
      </c>
      <c r="C224" s="87"/>
      <c r="D224" s="44"/>
      <c r="E224" s="32">
        <f t="shared" si="19"/>
        <v>723700</v>
      </c>
      <c r="G224" s="34"/>
      <c r="H224" s="34"/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45606</v>
      </c>
      <c r="B225" s="82"/>
      <c r="C225" s="87"/>
      <c r="D225" s="44"/>
      <c r="E225" s="32">
        <f t="shared" si="19"/>
        <v>723700</v>
      </c>
      <c r="G225" s="34"/>
      <c r="H225" s="34"/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45606</v>
      </c>
      <c r="C226" s="87"/>
      <c r="D226" s="44"/>
      <c r="E226" s="32">
        <f t="shared" si="19"/>
        <v>723700</v>
      </c>
      <c r="G226" s="34"/>
      <c r="H226" s="34"/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45606</v>
      </c>
      <c r="B227" s="1"/>
      <c r="C227" s="88"/>
      <c r="D227" s="36"/>
      <c r="E227" s="32">
        <f t="shared" si="19"/>
        <v>723700</v>
      </c>
      <c r="F227" s="1"/>
      <c r="G227" s="34"/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45606</v>
      </c>
      <c r="B228" s="1" t="s">
        <v>143</v>
      </c>
      <c r="C228" s="89"/>
      <c r="D228" s="44"/>
      <c r="E228" s="32">
        <f t="shared" si="19"/>
        <v>723700</v>
      </c>
      <c r="F228" s="1"/>
      <c r="G228" s="34"/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45606</v>
      </c>
      <c r="B229" s="47"/>
      <c r="C229" s="90"/>
      <c r="D229" s="44"/>
      <c r="E229" s="32">
        <f t="shared" si="19"/>
        <v>723700</v>
      </c>
      <c r="F229" s="43"/>
      <c r="G229" s="34"/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45606</v>
      </c>
      <c r="B230" s="45" t="s">
        <v>136</v>
      </c>
      <c r="C230" s="86">
        <f>50000+500</f>
        <v>50500</v>
      </c>
      <c r="D230" s="44">
        <f>500000+5000+2000</f>
        <v>507000</v>
      </c>
      <c r="E230" s="32">
        <f t="shared" si="19"/>
        <v>267200</v>
      </c>
      <c r="F230" s="3">
        <f>SUM(H210:H226)</f>
        <v>250000</v>
      </c>
      <c r="G230" s="49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45606</v>
      </c>
      <c r="B231" s="4" t="s">
        <v>161</v>
      </c>
      <c r="C231" s="86">
        <f>SUM(C211:C230)</f>
        <v>12847500</v>
      </c>
      <c r="D231" s="33">
        <f>SUM(D212:D230)</f>
        <v>12880300</v>
      </c>
      <c r="E231" s="32"/>
      <c r="F231" s="25">
        <f>F230-E230</f>
        <v>-17200</v>
      </c>
      <c r="G231" s="34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B232" s="45"/>
      <c r="C232" s="86"/>
      <c r="D232" s="44"/>
      <c r="E232" s="32"/>
      <c r="G232" s="49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45607</v>
      </c>
      <c r="B233" s="1" t="s">
        <v>140</v>
      </c>
      <c r="C233" s="65"/>
      <c r="D233" s="8"/>
      <c r="E233" s="8">
        <v>250000</v>
      </c>
      <c r="F233" s="49">
        <v>100000</v>
      </c>
      <c r="G233" s="103">
        <f>2-2</f>
        <v>0</v>
      </c>
      <c r="H233" s="3">
        <f>G233*F233</f>
        <v>0</v>
      </c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A234" s="47">
        <v>45607</v>
      </c>
      <c r="B234" s="31" t="s">
        <v>138</v>
      </c>
      <c r="C234" s="73">
        <v>713000</v>
      </c>
      <c r="D234" s="44"/>
      <c r="E234" s="32">
        <f>E233+C234-D234</f>
        <v>963000</v>
      </c>
      <c r="F234" s="3">
        <v>75000</v>
      </c>
      <c r="G234" s="103"/>
      <c r="H234" s="3">
        <f t="shared" ref="H234:H243" si="20">G234*F234</f>
        <v>0</v>
      </c>
      <c r="I234" s="44"/>
      <c r="J234" s="32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45607</v>
      </c>
      <c r="B235" s="1" t="s">
        <v>155</v>
      </c>
      <c r="C235" s="73">
        <f>803000+150000</f>
        <v>953000</v>
      </c>
      <c r="D235" s="44">
        <f>953000-C235</f>
        <v>0</v>
      </c>
      <c r="E235" s="32">
        <f t="shared" ref="E235:E253" si="21">E234+C235-D235</f>
        <v>1916000</v>
      </c>
      <c r="F235" s="34">
        <v>50000</v>
      </c>
      <c r="G235" s="103">
        <f>6-2</f>
        <v>4</v>
      </c>
      <c r="H235" s="3">
        <f t="shared" si="20"/>
        <v>200000</v>
      </c>
      <c r="I235" s="44"/>
      <c r="J235" s="32"/>
      <c r="K235" s="34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45607</v>
      </c>
      <c r="B236" s="1" t="s">
        <v>156</v>
      </c>
      <c r="C236" s="73">
        <v>106000</v>
      </c>
      <c r="D236" s="44"/>
      <c r="E236" s="32">
        <f t="shared" si="21"/>
        <v>2022000</v>
      </c>
      <c r="F236" s="34">
        <v>20000</v>
      </c>
      <c r="G236" s="103">
        <v>1</v>
      </c>
      <c r="H236" s="3">
        <f t="shared" si="20"/>
        <v>20000</v>
      </c>
      <c r="I236" s="44"/>
      <c r="J236" s="32"/>
      <c r="K236" s="34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45607</v>
      </c>
      <c r="B237" s="1" t="s">
        <v>133</v>
      </c>
      <c r="C237" s="73">
        <v>667000</v>
      </c>
      <c r="D237" s="44"/>
      <c r="E237" s="32">
        <f t="shared" si="21"/>
        <v>2689000</v>
      </c>
      <c r="F237" s="34">
        <v>10000</v>
      </c>
      <c r="G237" s="103">
        <f>2</f>
        <v>2</v>
      </c>
      <c r="H237" s="3">
        <f t="shared" si="20"/>
        <v>20000</v>
      </c>
      <c r="I237" s="44"/>
      <c r="J237" s="32"/>
      <c r="K237" s="34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45607</v>
      </c>
      <c r="B238" s="1" t="s">
        <v>163</v>
      </c>
      <c r="C238" s="73">
        <v>66000</v>
      </c>
      <c r="D238" s="44"/>
      <c r="E238" s="32">
        <f t="shared" si="21"/>
        <v>2755000</v>
      </c>
      <c r="F238" s="34">
        <v>5000</v>
      </c>
      <c r="G238" s="103">
        <f>5-3</f>
        <v>2</v>
      </c>
      <c r="H238" s="3">
        <f t="shared" si="20"/>
        <v>10000</v>
      </c>
      <c r="J238" s="32"/>
      <c r="K238" s="34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45607</v>
      </c>
      <c r="B239" s="1" t="s">
        <v>146</v>
      </c>
      <c r="C239" s="73">
        <f>5646000+280000</f>
        <v>5926000</v>
      </c>
      <c r="D239" s="44"/>
      <c r="E239" s="32">
        <f t="shared" si="21"/>
        <v>8681000</v>
      </c>
      <c r="F239" s="34">
        <v>2000</v>
      </c>
      <c r="G239" s="103"/>
      <c r="H239" s="3">
        <f t="shared" si="20"/>
        <v>0</v>
      </c>
      <c r="I239" s="44"/>
      <c r="J239" s="32"/>
      <c r="K239" s="34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45607</v>
      </c>
      <c r="B240" s="1" t="s">
        <v>165</v>
      </c>
      <c r="C240" s="86">
        <v>35000</v>
      </c>
      <c r="D240" s="44"/>
      <c r="E240" s="32">
        <f t="shared" si="21"/>
        <v>8716000</v>
      </c>
      <c r="F240" s="34">
        <v>1000</v>
      </c>
      <c r="G240" s="103"/>
      <c r="H240" s="3">
        <f t="shared" si="20"/>
        <v>0</v>
      </c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45607</v>
      </c>
      <c r="B241" s="1" t="s">
        <v>164</v>
      </c>
      <c r="C241" s="86">
        <f>1940000</f>
        <v>1940000</v>
      </c>
      <c r="D241" s="44"/>
      <c r="E241" s="32">
        <f t="shared" si="21"/>
        <v>10656000</v>
      </c>
      <c r="F241" s="34">
        <v>500</v>
      </c>
      <c r="G241" s="103"/>
      <c r="H241" s="3">
        <f t="shared" si="20"/>
        <v>0</v>
      </c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A242" s="47">
        <v>45607</v>
      </c>
      <c r="B242" s="1" t="s">
        <v>145</v>
      </c>
      <c r="C242" s="86">
        <v>953500</v>
      </c>
      <c r="D242" s="44"/>
      <c r="E242" s="32">
        <f t="shared" si="21"/>
        <v>11609500</v>
      </c>
      <c r="F242" s="34">
        <v>200</v>
      </c>
      <c r="G242" s="103">
        <f>3-3</f>
        <v>0</v>
      </c>
      <c r="H242" s="3">
        <f t="shared" si="20"/>
        <v>0</v>
      </c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45607</v>
      </c>
      <c r="B243" s="1" t="s">
        <v>143</v>
      </c>
      <c r="C243" s="86"/>
      <c r="D243" s="44">
        <f>SUM(C235:C243)</f>
        <v>10646500</v>
      </c>
      <c r="E243" s="32">
        <f t="shared" si="21"/>
        <v>963000</v>
      </c>
      <c r="F243" s="34">
        <v>100</v>
      </c>
      <c r="G243" s="104">
        <f>1-1</f>
        <v>0</v>
      </c>
      <c r="H243" s="3">
        <f t="shared" si="20"/>
        <v>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45607</v>
      </c>
      <c r="B244" s="1" t="s">
        <v>160</v>
      </c>
      <c r="C244" s="86">
        <v>-33000</v>
      </c>
      <c r="D244" s="46"/>
      <c r="E244" s="32">
        <f t="shared" si="21"/>
        <v>930000</v>
      </c>
      <c r="F244" s="1"/>
      <c r="G244" s="1"/>
      <c r="H244" s="1"/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45607</v>
      </c>
      <c r="B245" s="1"/>
      <c r="C245" s="86"/>
      <c r="D245" s="44"/>
      <c r="E245" s="32">
        <f t="shared" si="21"/>
        <v>930000</v>
      </c>
      <c r="G245" s="34"/>
      <c r="H245" s="34"/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45607</v>
      </c>
      <c r="B246" s="31" t="s">
        <v>139</v>
      </c>
      <c r="C246" s="86"/>
      <c r="D246" s="44">
        <f>397300-33000</f>
        <v>364300</v>
      </c>
      <c r="E246" s="32">
        <f t="shared" si="21"/>
        <v>565700</v>
      </c>
      <c r="G246" s="34"/>
      <c r="H246" s="34"/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45607</v>
      </c>
      <c r="B247" s="47" t="s">
        <v>152</v>
      </c>
      <c r="C247" s="87"/>
      <c r="D247" s="44"/>
      <c r="E247" s="32">
        <f t="shared" si="21"/>
        <v>565700</v>
      </c>
      <c r="G247" s="34"/>
      <c r="H247" s="34"/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45607</v>
      </c>
      <c r="B248" s="82"/>
      <c r="C248" s="87"/>
      <c r="D248" s="44"/>
      <c r="E248" s="32">
        <f t="shared" si="21"/>
        <v>565700</v>
      </c>
      <c r="G248" s="34"/>
      <c r="H248" s="34"/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45607</v>
      </c>
      <c r="C249" s="87"/>
      <c r="D249" s="44"/>
      <c r="E249" s="32">
        <f t="shared" si="21"/>
        <v>565700</v>
      </c>
      <c r="G249" s="34"/>
      <c r="H249" s="34"/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45607</v>
      </c>
      <c r="B250" s="1"/>
      <c r="C250" s="88"/>
      <c r="D250" s="36"/>
      <c r="E250" s="32">
        <f t="shared" si="21"/>
        <v>565700</v>
      </c>
      <c r="F250" s="1"/>
      <c r="G250" s="34"/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45607</v>
      </c>
      <c r="B251" s="1" t="s">
        <v>143</v>
      </c>
      <c r="C251" s="89"/>
      <c r="D251" s="44"/>
      <c r="E251" s="32">
        <f t="shared" si="21"/>
        <v>565700</v>
      </c>
      <c r="F251" s="1"/>
      <c r="G251" s="34"/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45607</v>
      </c>
      <c r="B252" s="47"/>
      <c r="C252" s="90"/>
      <c r="D252" s="44"/>
      <c r="E252" s="32">
        <f t="shared" si="21"/>
        <v>565700</v>
      </c>
      <c r="F252" s="43"/>
      <c r="G252" s="34"/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45607</v>
      </c>
      <c r="B253" s="45" t="s">
        <v>136</v>
      </c>
      <c r="C253" s="86"/>
      <c r="D253" s="44">
        <v>315700</v>
      </c>
      <c r="E253" s="32">
        <f t="shared" si="21"/>
        <v>250000</v>
      </c>
      <c r="F253" s="3">
        <f>SUM(H233:H249)</f>
        <v>250000</v>
      </c>
      <c r="G253" s="49"/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45607</v>
      </c>
      <c r="B254" s="4" t="s">
        <v>161</v>
      </c>
      <c r="C254" s="86">
        <f>SUM(C234:C253)</f>
        <v>11326500</v>
      </c>
      <c r="D254" s="33">
        <f>SUM(D235:D253)</f>
        <v>11326500</v>
      </c>
      <c r="E254" s="32"/>
      <c r="F254" s="25">
        <f>F253-E253</f>
        <v>0</v>
      </c>
      <c r="G254" s="34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B255" s="45"/>
      <c r="C255" s="86"/>
      <c r="D255" s="44"/>
      <c r="E255" s="32"/>
      <c r="G255" s="49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45608</v>
      </c>
      <c r="B256" s="1" t="s">
        <v>140</v>
      </c>
      <c r="C256" s="65"/>
      <c r="D256" s="8"/>
      <c r="E256" s="8">
        <v>250000</v>
      </c>
      <c r="F256" s="49">
        <v>100000</v>
      </c>
      <c r="G256" s="103">
        <v>2</v>
      </c>
      <c r="H256" s="3">
        <f>G256*F256</f>
        <v>200000</v>
      </c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A257" s="47">
        <v>45608</v>
      </c>
      <c r="B257" s="31" t="s">
        <v>138</v>
      </c>
      <c r="C257" s="73">
        <v>54000</v>
      </c>
      <c r="D257" s="44"/>
      <c r="E257" s="32">
        <f>E256+C257-D257</f>
        <v>304000</v>
      </c>
      <c r="F257" s="3">
        <v>75000</v>
      </c>
      <c r="G257" s="103"/>
      <c r="H257" s="3">
        <f t="shared" ref="H257:H266" si="22">G257*F257</f>
        <v>0</v>
      </c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45608</v>
      </c>
      <c r="B258" s="1" t="s">
        <v>155</v>
      </c>
      <c r="C258" s="73"/>
      <c r="D258" s="44"/>
      <c r="E258" s="32">
        <f t="shared" ref="E258:E276" si="23">E257+C258-D258</f>
        <v>304000</v>
      </c>
      <c r="F258" s="34">
        <v>50000</v>
      </c>
      <c r="G258" s="103">
        <f>1-1</f>
        <v>0</v>
      </c>
      <c r="H258" s="3">
        <f t="shared" si="22"/>
        <v>0</v>
      </c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45608</v>
      </c>
      <c r="B259" s="1" t="s">
        <v>156</v>
      </c>
      <c r="C259" s="73">
        <v>222000</v>
      </c>
      <c r="D259" s="44"/>
      <c r="E259" s="32">
        <f t="shared" si="23"/>
        <v>526000</v>
      </c>
      <c r="F259" s="34">
        <v>20000</v>
      </c>
      <c r="G259" s="103">
        <v>2</v>
      </c>
      <c r="H259" s="3">
        <f t="shared" si="22"/>
        <v>40000</v>
      </c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45608</v>
      </c>
      <c r="B260" s="1" t="s">
        <v>133</v>
      </c>
      <c r="C260" s="73">
        <v>608500</v>
      </c>
      <c r="D260" s="44"/>
      <c r="E260" s="32">
        <f t="shared" si="23"/>
        <v>1134500</v>
      </c>
      <c r="F260" s="34">
        <v>10000</v>
      </c>
      <c r="G260" s="103"/>
      <c r="H260" s="3">
        <f t="shared" si="22"/>
        <v>0</v>
      </c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45608</v>
      </c>
      <c r="B261" s="1" t="s">
        <v>163</v>
      </c>
      <c r="C261" s="73">
        <f>2964000-C262</f>
        <v>350000</v>
      </c>
      <c r="D261" s="44"/>
      <c r="E261" s="32">
        <f t="shared" si="23"/>
        <v>1484500</v>
      </c>
      <c r="F261" s="34">
        <v>5000</v>
      </c>
      <c r="G261" s="103"/>
      <c r="H261" s="3">
        <f t="shared" si="22"/>
        <v>0</v>
      </c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45608</v>
      </c>
      <c r="B262" s="1" t="s">
        <v>146</v>
      </c>
      <c r="C262" s="73">
        <v>2614000</v>
      </c>
      <c r="D262" s="44"/>
      <c r="E262" s="32">
        <f t="shared" si="23"/>
        <v>4098500</v>
      </c>
      <c r="F262" s="34">
        <v>2000</v>
      </c>
      <c r="G262" s="103">
        <f>3+1</f>
        <v>4</v>
      </c>
      <c r="H262" s="3">
        <f t="shared" si="22"/>
        <v>8000</v>
      </c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45608</v>
      </c>
      <c r="B263" s="1" t="s">
        <v>165</v>
      </c>
      <c r="C263" s="86"/>
      <c r="D263" s="44"/>
      <c r="E263" s="32">
        <f t="shared" si="23"/>
        <v>4098500</v>
      </c>
      <c r="F263" s="34">
        <v>1000</v>
      </c>
      <c r="G263" s="103">
        <v>1</v>
      </c>
      <c r="H263" s="3">
        <f t="shared" si="22"/>
        <v>1000</v>
      </c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45608</v>
      </c>
      <c r="B264" s="1" t="s">
        <v>164</v>
      </c>
      <c r="C264" s="86">
        <v>757000</v>
      </c>
      <c r="D264" s="44"/>
      <c r="E264" s="32">
        <f t="shared" si="23"/>
        <v>4855500</v>
      </c>
      <c r="F264" s="34">
        <v>500</v>
      </c>
      <c r="G264" s="103">
        <v>2</v>
      </c>
      <c r="H264" s="3">
        <f t="shared" si="22"/>
        <v>1000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45608</v>
      </c>
      <c r="B265" s="1" t="s">
        <v>145</v>
      </c>
      <c r="C265" s="86">
        <v>976500</v>
      </c>
      <c r="D265" s="44"/>
      <c r="E265" s="32">
        <f t="shared" si="23"/>
        <v>5832000</v>
      </c>
      <c r="F265" s="34">
        <v>200</v>
      </c>
      <c r="G265" s="103">
        <f>4-4</f>
        <v>0</v>
      </c>
      <c r="H265" s="3">
        <f t="shared" si="22"/>
        <v>0</v>
      </c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A266" s="47">
        <v>45608</v>
      </c>
      <c r="B266" s="1" t="s">
        <v>143</v>
      </c>
      <c r="C266" s="86"/>
      <c r="D266" s="44">
        <f>SUM(C258:C266)</f>
        <v>5528000</v>
      </c>
      <c r="E266" s="32">
        <f t="shared" si="23"/>
        <v>304000</v>
      </c>
      <c r="F266" s="34">
        <v>100</v>
      </c>
      <c r="G266" s="104">
        <f>1-1</f>
        <v>0</v>
      </c>
      <c r="H266" s="3">
        <f t="shared" si="22"/>
        <v>0</v>
      </c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45608</v>
      </c>
      <c r="B267" s="1" t="s">
        <v>160</v>
      </c>
      <c r="C267" s="86"/>
      <c r="D267" s="46"/>
      <c r="E267" s="32">
        <f t="shared" si="23"/>
        <v>304000</v>
      </c>
      <c r="F267" s="1"/>
      <c r="G267" s="1"/>
      <c r="H267" s="1"/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45608</v>
      </c>
      <c r="B268" s="1"/>
      <c r="C268" s="86"/>
      <c r="D268" s="44"/>
      <c r="E268" s="32">
        <f t="shared" si="23"/>
        <v>304000</v>
      </c>
      <c r="G268" s="34"/>
      <c r="H268" s="34"/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45608</v>
      </c>
      <c r="B269" s="31" t="s">
        <v>139</v>
      </c>
      <c r="C269" s="86"/>
      <c r="D269" s="44">
        <v>246500</v>
      </c>
      <c r="E269" s="32">
        <f t="shared" si="23"/>
        <v>57500</v>
      </c>
      <c r="G269" s="34"/>
      <c r="H269" s="34"/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45608</v>
      </c>
      <c r="B270" s="47" t="s">
        <v>152</v>
      </c>
      <c r="C270" s="87"/>
      <c r="D270" s="44"/>
      <c r="E270" s="32">
        <f t="shared" si="23"/>
        <v>57500</v>
      </c>
      <c r="G270" s="34"/>
      <c r="H270" s="34"/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45608</v>
      </c>
      <c r="B271" s="82"/>
      <c r="C271" s="87"/>
      <c r="D271" s="44"/>
      <c r="E271" s="32">
        <f t="shared" si="23"/>
        <v>57500</v>
      </c>
      <c r="G271" s="34"/>
      <c r="H271" s="34"/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45608</v>
      </c>
      <c r="C272" s="87"/>
      <c r="D272" s="44"/>
      <c r="E272" s="32">
        <f t="shared" si="23"/>
        <v>57500</v>
      </c>
      <c r="G272" s="34"/>
      <c r="H272" s="34"/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45608</v>
      </c>
      <c r="B273" s="1"/>
      <c r="C273" s="88"/>
      <c r="D273" s="36"/>
      <c r="E273" s="32">
        <f t="shared" si="23"/>
        <v>57500</v>
      </c>
      <c r="F273" s="1"/>
      <c r="G273" s="34"/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45608</v>
      </c>
      <c r="B274" s="1" t="s">
        <v>143</v>
      </c>
      <c r="C274" s="89"/>
      <c r="D274" s="44"/>
      <c r="E274" s="32">
        <f t="shared" si="23"/>
        <v>57500</v>
      </c>
      <c r="F274" s="1"/>
      <c r="G274" s="34"/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45608</v>
      </c>
      <c r="B275" s="47"/>
      <c r="C275" s="90"/>
      <c r="D275" s="44"/>
      <c r="E275" s="32">
        <f t="shared" si="23"/>
        <v>57500</v>
      </c>
      <c r="F275" s="43"/>
      <c r="G275" s="34"/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45608</v>
      </c>
      <c r="B276" s="45" t="s">
        <v>136</v>
      </c>
      <c r="C276" s="86">
        <v>243000</v>
      </c>
      <c r="D276" s="44">
        <v>50900</v>
      </c>
      <c r="E276" s="32">
        <f t="shared" si="23"/>
        <v>249600</v>
      </c>
      <c r="F276" s="3">
        <f>SUM(H256:H272)</f>
        <v>250000</v>
      </c>
      <c r="G276" s="49">
        <f>250000-F276</f>
        <v>0</v>
      </c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45608</v>
      </c>
      <c r="B277" s="4" t="s">
        <v>161</v>
      </c>
      <c r="C277" s="86">
        <f>SUM(C257:C276)</f>
        <v>5825000</v>
      </c>
      <c r="D277" s="33">
        <f>SUM(D258:D276)</f>
        <v>5825400</v>
      </c>
      <c r="E277" s="32"/>
      <c r="F277" s="25">
        <f>F276-E276</f>
        <v>400</v>
      </c>
      <c r="G277" s="34"/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B278" s="45"/>
      <c r="C278" s="86"/>
      <c r="D278" s="44"/>
      <c r="E278" s="32"/>
      <c r="G278" s="49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45609</v>
      </c>
      <c r="B279" s="1" t="s">
        <v>140</v>
      </c>
      <c r="C279" s="65"/>
      <c r="D279" s="8"/>
      <c r="E279" s="8">
        <v>250000</v>
      </c>
      <c r="F279" s="49">
        <v>100000</v>
      </c>
      <c r="G279" s="103">
        <v>1</v>
      </c>
      <c r="H279" s="3">
        <f>G279*F279</f>
        <v>100000</v>
      </c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A280" s="47">
        <v>45609</v>
      </c>
      <c r="B280" s="31" t="s">
        <v>138</v>
      </c>
      <c r="C280" s="73">
        <v>78000</v>
      </c>
      <c r="D280" s="44"/>
      <c r="E280" s="32">
        <f>E279+C280-D280</f>
        <v>328000</v>
      </c>
      <c r="F280" s="3">
        <v>75000</v>
      </c>
      <c r="G280" s="103"/>
      <c r="H280" s="3">
        <f t="shared" ref="H280:H289" si="24">G280*F280</f>
        <v>0</v>
      </c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45609</v>
      </c>
      <c r="B281" s="1" t="s">
        <v>155</v>
      </c>
      <c r="C281" s="73"/>
      <c r="D281" s="44"/>
      <c r="E281" s="32">
        <f t="shared" ref="E281:E299" si="25">E280+C281-D281</f>
        <v>328000</v>
      </c>
      <c r="F281" s="34">
        <v>50000</v>
      </c>
      <c r="G281" s="103"/>
      <c r="H281" s="3">
        <f t="shared" si="24"/>
        <v>0</v>
      </c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45609</v>
      </c>
      <c r="B282" s="1" t="s">
        <v>156</v>
      </c>
      <c r="C282" s="73">
        <v>342000</v>
      </c>
      <c r="D282" s="44"/>
      <c r="E282" s="32">
        <f t="shared" si="25"/>
        <v>670000</v>
      </c>
      <c r="F282" s="34">
        <v>20000</v>
      </c>
      <c r="G282" s="103">
        <v>3</v>
      </c>
      <c r="H282" s="3">
        <f t="shared" si="24"/>
        <v>60000</v>
      </c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45609</v>
      </c>
      <c r="B283" s="1" t="s">
        <v>133</v>
      </c>
      <c r="C283" s="73">
        <v>860000</v>
      </c>
      <c r="D283" s="44"/>
      <c r="E283" s="32">
        <f t="shared" si="25"/>
        <v>1530000</v>
      </c>
      <c r="F283" s="34">
        <v>10000</v>
      </c>
      <c r="G283" s="103"/>
      <c r="H283" s="3">
        <f t="shared" si="24"/>
        <v>0</v>
      </c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45609</v>
      </c>
      <c r="B284" s="1" t="s">
        <v>163</v>
      </c>
      <c r="C284" s="73">
        <f>1537000-C285</f>
        <v>129000</v>
      </c>
      <c r="D284" s="44"/>
      <c r="E284" s="32">
        <f t="shared" si="25"/>
        <v>1659000</v>
      </c>
      <c r="F284" s="34">
        <v>5000</v>
      </c>
      <c r="G284" s="103"/>
      <c r="H284" s="3">
        <f t="shared" si="24"/>
        <v>0</v>
      </c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45609</v>
      </c>
      <c r="B285" s="1" t="s">
        <v>146</v>
      </c>
      <c r="C285" s="73">
        <v>1408000</v>
      </c>
      <c r="D285" s="44"/>
      <c r="E285" s="32">
        <f t="shared" si="25"/>
        <v>3067000</v>
      </c>
      <c r="F285" s="34">
        <v>2000</v>
      </c>
      <c r="G285" s="103">
        <v>3</v>
      </c>
      <c r="H285" s="3">
        <f t="shared" si="24"/>
        <v>6000</v>
      </c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45609</v>
      </c>
      <c r="B286" s="1" t="s">
        <v>165</v>
      </c>
      <c r="C286" s="86"/>
      <c r="D286" s="44"/>
      <c r="E286" s="32">
        <f t="shared" si="25"/>
        <v>3067000</v>
      </c>
      <c r="F286" s="34">
        <v>1000</v>
      </c>
      <c r="G286" s="103">
        <v>1</v>
      </c>
      <c r="H286" s="3">
        <f t="shared" si="24"/>
        <v>1000</v>
      </c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45609</v>
      </c>
      <c r="B287" s="1" t="s">
        <v>164</v>
      </c>
      <c r="C287" s="86">
        <v>2395000</v>
      </c>
      <c r="D287" s="44"/>
      <c r="E287" s="32">
        <f t="shared" si="25"/>
        <v>5462000</v>
      </c>
      <c r="F287" s="34">
        <v>500</v>
      </c>
      <c r="G287" s="103">
        <v>2</v>
      </c>
      <c r="H287" s="3">
        <f t="shared" si="24"/>
        <v>1000</v>
      </c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45609</v>
      </c>
      <c r="B288" s="1" t="s">
        <v>145</v>
      </c>
      <c r="C288" s="86"/>
      <c r="D288" s="44"/>
      <c r="E288" s="32">
        <f t="shared" si="25"/>
        <v>5462000</v>
      </c>
      <c r="F288" s="34">
        <v>200</v>
      </c>
      <c r="G288" s="103"/>
      <c r="H288" s="3">
        <f t="shared" si="24"/>
        <v>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45609</v>
      </c>
      <c r="B289" s="1" t="s">
        <v>143</v>
      </c>
      <c r="C289" s="86"/>
      <c r="D289" s="44">
        <f>SUM(C281:C289)</f>
        <v>5134000</v>
      </c>
      <c r="E289" s="32">
        <f t="shared" si="25"/>
        <v>328000</v>
      </c>
      <c r="F289" s="34">
        <v>100</v>
      </c>
      <c r="G289" s="104"/>
      <c r="H289" s="3">
        <f t="shared" si="24"/>
        <v>0</v>
      </c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A290" s="47">
        <v>45609</v>
      </c>
      <c r="B290" s="1" t="s">
        <v>160</v>
      </c>
      <c r="C290" s="86"/>
      <c r="D290" s="46"/>
      <c r="E290" s="32">
        <f t="shared" si="25"/>
        <v>328000</v>
      </c>
      <c r="F290" s="1"/>
      <c r="G290" s="1"/>
      <c r="H290" s="1"/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45609</v>
      </c>
      <c r="B291" s="1"/>
      <c r="C291" s="86"/>
      <c r="D291" s="44"/>
      <c r="E291" s="32">
        <f t="shared" si="25"/>
        <v>328000</v>
      </c>
      <c r="G291" s="34"/>
      <c r="H291" s="34"/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45609</v>
      </c>
      <c r="B292" s="31" t="s">
        <v>139</v>
      </c>
      <c r="C292" s="86"/>
      <c r="D292" s="44">
        <v>160000</v>
      </c>
      <c r="E292" s="32">
        <f t="shared" si="25"/>
        <v>168000</v>
      </c>
      <c r="G292" s="34"/>
      <c r="H292" s="34"/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45609</v>
      </c>
      <c r="B293" s="47" t="s">
        <v>152</v>
      </c>
      <c r="C293" s="87"/>
      <c r="D293" s="44"/>
      <c r="E293" s="32">
        <f t="shared" si="25"/>
        <v>168000</v>
      </c>
      <c r="G293" s="34"/>
      <c r="H293" s="34"/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45609</v>
      </c>
      <c r="B294" s="82"/>
      <c r="C294" s="87"/>
      <c r="D294" s="44"/>
      <c r="E294" s="32">
        <f t="shared" si="25"/>
        <v>168000</v>
      </c>
      <c r="G294" s="34"/>
      <c r="H294" s="34"/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45609</v>
      </c>
      <c r="C295" s="87"/>
      <c r="D295" s="44"/>
      <c r="E295" s="32">
        <f t="shared" si="25"/>
        <v>168000</v>
      </c>
      <c r="G295" s="34"/>
      <c r="H295" s="34"/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45609</v>
      </c>
      <c r="B296" s="1"/>
      <c r="C296" s="88"/>
      <c r="D296" s="36"/>
      <c r="E296" s="32">
        <f t="shared" si="25"/>
        <v>168000</v>
      </c>
      <c r="F296" s="1"/>
      <c r="G296" s="34"/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45609</v>
      </c>
      <c r="B297" s="1" t="s">
        <v>143</v>
      </c>
      <c r="C297" s="89"/>
      <c r="D297" s="44"/>
      <c r="E297" s="32">
        <f t="shared" si="25"/>
        <v>168000</v>
      </c>
      <c r="F297" s="1"/>
      <c r="G297" s="34"/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45609</v>
      </c>
      <c r="B298" s="47"/>
      <c r="C298" s="90"/>
      <c r="D298" s="44"/>
      <c r="E298" s="32">
        <f t="shared" si="25"/>
        <v>168000</v>
      </c>
      <c r="F298" s="43"/>
      <c r="G298" s="34"/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45609</v>
      </c>
      <c r="B299" s="45" t="s">
        <v>136</v>
      </c>
      <c r="C299" s="86"/>
      <c r="D299" s="44"/>
      <c r="E299" s="32">
        <f t="shared" si="25"/>
        <v>168000</v>
      </c>
      <c r="F299" s="3">
        <f>SUM(H279:H295)</f>
        <v>168000</v>
      </c>
      <c r="G299" s="49"/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45609</v>
      </c>
      <c r="B300" s="4" t="s">
        <v>161</v>
      </c>
      <c r="C300" s="86">
        <f>SUM(C280:C299)</f>
        <v>5212000</v>
      </c>
      <c r="D300" s="33">
        <f>SUM(D281:D299)</f>
        <v>5294000</v>
      </c>
      <c r="E300" s="32"/>
      <c r="F300" s="25">
        <f>F299-E299</f>
        <v>0</v>
      </c>
      <c r="G300" s="34"/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B301" s="45"/>
      <c r="C301" s="86"/>
      <c r="D301" s="44"/>
      <c r="E301" s="32"/>
      <c r="G301" s="49"/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45610</v>
      </c>
      <c r="B302" s="1" t="s">
        <v>140</v>
      </c>
      <c r="C302" s="65"/>
      <c r="D302" s="8"/>
      <c r="E302" s="8">
        <v>168000</v>
      </c>
      <c r="F302" s="49">
        <v>100000</v>
      </c>
      <c r="G302" s="103">
        <f>5-5</f>
        <v>0</v>
      </c>
      <c r="H302" s="3">
        <f>G302*F302</f>
        <v>0</v>
      </c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A303" s="47">
        <v>45610</v>
      </c>
      <c r="B303" s="31" t="s">
        <v>138</v>
      </c>
      <c r="C303" s="73">
        <v>948000</v>
      </c>
      <c r="D303" s="44"/>
      <c r="E303" s="32">
        <f>E302+C303-D303</f>
        <v>1116000</v>
      </c>
      <c r="F303" s="3">
        <v>75000</v>
      </c>
      <c r="G303" s="103"/>
      <c r="H303" s="3">
        <f t="shared" ref="H303:H312" si="26">G303*F303</f>
        <v>0</v>
      </c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45610</v>
      </c>
      <c r="B304" s="1" t="s">
        <v>155</v>
      </c>
      <c r="C304" s="73">
        <v>64000</v>
      </c>
      <c r="D304" s="44"/>
      <c r="E304" s="32">
        <f t="shared" ref="E304:E322" si="27">E303+C304-D304</f>
        <v>1180000</v>
      </c>
      <c r="F304" s="34">
        <v>50000</v>
      </c>
      <c r="G304" s="103"/>
      <c r="H304" s="3">
        <f t="shared" si="26"/>
        <v>0</v>
      </c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45610</v>
      </c>
      <c r="B305" s="1" t="s">
        <v>156</v>
      </c>
      <c r="C305" s="73">
        <v>169000</v>
      </c>
      <c r="D305" s="44"/>
      <c r="E305" s="32">
        <f t="shared" si="27"/>
        <v>1349000</v>
      </c>
      <c r="F305" s="34">
        <v>20000</v>
      </c>
      <c r="G305" s="103">
        <v>4</v>
      </c>
      <c r="H305" s="3">
        <f t="shared" si="26"/>
        <v>80000</v>
      </c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45610</v>
      </c>
      <c r="B306" s="1" t="s">
        <v>133</v>
      </c>
      <c r="C306" s="73">
        <v>1362000</v>
      </c>
      <c r="D306" s="44"/>
      <c r="E306" s="32">
        <f t="shared" si="27"/>
        <v>2711000</v>
      </c>
      <c r="F306" s="34">
        <v>10000</v>
      </c>
      <c r="G306" s="103">
        <f>20-10</f>
        <v>10</v>
      </c>
      <c r="H306" s="3">
        <f t="shared" si="26"/>
        <v>100000</v>
      </c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45610</v>
      </c>
      <c r="B307" s="1" t="s">
        <v>163</v>
      </c>
      <c r="C307" s="73"/>
      <c r="D307" s="44"/>
      <c r="E307" s="32">
        <f t="shared" si="27"/>
        <v>2711000</v>
      </c>
      <c r="F307" s="34">
        <v>5000</v>
      </c>
      <c r="G307" s="103">
        <f>20-6</f>
        <v>14</v>
      </c>
      <c r="H307" s="3">
        <f t="shared" si="26"/>
        <v>70000</v>
      </c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45610</v>
      </c>
      <c r="B308" s="1" t="s">
        <v>146</v>
      </c>
      <c r="C308" s="73">
        <v>1482000</v>
      </c>
      <c r="D308" s="44"/>
      <c r="E308" s="32">
        <f t="shared" si="27"/>
        <v>4193000</v>
      </c>
      <c r="F308" s="34">
        <v>2000</v>
      </c>
      <c r="G308" s="103"/>
      <c r="H308" s="3">
        <f t="shared" si="26"/>
        <v>0</v>
      </c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45610</v>
      </c>
      <c r="B309" s="1" t="s">
        <v>165</v>
      </c>
      <c r="C309" s="86"/>
      <c r="D309" s="44"/>
      <c r="E309" s="32">
        <f t="shared" si="27"/>
        <v>4193000</v>
      </c>
      <c r="F309" s="34">
        <v>1000</v>
      </c>
      <c r="G309" s="103">
        <v>1</v>
      </c>
      <c r="H309" s="3">
        <f t="shared" si="26"/>
        <v>1000</v>
      </c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45610</v>
      </c>
      <c r="B310" s="1" t="s">
        <v>164</v>
      </c>
      <c r="C310" s="86">
        <v>1790000</v>
      </c>
      <c r="D310" s="44"/>
      <c r="E310" s="32">
        <f t="shared" si="27"/>
        <v>5983000</v>
      </c>
      <c r="F310" s="34">
        <v>500</v>
      </c>
      <c r="G310" s="103"/>
      <c r="H310" s="3">
        <f t="shared" si="26"/>
        <v>0</v>
      </c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45610</v>
      </c>
      <c r="B311" s="1" t="s">
        <v>145</v>
      </c>
      <c r="C311" s="86"/>
      <c r="D311" s="44"/>
      <c r="E311" s="32">
        <f t="shared" si="27"/>
        <v>5983000</v>
      </c>
      <c r="F311" s="34">
        <v>200</v>
      </c>
      <c r="G311" s="103"/>
      <c r="H311" s="3">
        <f t="shared" si="26"/>
        <v>0</v>
      </c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45610</v>
      </c>
      <c r="B312" s="1" t="s">
        <v>143</v>
      </c>
      <c r="C312" s="86"/>
      <c r="D312" s="44">
        <f>SUM(C304:C312)</f>
        <v>4867000</v>
      </c>
      <c r="E312" s="32">
        <f t="shared" si="27"/>
        <v>1116000</v>
      </c>
      <c r="F312" s="34">
        <v>100</v>
      </c>
      <c r="G312" s="104"/>
      <c r="H312" s="3">
        <f t="shared" si="26"/>
        <v>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45610</v>
      </c>
      <c r="B313" s="1" t="s">
        <v>160</v>
      </c>
      <c r="C313" s="86"/>
      <c r="D313" s="46"/>
      <c r="E313" s="32">
        <f t="shared" si="27"/>
        <v>1116000</v>
      </c>
      <c r="F313" s="1"/>
      <c r="G313" s="1"/>
      <c r="H313" s="1"/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A314" s="47">
        <v>45610</v>
      </c>
      <c r="B314" s="1"/>
      <c r="C314" s="86"/>
      <c r="D314" s="44"/>
      <c r="E314" s="32">
        <f t="shared" si="27"/>
        <v>1116000</v>
      </c>
      <c r="G314" s="34"/>
      <c r="H314" s="34"/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45610</v>
      </c>
      <c r="B315" s="31" t="s">
        <v>139</v>
      </c>
      <c r="C315" s="86"/>
      <c r="D315" s="44">
        <v>235000</v>
      </c>
      <c r="E315" s="32">
        <f t="shared" si="27"/>
        <v>881000</v>
      </c>
      <c r="G315" s="34"/>
      <c r="H315" s="34"/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45610</v>
      </c>
      <c r="B316" s="47" t="s">
        <v>152</v>
      </c>
      <c r="C316" s="87"/>
      <c r="D316" s="44"/>
      <c r="E316" s="32">
        <f t="shared" si="27"/>
        <v>881000</v>
      </c>
      <c r="G316" s="34"/>
      <c r="H316" s="34"/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45610</v>
      </c>
      <c r="B317" s="82"/>
      <c r="C317" s="87"/>
      <c r="D317" s="44"/>
      <c r="E317" s="32">
        <f t="shared" si="27"/>
        <v>881000</v>
      </c>
      <c r="G317" s="34"/>
      <c r="H317" s="34"/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45610</v>
      </c>
      <c r="C318" s="87"/>
      <c r="D318" s="44"/>
      <c r="E318" s="32">
        <f t="shared" si="27"/>
        <v>881000</v>
      </c>
      <c r="G318" s="34"/>
      <c r="H318" s="34"/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45610</v>
      </c>
      <c r="B319" s="1"/>
      <c r="C319" s="88"/>
      <c r="D319" s="36"/>
      <c r="E319" s="32">
        <f t="shared" si="27"/>
        <v>881000</v>
      </c>
      <c r="F319" s="1"/>
      <c r="G319" s="34"/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45610</v>
      </c>
      <c r="B320" s="1" t="s">
        <v>143</v>
      </c>
      <c r="C320" s="89"/>
      <c r="D320" s="44"/>
      <c r="E320" s="32">
        <f t="shared" si="27"/>
        <v>881000</v>
      </c>
      <c r="F320" s="1"/>
      <c r="G320" s="34"/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45610</v>
      </c>
      <c r="B321" s="47"/>
      <c r="C321" s="90"/>
      <c r="D321" s="44"/>
      <c r="E321" s="32">
        <f t="shared" si="27"/>
        <v>881000</v>
      </c>
      <c r="F321" s="43"/>
      <c r="G321" s="34"/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45610</v>
      </c>
      <c r="B322" s="45" t="s">
        <v>136</v>
      </c>
      <c r="C322" s="86"/>
      <c r="D322" s="44">
        <v>630000</v>
      </c>
      <c r="E322" s="32">
        <f t="shared" si="27"/>
        <v>251000</v>
      </c>
      <c r="F322" s="3">
        <f>SUM(H302:H318)</f>
        <v>251000</v>
      </c>
      <c r="G322" s="49"/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45610</v>
      </c>
      <c r="B323" s="4" t="s">
        <v>161</v>
      </c>
      <c r="C323" s="86">
        <f>SUM(C303:C322)</f>
        <v>5815000</v>
      </c>
      <c r="D323" s="33">
        <f>SUM(D304:D322)</f>
        <v>5732000</v>
      </c>
      <c r="E323" s="32"/>
      <c r="F323" s="25">
        <f>F322-E322</f>
        <v>0</v>
      </c>
      <c r="G323" s="34"/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B324" s="45"/>
      <c r="C324" s="86"/>
      <c r="D324" s="44"/>
      <c r="E324" s="32"/>
      <c r="G324" s="49"/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45611</v>
      </c>
      <c r="B325" s="1" t="s">
        <v>140</v>
      </c>
      <c r="C325" s="65"/>
      <c r="D325" s="8"/>
      <c r="E325" s="8">
        <v>251000</v>
      </c>
      <c r="F325" s="49">
        <v>100000</v>
      </c>
      <c r="G325" s="103">
        <f>5-5</f>
        <v>0</v>
      </c>
      <c r="H325" s="3">
        <f>G325*F325</f>
        <v>0</v>
      </c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A326" s="47">
        <v>45611</v>
      </c>
      <c r="B326" s="31" t="s">
        <v>138</v>
      </c>
      <c r="C326" s="73">
        <f>863000+319000</f>
        <v>1182000</v>
      </c>
      <c r="D326" s="44"/>
      <c r="E326" s="32">
        <f>E325+C326-D326</f>
        <v>1433000</v>
      </c>
      <c r="F326" s="3">
        <v>75000</v>
      </c>
      <c r="G326" s="103"/>
      <c r="H326" s="3">
        <f t="shared" ref="H326:H335" si="28">G326*F326</f>
        <v>0</v>
      </c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45611</v>
      </c>
      <c r="B327" s="1" t="s">
        <v>155</v>
      </c>
      <c r="C327" s="73">
        <f>90000+88000</f>
        <v>178000</v>
      </c>
      <c r="D327" s="44">
        <f>178000-C327</f>
        <v>0</v>
      </c>
      <c r="E327" s="32">
        <f t="shared" ref="E327:E345" si="29">E326+C327-D327</f>
        <v>1611000</v>
      </c>
      <c r="F327" s="34">
        <v>50000</v>
      </c>
      <c r="G327" s="103">
        <f>9-5</f>
        <v>4</v>
      </c>
      <c r="H327" s="3">
        <f t="shared" si="28"/>
        <v>200000</v>
      </c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45611</v>
      </c>
      <c r="B328" s="1" t="s">
        <v>156</v>
      </c>
      <c r="C328" s="73">
        <v>281000</v>
      </c>
      <c r="D328" s="44"/>
      <c r="E328" s="32">
        <f t="shared" si="29"/>
        <v>1892000</v>
      </c>
      <c r="F328" s="34">
        <v>20000</v>
      </c>
      <c r="G328" s="103">
        <v>1</v>
      </c>
      <c r="H328" s="3">
        <f t="shared" si="28"/>
        <v>20000</v>
      </c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45611</v>
      </c>
      <c r="B329" s="1" t="s">
        <v>133</v>
      </c>
      <c r="C329" s="73">
        <v>1990000</v>
      </c>
      <c r="D329" s="44"/>
      <c r="E329" s="32">
        <f t="shared" si="29"/>
        <v>3882000</v>
      </c>
      <c r="F329" s="34">
        <v>10000</v>
      </c>
      <c r="G329" s="103">
        <f>3+1</f>
        <v>4</v>
      </c>
      <c r="H329" s="3">
        <f t="shared" si="28"/>
        <v>40000</v>
      </c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45611</v>
      </c>
      <c r="B330" s="1" t="s">
        <v>163</v>
      </c>
      <c r="C330" s="73">
        <v>400000</v>
      </c>
      <c r="D330" s="44"/>
      <c r="E330" s="32">
        <f t="shared" si="29"/>
        <v>4282000</v>
      </c>
      <c r="F330" s="34">
        <v>5000</v>
      </c>
      <c r="G330" s="103">
        <v>5</v>
      </c>
      <c r="H330" s="3">
        <f t="shared" si="28"/>
        <v>25000</v>
      </c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45611</v>
      </c>
      <c r="B331" s="1" t="s">
        <v>146</v>
      </c>
      <c r="C331" s="73">
        <v>5238000</v>
      </c>
      <c r="D331" s="44"/>
      <c r="E331" s="32">
        <f t="shared" si="29"/>
        <v>9520000</v>
      </c>
      <c r="F331" s="34">
        <v>2000</v>
      </c>
      <c r="G331" s="103">
        <f>2+1</f>
        <v>3</v>
      </c>
      <c r="H331" s="3">
        <f t="shared" si="28"/>
        <v>6000</v>
      </c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45611</v>
      </c>
      <c r="B332" s="1" t="s">
        <v>165</v>
      </c>
      <c r="C332" s="86"/>
      <c r="D332" s="44"/>
      <c r="E332" s="32">
        <f t="shared" si="29"/>
        <v>9520000</v>
      </c>
      <c r="F332" s="34">
        <v>1000</v>
      </c>
      <c r="G332" s="103">
        <f>4+1</f>
        <v>5</v>
      </c>
      <c r="H332" s="3">
        <f t="shared" si="28"/>
        <v>5000</v>
      </c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45611</v>
      </c>
      <c r="B333" s="1" t="s">
        <v>164</v>
      </c>
      <c r="C333" s="86">
        <f>2218000+59000</f>
        <v>2277000</v>
      </c>
      <c r="D333" s="44">
        <f>2277000-C333</f>
        <v>0</v>
      </c>
      <c r="E333" s="32">
        <f t="shared" si="29"/>
        <v>11797000</v>
      </c>
      <c r="F333" s="34">
        <v>500</v>
      </c>
      <c r="G333" s="103">
        <f>2+4</f>
        <v>6</v>
      </c>
      <c r="H333" s="3">
        <f t="shared" si="28"/>
        <v>3000</v>
      </c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45611</v>
      </c>
      <c r="B334" s="1" t="s">
        <v>145</v>
      </c>
      <c r="C334" s="86"/>
      <c r="D334" s="44"/>
      <c r="E334" s="32">
        <f t="shared" si="29"/>
        <v>11797000</v>
      </c>
      <c r="F334" s="34">
        <v>200</v>
      </c>
      <c r="G334" s="103">
        <v>5</v>
      </c>
      <c r="H334" s="3">
        <f t="shared" si="28"/>
        <v>1000</v>
      </c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45611</v>
      </c>
      <c r="B335" s="1" t="s">
        <v>143</v>
      </c>
      <c r="C335" s="86"/>
      <c r="D335" s="44">
        <f>SUM(C327:C335)</f>
        <v>10364000</v>
      </c>
      <c r="E335" s="32">
        <f t="shared" si="29"/>
        <v>1433000</v>
      </c>
      <c r="F335" s="34">
        <v>100</v>
      </c>
      <c r="G335" s="104"/>
      <c r="H335" s="3">
        <f t="shared" si="28"/>
        <v>0</v>
      </c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45611</v>
      </c>
      <c r="B336" s="1" t="s">
        <v>160</v>
      </c>
      <c r="C336" s="86"/>
      <c r="D336" s="46"/>
      <c r="E336" s="32">
        <f t="shared" si="29"/>
        <v>1433000</v>
      </c>
      <c r="F336" s="1"/>
      <c r="G336" s="1"/>
      <c r="H336" s="1"/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45611</v>
      </c>
      <c r="B337" s="1"/>
      <c r="C337" s="86"/>
      <c r="D337" s="44"/>
      <c r="E337" s="32">
        <f t="shared" si="29"/>
        <v>1433000</v>
      </c>
      <c r="G337" s="34"/>
      <c r="H337" s="34"/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A338" s="47">
        <v>45611</v>
      </c>
      <c r="B338" s="31" t="s">
        <v>139</v>
      </c>
      <c r="C338" s="86"/>
      <c r="D338" s="44">
        <v>419000</v>
      </c>
      <c r="E338" s="32">
        <f t="shared" si="29"/>
        <v>1014000</v>
      </c>
      <c r="G338" s="34"/>
      <c r="H338" s="34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45611</v>
      </c>
      <c r="B339" s="47" t="s">
        <v>152</v>
      </c>
      <c r="C339" s="87"/>
      <c r="D339" s="44"/>
      <c r="E339" s="32">
        <f t="shared" si="29"/>
        <v>1014000</v>
      </c>
      <c r="G339" s="34"/>
      <c r="H339" s="34"/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45611</v>
      </c>
      <c r="B340" s="82"/>
      <c r="C340" s="87"/>
      <c r="D340" s="44"/>
      <c r="E340" s="32">
        <f t="shared" si="29"/>
        <v>1014000</v>
      </c>
      <c r="G340" s="34"/>
      <c r="H340" s="34"/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45611</v>
      </c>
      <c r="C341" s="87"/>
      <c r="D341" s="44"/>
      <c r="E341" s="32">
        <f t="shared" si="29"/>
        <v>1014000</v>
      </c>
      <c r="G341" s="34"/>
      <c r="H341" s="34"/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45611</v>
      </c>
      <c r="B342" s="1"/>
      <c r="C342" s="88"/>
      <c r="D342" s="36"/>
      <c r="E342" s="32">
        <f t="shared" si="29"/>
        <v>1014000</v>
      </c>
      <c r="F342" s="1"/>
      <c r="G342" s="34"/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45611</v>
      </c>
      <c r="B343" s="1" t="s">
        <v>143</v>
      </c>
      <c r="C343" s="89"/>
      <c r="D343" s="44"/>
      <c r="E343" s="32">
        <f t="shared" si="29"/>
        <v>1014000</v>
      </c>
      <c r="F343" s="1"/>
      <c r="G343" s="34"/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45611</v>
      </c>
      <c r="B344" s="47"/>
      <c r="C344" s="90"/>
      <c r="D344" s="44"/>
      <c r="E344" s="32">
        <f t="shared" si="29"/>
        <v>1014000</v>
      </c>
      <c r="F344" s="43"/>
      <c r="G344" s="34"/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45611</v>
      </c>
      <c r="B345" s="45" t="s">
        <v>136</v>
      </c>
      <c r="C345" s="86">
        <v>36000</v>
      </c>
      <c r="D345" s="44">
        <v>750000</v>
      </c>
      <c r="E345" s="32">
        <f t="shared" si="29"/>
        <v>300000</v>
      </c>
      <c r="F345" s="3">
        <f>SUM(H325:H341)</f>
        <v>300000</v>
      </c>
      <c r="G345" s="49"/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45611</v>
      </c>
      <c r="B346" s="4" t="s">
        <v>161</v>
      </c>
      <c r="C346" s="86">
        <f>SUM(C326:C345)</f>
        <v>11582000</v>
      </c>
      <c r="D346" s="33">
        <f>SUM(D327:D345)</f>
        <v>11533000</v>
      </c>
      <c r="E346" s="32"/>
      <c r="F346" s="25">
        <f>F345-E345</f>
        <v>0</v>
      </c>
      <c r="G346" s="34"/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B347" s="45"/>
      <c r="C347" s="86"/>
      <c r="D347" s="44"/>
      <c r="E347" s="32"/>
      <c r="G347" s="49"/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45612</v>
      </c>
      <c r="B348" s="1" t="s">
        <v>140</v>
      </c>
      <c r="C348" s="65"/>
      <c r="D348" s="8"/>
      <c r="E348" s="8">
        <v>300000</v>
      </c>
      <c r="F348" s="49">
        <v>100000</v>
      </c>
      <c r="G348" s="103">
        <f>2-1</f>
        <v>1</v>
      </c>
      <c r="H348" s="3">
        <f>G348*F348</f>
        <v>100000</v>
      </c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A349" s="47">
        <v>45612</v>
      </c>
      <c r="B349" s="31" t="s">
        <v>138</v>
      </c>
      <c r="C349" s="73">
        <v>278000</v>
      </c>
      <c r="D349" s="44"/>
      <c r="E349" s="32">
        <f>E348+C349-D349</f>
        <v>578000</v>
      </c>
      <c r="F349" s="3">
        <v>75000</v>
      </c>
      <c r="G349" s="103"/>
      <c r="H349" s="3">
        <f t="shared" ref="H349:H355" si="30">G349*F349</f>
        <v>0</v>
      </c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45612</v>
      </c>
      <c r="B350" s="1" t="s">
        <v>155</v>
      </c>
      <c r="C350" s="73">
        <v>180000</v>
      </c>
      <c r="D350" s="44"/>
      <c r="E350" s="32">
        <f t="shared" ref="E350:E369" si="31">E349+C350-D350</f>
        <v>758000</v>
      </c>
      <c r="F350" s="34">
        <v>50000</v>
      </c>
      <c r="G350" s="103">
        <f>3-0</f>
        <v>3</v>
      </c>
      <c r="H350" s="3">
        <f t="shared" si="30"/>
        <v>150000</v>
      </c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45612</v>
      </c>
      <c r="B351" s="1" t="s">
        <v>156</v>
      </c>
      <c r="C351" s="73"/>
      <c r="D351" s="44"/>
      <c r="E351" s="32">
        <f t="shared" si="31"/>
        <v>758000</v>
      </c>
      <c r="F351" s="34">
        <v>20000</v>
      </c>
      <c r="G351" s="103">
        <v>1</v>
      </c>
      <c r="H351" s="3">
        <f t="shared" si="30"/>
        <v>20000</v>
      </c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45612</v>
      </c>
      <c r="B352" s="1" t="s">
        <v>133</v>
      </c>
      <c r="C352" s="73">
        <v>1209000</v>
      </c>
      <c r="D352" s="44"/>
      <c r="E352" s="32">
        <f t="shared" si="31"/>
        <v>1967000</v>
      </c>
      <c r="F352" s="34">
        <v>10000</v>
      </c>
      <c r="G352" s="103">
        <v>1</v>
      </c>
      <c r="H352" s="3">
        <f t="shared" si="30"/>
        <v>10000</v>
      </c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45612</v>
      </c>
      <c r="B353" s="1" t="s">
        <v>163</v>
      </c>
      <c r="C353" s="73">
        <v>77000</v>
      </c>
      <c r="D353" s="44"/>
      <c r="E353" s="32">
        <f t="shared" si="31"/>
        <v>2044000</v>
      </c>
      <c r="F353" s="34">
        <v>5000</v>
      </c>
      <c r="G353" s="103">
        <v>1</v>
      </c>
      <c r="H353" s="3">
        <f t="shared" si="30"/>
        <v>5000</v>
      </c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45612</v>
      </c>
      <c r="B354" s="1" t="s">
        <v>146</v>
      </c>
      <c r="C354" s="73">
        <v>4736000</v>
      </c>
      <c r="D354" s="44"/>
      <c r="E354" s="32">
        <f t="shared" si="31"/>
        <v>6780000</v>
      </c>
      <c r="F354" s="34">
        <v>2000</v>
      </c>
      <c r="G354" s="103">
        <v>4</v>
      </c>
      <c r="H354" s="3">
        <f t="shared" si="30"/>
        <v>8000</v>
      </c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45612</v>
      </c>
      <c r="B355" s="1" t="s">
        <v>166</v>
      </c>
      <c r="C355" s="86">
        <v>97000</v>
      </c>
      <c r="D355" s="44"/>
      <c r="E355" s="32">
        <f t="shared" si="31"/>
        <v>6877000</v>
      </c>
      <c r="F355" s="34">
        <v>1000</v>
      </c>
      <c r="G355" s="103"/>
      <c r="H355" s="3">
        <f t="shared" si="30"/>
        <v>0</v>
      </c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45612</v>
      </c>
      <c r="B356" s="1" t="s">
        <v>165</v>
      </c>
      <c r="C356" s="86"/>
      <c r="D356" s="44"/>
      <c r="E356" s="32">
        <f t="shared" si="31"/>
        <v>6877000</v>
      </c>
      <c r="F356" s="34">
        <v>1000</v>
      </c>
      <c r="G356" s="103">
        <v>5</v>
      </c>
      <c r="H356" s="3">
        <f t="shared" ref="H356:H359" si="32">G356*F356</f>
        <v>5000</v>
      </c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45612</v>
      </c>
      <c r="B357" s="1" t="s">
        <v>164</v>
      </c>
      <c r="C357" s="86">
        <v>2345200</v>
      </c>
      <c r="D357" s="44"/>
      <c r="E357" s="32">
        <f t="shared" si="31"/>
        <v>9222200</v>
      </c>
      <c r="F357" s="34">
        <v>500</v>
      </c>
      <c r="G357" s="103">
        <f>2+1</f>
        <v>3</v>
      </c>
      <c r="H357" s="3">
        <f t="shared" si="32"/>
        <v>1500</v>
      </c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45612</v>
      </c>
      <c r="B358" s="1" t="s">
        <v>145</v>
      </c>
      <c r="C358" s="86">
        <v>42500</v>
      </c>
      <c r="D358" s="44"/>
      <c r="E358" s="32">
        <f t="shared" si="31"/>
        <v>9264700</v>
      </c>
      <c r="F358" s="34">
        <v>200</v>
      </c>
      <c r="G358" s="103">
        <f>1+1</f>
        <v>2</v>
      </c>
      <c r="H358" s="3">
        <f t="shared" si="32"/>
        <v>400</v>
      </c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45612</v>
      </c>
      <c r="B359" s="1" t="s">
        <v>143</v>
      </c>
      <c r="C359" s="86"/>
      <c r="D359" s="44">
        <f>SUM(C350:C359)</f>
        <v>8686700</v>
      </c>
      <c r="E359" s="32">
        <f t="shared" si="31"/>
        <v>578000</v>
      </c>
      <c r="F359" s="34">
        <v>100</v>
      </c>
      <c r="G359" s="104">
        <v>1</v>
      </c>
      <c r="H359" s="3">
        <f t="shared" si="32"/>
        <v>100</v>
      </c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45612</v>
      </c>
      <c r="B360" s="1" t="s">
        <v>160</v>
      </c>
      <c r="C360" s="86"/>
      <c r="D360" s="46"/>
      <c r="E360" s="32">
        <f t="shared" si="31"/>
        <v>578000</v>
      </c>
      <c r="F360" s="1"/>
      <c r="G360" s="1"/>
      <c r="H360" s="1"/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45612</v>
      </c>
      <c r="B361" s="1"/>
      <c r="C361" s="86"/>
      <c r="D361" s="44"/>
      <c r="E361" s="32">
        <f t="shared" si="31"/>
        <v>578000</v>
      </c>
      <c r="G361" s="34"/>
      <c r="H361" s="34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A362" s="47">
        <v>45612</v>
      </c>
      <c r="B362" s="31" t="s">
        <v>139</v>
      </c>
      <c r="C362" s="86"/>
      <c r="D362" s="44">
        <v>213500</v>
      </c>
      <c r="E362" s="32">
        <f t="shared" si="31"/>
        <v>364500</v>
      </c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45612</v>
      </c>
      <c r="B363" s="47" t="s">
        <v>152</v>
      </c>
      <c r="C363" s="87"/>
      <c r="D363" s="44"/>
      <c r="E363" s="32">
        <f t="shared" si="31"/>
        <v>364500</v>
      </c>
      <c r="G363" s="34"/>
      <c r="H363" s="34"/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45612</v>
      </c>
      <c r="B364" s="82"/>
      <c r="C364" s="87"/>
      <c r="D364" s="44"/>
      <c r="E364" s="32">
        <f t="shared" si="31"/>
        <v>364500</v>
      </c>
      <c r="G364" s="34"/>
      <c r="H364" s="34"/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45612</v>
      </c>
      <c r="C365" s="87"/>
      <c r="D365" s="44"/>
      <c r="E365" s="32">
        <f t="shared" si="31"/>
        <v>364500</v>
      </c>
      <c r="G365" s="34"/>
      <c r="H365" s="34"/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45612</v>
      </c>
      <c r="B366" s="1"/>
      <c r="C366" s="88"/>
      <c r="D366" s="36"/>
      <c r="E366" s="32">
        <f t="shared" si="31"/>
        <v>364500</v>
      </c>
      <c r="F366" s="1"/>
      <c r="G366" s="34"/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45612</v>
      </c>
      <c r="B367" s="1" t="s">
        <v>143</v>
      </c>
      <c r="C367" s="89"/>
      <c r="D367" s="44"/>
      <c r="E367" s="32">
        <f t="shared" si="31"/>
        <v>364500</v>
      </c>
      <c r="F367" s="1"/>
      <c r="G367" s="34"/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45612</v>
      </c>
      <c r="B368" s="47"/>
      <c r="C368" s="90"/>
      <c r="D368" s="44"/>
      <c r="E368" s="32">
        <f t="shared" si="31"/>
        <v>364500</v>
      </c>
      <c r="F368" s="43"/>
      <c r="G368" s="34"/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45612</v>
      </c>
      <c r="B369" s="45" t="s">
        <v>136</v>
      </c>
      <c r="C369" s="86">
        <v>35800</v>
      </c>
      <c r="D369" s="44">
        <v>100000</v>
      </c>
      <c r="E369" s="32">
        <f t="shared" si="31"/>
        <v>300300</v>
      </c>
      <c r="F369" s="3">
        <f>SUM(H348:H365)</f>
        <v>300000</v>
      </c>
      <c r="G369" s="49">
        <f>300000-F369</f>
        <v>0</v>
      </c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A370" s="47">
        <v>45612</v>
      </c>
      <c r="B370" s="4" t="s">
        <v>161</v>
      </c>
      <c r="C370" s="86">
        <f>SUM(C349:C369)</f>
        <v>9000500</v>
      </c>
      <c r="D370" s="33">
        <f>SUM(D351:D369)</f>
        <v>9000200</v>
      </c>
      <c r="E370" s="32"/>
      <c r="F370" s="25">
        <f>F369-E369</f>
        <v>-300</v>
      </c>
      <c r="G370" s="34"/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B371" s="45"/>
      <c r="C371" s="86"/>
      <c r="D371" s="44"/>
      <c r="E371" s="32"/>
      <c r="G371" s="49"/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A372" s="47">
        <v>45613</v>
      </c>
      <c r="B372" s="1" t="s">
        <v>140</v>
      </c>
      <c r="C372" s="65"/>
      <c r="D372" s="8"/>
      <c r="E372" s="8">
        <v>300000</v>
      </c>
      <c r="F372" s="49">
        <v>100000</v>
      </c>
      <c r="G372" s="103">
        <f>3-3</f>
        <v>0</v>
      </c>
      <c r="H372" s="3">
        <f>G372*F372</f>
        <v>0</v>
      </c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45613</v>
      </c>
      <c r="B373" s="31" t="s">
        <v>138</v>
      </c>
      <c r="C373" s="73">
        <f>816000</f>
        <v>816000</v>
      </c>
      <c r="D373" s="44"/>
      <c r="E373" s="32">
        <f>E372+C373-D373</f>
        <v>1116000</v>
      </c>
      <c r="F373" s="3">
        <v>75000</v>
      </c>
      <c r="G373" s="103"/>
      <c r="H373" s="3">
        <f t="shared" ref="H373:H383" si="33">G373*F373</f>
        <v>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45613</v>
      </c>
      <c r="B374" s="1" t="s">
        <v>155</v>
      </c>
      <c r="C374" s="73">
        <v>1091000</v>
      </c>
      <c r="D374" s="44"/>
      <c r="E374" s="32">
        <f t="shared" ref="E374:E393" si="34">E373+C374-D374</f>
        <v>2207000</v>
      </c>
      <c r="F374" s="34">
        <v>50000</v>
      </c>
      <c r="G374" s="103">
        <f>7-3</f>
        <v>4</v>
      </c>
      <c r="H374" s="3">
        <f t="shared" si="33"/>
        <v>200000</v>
      </c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45613</v>
      </c>
      <c r="B375" s="1" t="s">
        <v>156</v>
      </c>
      <c r="C375" s="73">
        <f>165000+165000</f>
        <v>330000</v>
      </c>
      <c r="D375" s="44"/>
      <c r="E375" s="32">
        <f t="shared" si="34"/>
        <v>2537000</v>
      </c>
      <c r="F375" s="34">
        <v>20000</v>
      </c>
      <c r="G375" s="103">
        <v>2</v>
      </c>
      <c r="H375" s="3">
        <f t="shared" si="33"/>
        <v>40000</v>
      </c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45613</v>
      </c>
      <c r="B376" s="1" t="s">
        <v>133</v>
      </c>
      <c r="C376" s="73">
        <v>1939000</v>
      </c>
      <c r="D376" s="44"/>
      <c r="E376" s="32">
        <f t="shared" si="34"/>
        <v>4476000</v>
      </c>
      <c r="F376" s="34">
        <v>10000</v>
      </c>
      <c r="G376" s="103">
        <f>1-1</f>
        <v>0</v>
      </c>
      <c r="H376" s="3">
        <f t="shared" si="33"/>
        <v>0</v>
      </c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45613</v>
      </c>
      <c r="B377" s="1" t="s">
        <v>163</v>
      </c>
      <c r="C377" s="73">
        <v>650000</v>
      </c>
      <c r="D377" s="44"/>
      <c r="E377" s="32">
        <f t="shared" si="34"/>
        <v>5126000</v>
      </c>
      <c r="F377" s="34">
        <v>5000</v>
      </c>
      <c r="G377" s="103">
        <v>2</v>
      </c>
      <c r="H377" s="3">
        <f t="shared" si="33"/>
        <v>10000</v>
      </c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45613</v>
      </c>
      <c r="B378" s="1" t="s">
        <v>146</v>
      </c>
      <c r="C378" s="73">
        <v>5996000</v>
      </c>
      <c r="D378" s="44"/>
      <c r="E378" s="32">
        <f t="shared" si="34"/>
        <v>11122000</v>
      </c>
      <c r="F378" s="34">
        <v>2000</v>
      </c>
      <c r="G378" s="103"/>
      <c r="H378" s="3">
        <f t="shared" si="33"/>
        <v>0</v>
      </c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45613</v>
      </c>
      <c r="B379" s="1" t="s">
        <v>166</v>
      </c>
      <c r="C379" s="86"/>
      <c r="D379" s="44"/>
      <c r="E379" s="32">
        <f t="shared" si="34"/>
        <v>11122000</v>
      </c>
      <c r="F379" s="34">
        <v>1000</v>
      </c>
      <c r="G379" s="103"/>
      <c r="H379" s="3">
        <f t="shared" si="33"/>
        <v>0</v>
      </c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45613</v>
      </c>
      <c r="B380" s="1" t="s">
        <v>165</v>
      </c>
      <c r="C380" s="86"/>
      <c r="D380" s="44"/>
      <c r="E380" s="32">
        <f t="shared" si="34"/>
        <v>11122000</v>
      </c>
      <c r="F380" s="34">
        <v>1000</v>
      </c>
      <c r="G380" s="103"/>
      <c r="H380" s="3">
        <f t="shared" si="33"/>
        <v>0</v>
      </c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45613</v>
      </c>
      <c r="B381" s="1" t="s">
        <v>164</v>
      </c>
      <c r="C381" s="86">
        <v>2668000</v>
      </c>
      <c r="D381" s="44"/>
      <c r="E381" s="32">
        <f t="shared" si="34"/>
        <v>13790000</v>
      </c>
      <c r="F381" s="34">
        <v>500</v>
      </c>
      <c r="G381" s="103"/>
      <c r="H381" s="3">
        <f t="shared" si="33"/>
        <v>0</v>
      </c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45613</v>
      </c>
      <c r="B382" s="1" t="s">
        <v>145</v>
      </c>
      <c r="C382" s="86"/>
      <c r="D382" s="44"/>
      <c r="E382" s="32">
        <f t="shared" si="34"/>
        <v>13790000</v>
      </c>
      <c r="F382" s="34">
        <v>200</v>
      </c>
      <c r="G382" s="103">
        <v>2</v>
      </c>
      <c r="H382" s="3">
        <f t="shared" si="33"/>
        <v>400</v>
      </c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45613</v>
      </c>
      <c r="B383" s="1" t="s">
        <v>143</v>
      </c>
      <c r="C383" s="86"/>
      <c r="D383" s="44">
        <f>SUM(C374:C383)</f>
        <v>12674000</v>
      </c>
      <c r="E383" s="32">
        <f t="shared" si="34"/>
        <v>1116000</v>
      </c>
      <c r="F383" s="34">
        <v>100</v>
      </c>
      <c r="G383" s="104">
        <v>1</v>
      </c>
      <c r="H383" s="3">
        <f t="shared" si="33"/>
        <v>100</v>
      </c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45613</v>
      </c>
      <c r="B384" s="1" t="s">
        <v>160</v>
      </c>
      <c r="C384" s="86">
        <v>-18000</v>
      </c>
      <c r="D384" s="46"/>
      <c r="E384" s="32">
        <f t="shared" si="34"/>
        <v>1098000</v>
      </c>
      <c r="F384" s="1"/>
      <c r="G384" s="1"/>
      <c r="H384" s="1"/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45613</v>
      </c>
      <c r="B385" s="1"/>
      <c r="C385" s="86"/>
      <c r="D385" s="44"/>
      <c r="E385" s="32">
        <f t="shared" si="34"/>
        <v>1098000</v>
      </c>
      <c r="G385" s="34"/>
      <c r="H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A386" s="47">
        <v>45613</v>
      </c>
      <c r="B386" s="31" t="s">
        <v>139</v>
      </c>
      <c r="C386" s="86"/>
      <c r="D386" s="44">
        <f>343300+75000-18000</f>
        <v>400300</v>
      </c>
      <c r="E386" s="32">
        <f t="shared" si="34"/>
        <v>697700</v>
      </c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45613</v>
      </c>
      <c r="B387" s="47" t="s">
        <v>152</v>
      </c>
      <c r="C387" s="87"/>
      <c r="D387" s="44"/>
      <c r="E387" s="32">
        <f t="shared" si="34"/>
        <v>697700</v>
      </c>
      <c r="G387" s="34"/>
      <c r="H387" s="34"/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45613</v>
      </c>
      <c r="B388" s="82"/>
      <c r="C388" s="87"/>
      <c r="D388" s="44"/>
      <c r="E388" s="32">
        <f t="shared" si="34"/>
        <v>697700</v>
      </c>
      <c r="G388" s="34"/>
      <c r="H388" s="34"/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45613</v>
      </c>
      <c r="C389" s="87"/>
      <c r="D389" s="44"/>
      <c r="E389" s="32">
        <f t="shared" si="34"/>
        <v>697700</v>
      </c>
      <c r="G389" s="34"/>
      <c r="H389" s="34"/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45613</v>
      </c>
      <c r="B390" s="1"/>
      <c r="C390" s="88"/>
      <c r="D390" s="36"/>
      <c r="E390" s="32">
        <f t="shared" si="34"/>
        <v>697700</v>
      </c>
      <c r="F390" s="1"/>
      <c r="G390" s="34"/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45613</v>
      </c>
      <c r="B391" s="1" t="s">
        <v>143</v>
      </c>
      <c r="C391" s="89"/>
      <c r="D391" s="44"/>
      <c r="E391" s="32">
        <f t="shared" si="34"/>
        <v>697700</v>
      </c>
      <c r="F391" s="1"/>
      <c r="G391" s="34"/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45613</v>
      </c>
      <c r="B392" s="47"/>
      <c r="C392" s="90"/>
      <c r="D392" s="44"/>
      <c r="E392" s="32">
        <f t="shared" si="34"/>
        <v>697700</v>
      </c>
      <c r="F392" s="43"/>
      <c r="G392" s="34"/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A393" s="47">
        <v>45613</v>
      </c>
      <c r="B393" s="45" t="s">
        <v>136</v>
      </c>
      <c r="C393" s="86"/>
      <c r="D393" s="44">
        <v>460000</v>
      </c>
      <c r="E393" s="32">
        <f t="shared" si="34"/>
        <v>237700</v>
      </c>
      <c r="F393" s="3">
        <f>SUM(H372:H389)</f>
        <v>250500</v>
      </c>
      <c r="G393" s="49"/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45613</v>
      </c>
      <c r="B394" s="4" t="s">
        <v>161</v>
      </c>
      <c r="C394" s="86">
        <f>SUM(C373:C393)</f>
        <v>13472000</v>
      </c>
      <c r="D394" s="33">
        <f>SUM(D375:D393)</f>
        <v>13534300</v>
      </c>
      <c r="E394" s="32"/>
      <c r="F394" s="25">
        <f>F393-E393</f>
        <v>12800</v>
      </c>
      <c r="G394" s="34"/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B395" s="31"/>
      <c r="C395" s="73"/>
      <c r="D395" s="44"/>
      <c r="E395" s="32"/>
      <c r="G395" s="103"/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45614</v>
      </c>
      <c r="B396" s="1" t="s">
        <v>140</v>
      </c>
      <c r="C396" s="65"/>
      <c r="D396" s="8"/>
      <c r="E396" s="8">
        <v>250000</v>
      </c>
      <c r="F396" s="49">
        <v>100000</v>
      </c>
      <c r="G396" s="103">
        <f>2-2</f>
        <v>0</v>
      </c>
      <c r="H396" s="3">
        <f>G396*F396</f>
        <v>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45614</v>
      </c>
      <c r="B397" s="31" t="s">
        <v>138</v>
      </c>
      <c r="C397" s="73">
        <v>480000</v>
      </c>
      <c r="D397" s="44"/>
      <c r="E397" s="32">
        <f>E396+C397-D397</f>
        <v>730000</v>
      </c>
      <c r="F397" s="3">
        <v>75000</v>
      </c>
      <c r="G397" s="103"/>
      <c r="H397" s="3">
        <f t="shared" ref="H397:H407" si="35">G397*F397</f>
        <v>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45614</v>
      </c>
      <c r="B398" s="1" t="s">
        <v>155</v>
      </c>
      <c r="C398" s="73">
        <v>708000</v>
      </c>
      <c r="D398" s="44"/>
      <c r="E398" s="32">
        <f t="shared" ref="E398:E417" si="36">E397+C398-D398</f>
        <v>1438000</v>
      </c>
      <c r="F398" s="34">
        <v>50000</v>
      </c>
      <c r="G398" s="103">
        <f>5-1</f>
        <v>4</v>
      </c>
      <c r="H398" s="3">
        <f t="shared" si="35"/>
        <v>200000</v>
      </c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45614</v>
      </c>
      <c r="B399" s="1" t="s">
        <v>156</v>
      </c>
      <c r="C399" s="73">
        <v>452000</v>
      </c>
      <c r="D399" s="44"/>
      <c r="E399" s="32">
        <f t="shared" si="36"/>
        <v>1890000</v>
      </c>
      <c r="F399" s="34">
        <v>20000</v>
      </c>
      <c r="G399" s="103">
        <v>1</v>
      </c>
      <c r="H399" s="3">
        <f t="shared" si="35"/>
        <v>20000</v>
      </c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45614</v>
      </c>
      <c r="B400" s="1" t="s">
        <v>133</v>
      </c>
      <c r="C400" s="73">
        <v>2211000</v>
      </c>
      <c r="D400" s="44"/>
      <c r="E400" s="32">
        <f t="shared" si="36"/>
        <v>4101000</v>
      </c>
      <c r="F400" s="34">
        <v>10000</v>
      </c>
      <c r="G400" s="103">
        <v>1</v>
      </c>
      <c r="H400" s="3">
        <f t="shared" si="35"/>
        <v>10000</v>
      </c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45614</v>
      </c>
      <c r="B401" s="1" t="s">
        <v>163</v>
      </c>
      <c r="C401" s="73"/>
      <c r="D401" s="44"/>
      <c r="E401" s="32">
        <f t="shared" si="36"/>
        <v>4101000</v>
      </c>
      <c r="F401" s="34">
        <v>5000</v>
      </c>
      <c r="G401" s="103">
        <f>1+1</f>
        <v>2</v>
      </c>
      <c r="H401" s="3">
        <f t="shared" si="35"/>
        <v>10000</v>
      </c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45614</v>
      </c>
      <c r="B402" s="1" t="s">
        <v>146</v>
      </c>
      <c r="C402" s="73">
        <v>3368000</v>
      </c>
      <c r="D402" s="44"/>
      <c r="E402" s="32">
        <f t="shared" si="36"/>
        <v>7469000</v>
      </c>
      <c r="F402" s="34">
        <v>2000</v>
      </c>
      <c r="G402" s="103">
        <v>3</v>
      </c>
      <c r="H402" s="3">
        <f t="shared" si="35"/>
        <v>6000</v>
      </c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45614</v>
      </c>
      <c r="B403" s="1" t="s">
        <v>166</v>
      </c>
      <c r="C403" s="86"/>
      <c r="D403" s="44"/>
      <c r="E403" s="32">
        <f t="shared" si="36"/>
        <v>7469000</v>
      </c>
      <c r="F403" s="34">
        <v>1000</v>
      </c>
      <c r="G403" s="103">
        <v>1</v>
      </c>
      <c r="H403" s="3">
        <f t="shared" si="35"/>
        <v>1000</v>
      </c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45614</v>
      </c>
      <c r="B404" s="1" t="s">
        <v>165</v>
      </c>
      <c r="C404" s="86"/>
      <c r="D404" s="44"/>
      <c r="E404" s="32">
        <f t="shared" si="36"/>
        <v>7469000</v>
      </c>
      <c r="F404" s="34">
        <v>1000</v>
      </c>
      <c r="G404" s="103"/>
      <c r="H404" s="3">
        <f t="shared" si="35"/>
        <v>0</v>
      </c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45614</v>
      </c>
      <c r="B405" s="1" t="s">
        <v>164</v>
      </c>
      <c r="C405" s="86">
        <v>1391000</v>
      </c>
      <c r="D405" s="44"/>
      <c r="E405" s="32">
        <f t="shared" si="36"/>
        <v>8860000</v>
      </c>
      <c r="F405" s="34">
        <v>500</v>
      </c>
      <c r="G405" s="103">
        <f>2+4</f>
        <v>6</v>
      </c>
      <c r="H405" s="3">
        <f t="shared" si="35"/>
        <v>3000</v>
      </c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45614</v>
      </c>
      <c r="B406" s="1" t="s">
        <v>145</v>
      </c>
      <c r="C406" s="86"/>
      <c r="D406" s="44"/>
      <c r="E406" s="32">
        <f t="shared" si="36"/>
        <v>8860000</v>
      </c>
      <c r="F406" s="34">
        <v>200</v>
      </c>
      <c r="G406" s="103"/>
      <c r="H406" s="3">
        <f t="shared" si="35"/>
        <v>0</v>
      </c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45614</v>
      </c>
      <c r="B407" s="1" t="s">
        <v>143</v>
      </c>
      <c r="C407" s="86"/>
      <c r="D407" s="44">
        <f>SUM(C398:C407)</f>
        <v>8130000</v>
      </c>
      <c r="E407" s="32">
        <f t="shared" si="36"/>
        <v>730000</v>
      </c>
      <c r="F407" s="34">
        <v>100</v>
      </c>
      <c r="G407" s="104"/>
      <c r="H407" s="3">
        <f t="shared" si="35"/>
        <v>0</v>
      </c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45614</v>
      </c>
      <c r="B408" s="1" t="s">
        <v>160</v>
      </c>
      <c r="C408" s="86"/>
      <c r="D408" s="46"/>
      <c r="E408" s="32">
        <f t="shared" si="36"/>
        <v>730000</v>
      </c>
      <c r="F408" s="1"/>
      <c r="G408" s="1"/>
      <c r="H408" s="1"/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45614</v>
      </c>
      <c r="B409" s="1"/>
      <c r="C409" s="86"/>
      <c r="D409" s="44"/>
      <c r="E409" s="32">
        <f t="shared" si="36"/>
        <v>730000</v>
      </c>
      <c r="G409" s="34"/>
      <c r="H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A410" s="47">
        <v>45614</v>
      </c>
      <c r="B410" s="31" t="s">
        <v>139</v>
      </c>
      <c r="C410" s="86"/>
      <c r="D410" s="44">
        <v>243000</v>
      </c>
      <c r="E410" s="32">
        <f t="shared" si="36"/>
        <v>487000</v>
      </c>
      <c r="G410" s="34"/>
      <c r="H410" s="34"/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45614</v>
      </c>
      <c r="B411" s="47" t="s">
        <v>152</v>
      </c>
      <c r="C411" s="87"/>
      <c r="D411" s="44"/>
      <c r="E411" s="32">
        <f t="shared" si="36"/>
        <v>487000</v>
      </c>
      <c r="G411" s="34"/>
      <c r="H411" s="34"/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45614</v>
      </c>
      <c r="B412" s="82"/>
      <c r="C412" s="87"/>
      <c r="D412" s="44"/>
      <c r="E412" s="32">
        <f t="shared" si="36"/>
        <v>487000</v>
      </c>
      <c r="G412" s="34"/>
      <c r="H412" s="34"/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45614</v>
      </c>
      <c r="C413" s="87"/>
      <c r="D413" s="44"/>
      <c r="E413" s="32">
        <f t="shared" si="36"/>
        <v>487000</v>
      </c>
      <c r="G413" s="34"/>
      <c r="H413" s="34"/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45614</v>
      </c>
      <c r="B414" s="1"/>
      <c r="C414" s="88"/>
      <c r="D414" s="36"/>
      <c r="E414" s="32">
        <f t="shared" si="36"/>
        <v>487000</v>
      </c>
      <c r="F414" s="1"/>
      <c r="G414" s="34"/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45614</v>
      </c>
      <c r="B415" s="1" t="s">
        <v>143</v>
      </c>
      <c r="C415" s="89"/>
      <c r="D415" s="44"/>
      <c r="E415" s="32">
        <f t="shared" si="36"/>
        <v>487000</v>
      </c>
      <c r="F415" s="1"/>
      <c r="G415" s="34"/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A416" s="47">
        <v>45614</v>
      </c>
      <c r="B416" s="47"/>
      <c r="C416" s="90"/>
      <c r="D416" s="44"/>
      <c r="E416" s="32">
        <f t="shared" si="36"/>
        <v>487000</v>
      </c>
      <c r="F416" s="43"/>
      <c r="G416" s="34"/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45614</v>
      </c>
      <c r="B417" s="45" t="s">
        <v>136</v>
      </c>
      <c r="C417" s="86">
        <v>13000</v>
      </c>
      <c r="D417" s="44">
        <v>250000</v>
      </c>
      <c r="E417" s="32">
        <f t="shared" si="36"/>
        <v>250000</v>
      </c>
      <c r="F417" s="3">
        <f>SUM(H396:H413)</f>
        <v>250000</v>
      </c>
      <c r="G417" s="49"/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A418" s="47">
        <v>45614</v>
      </c>
      <c r="B418" s="4" t="s">
        <v>161</v>
      </c>
      <c r="C418" s="86">
        <f>SUM(C397:C417)</f>
        <v>8623000</v>
      </c>
      <c r="D418" s="33">
        <f>SUM(D399:D417)</f>
        <v>8623000</v>
      </c>
      <c r="E418" s="32"/>
      <c r="F418" s="25">
        <f>F417-E417</f>
        <v>0</v>
      </c>
      <c r="G418" s="34"/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B419" s="1"/>
      <c r="C419" s="73"/>
      <c r="D419" s="44"/>
      <c r="E419" s="32"/>
      <c r="F419" s="34"/>
      <c r="G419" s="103"/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45615</v>
      </c>
      <c r="B420" s="1" t="s">
        <v>140</v>
      </c>
      <c r="C420" s="65"/>
      <c r="D420" s="8"/>
      <c r="E420" s="8">
        <v>250000</v>
      </c>
      <c r="F420" s="49">
        <v>100000</v>
      </c>
      <c r="G420" s="103"/>
      <c r="H420" s="3">
        <f>G420*F420</f>
        <v>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45615</v>
      </c>
      <c r="B421" s="31" t="s">
        <v>138</v>
      </c>
      <c r="C421" s="73">
        <v>75000</v>
      </c>
      <c r="D421" s="44"/>
      <c r="E421" s="32">
        <f>E420+C421-D421</f>
        <v>325000</v>
      </c>
      <c r="F421" s="3">
        <v>75000</v>
      </c>
      <c r="G421" s="103"/>
      <c r="H421" s="3">
        <f t="shared" ref="H421:H431" si="37">G421*F421</f>
        <v>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45615</v>
      </c>
      <c r="B422" s="1" t="s">
        <v>155</v>
      </c>
      <c r="C422" s="73">
        <v>344000</v>
      </c>
      <c r="D422" s="44"/>
      <c r="E422" s="32">
        <f t="shared" ref="E422:E441" si="38">E421+C422-D422</f>
        <v>669000</v>
      </c>
      <c r="F422" s="34">
        <v>50000</v>
      </c>
      <c r="G422" s="103">
        <v>1</v>
      </c>
      <c r="H422" s="3">
        <f t="shared" si="37"/>
        <v>50000</v>
      </c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45615</v>
      </c>
      <c r="B423" s="1" t="s">
        <v>156</v>
      </c>
      <c r="C423" s="73"/>
      <c r="D423" s="44"/>
      <c r="E423" s="32">
        <f t="shared" si="38"/>
        <v>669000</v>
      </c>
      <c r="F423" s="34">
        <v>20000</v>
      </c>
      <c r="G423" s="103"/>
      <c r="H423" s="3">
        <f t="shared" si="37"/>
        <v>0</v>
      </c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45615</v>
      </c>
      <c r="B424" s="1" t="s">
        <v>133</v>
      </c>
      <c r="C424" s="73">
        <v>1122000</v>
      </c>
      <c r="D424" s="44"/>
      <c r="E424" s="32">
        <f t="shared" si="38"/>
        <v>1791000</v>
      </c>
      <c r="F424" s="34">
        <v>10000</v>
      </c>
      <c r="G424" s="103">
        <v>1</v>
      </c>
      <c r="H424" s="3">
        <f t="shared" si="37"/>
        <v>10000</v>
      </c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45615</v>
      </c>
      <c r="B425" s="1" t="s">
        <v>163</v>
      </c>
      <c r="C425" s="73"/>
      <c r="D425" s="44"/>
      <c r="E425" s="32">
        <f t="shared" si="38"/>
        <v>1791000</v>
      </c>
      <c r="F425" s="34">
        <v>5000</v>
      </c>
      <c r="G425" s="103"/>
      <c r="H425" s="3">
        <f t="shared" si="37"/>
        <v>0</v>
      </c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45615</v>
      </c>
      <c r="B426" s="1" t="s">
        <v>146</v>
      </c>
      <c r="C426" s="73">
        <v>2791000</v>
      </c>
      <c r="D426" s="44"/>
      <c r="E426" s="32">
        <f t="shared" si="38"/>
        <v>4582000</v>
      </c>
      <c r="F426" s="34">
        <v>2000</v>
      </c>
      <c r="G426" s="103"/>
      <c r="H426" s="3">
        <f t="shared" si="37"/>
        <v>0</v>
      </c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45615</v>
      </c>
      <c r="B427" s="1" t="s">
        <v>166</v>
      </c>
      <c r="C427" s="86"/>
      <c r="D427" s="44"/>
      <c r="E427" s="32">
        <f t="shared" si="38"/>
        <v>4582000</v>
      </c>
      <c r="F427" s="34">
        <v>1000</v>
      </c>
      <c r="G427" s="103">
        <v>3</v>
      </c>
      <c r="H427" s="3">
        <f t="shared" si="37"/>
        <v>3000</v>
      </c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45615</v>
      </c>
      <c r="B428" s="1" t="s">
        <v>165</v>
      </c>
      <c r="C428" s="86"/>
      <c r="D428" s="44"/>
      <c r="E428" s="32">
        <f t="shared" si="38"/>
        <v>4582000</v>
      </c>
      <c r="F428" s="34">
        <v>1000</v>
      </c>
      <c r="G428" s="103"/>
      <c r="H428" s="3">
        <f t="shared" si="37"/>
        <v>0</v>
      </c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45615</v>
      </c>
      <c r="B429" s="1" t="s">
        <v>164</v>
      </c>
      <c r="C429" s="86">
        <v>1042000</v>
      </c>
      <c r="D429" s="44"/>
      <c r="E429" s="32">
        <f t="shared" si="38"/>
        <v>5624000</v>
      </c>
      <c r="F429" s="34">
        <v>500</v>
      </c>
      <c r="G429" s="103">
        <v>2</v>
      </c>
      <c r="H429" s="3">
        <f t="shared" si="37"/>
        <v>1000</v>
      </c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45615</v>
      </c>
      <c r="B430" s="1" t="s">
        <v>145</v>
      </c>
      <c r="C430" s="86"/>
      <c r="D430" s="44"/>
      <c r="E430" s="32">
        <f t="shared" si="38"/>
        <v>5624000</v>
      </c>
      <c r="F430" s="34">
        <v>200</v>
      </c>
      <c r="G430" s="103"/>
      <c r="H430" s="3">
        <f t="shared" si="37"/>
        <v>0</v>
      </c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45615</v>
      </c>
      <c r="B431" s="1" t="s">
        <v>143</v>
      </c>
      <c r="C431" s="86"/>
      <c r="D431" s="44">
        <f>SUM(C422:C431)</f>
        <v>5299000</v>
      </c>
      <c r="E431" s="32">
        <f t="shared" si="38"/>
        <v>325000</v>
      </c>
      <c r="F431" s="34">
        <v>100</v>
      </c>
      <c r="G431" s="104"/>
      <c r="H431" s="3">
        <f t="shared" si="37"/>
        <v>0</v>
      </c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45615</v>
      </c>
      <c r="B432" s="1" t="s">
        <v>160</v>
      </c>
      <c r="C432" s="86">
        <v>-37000</v>
      </c>
      <c r="D432" s="46"/>
      <c r="E432" s="32">
        <f t="shared" si="38"/>
        <v>288000</v>
      </c>
      <c r="F432" s="1"/>
      <c r="G432" s="1"/>
      <c r="H432" s="1"/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45615</v>
      </c>
      <c r="B433" s="1"/>
      <c r="C433" s="86"/>
      <c r="D433" s="44"/>
      <c r="E433" s="32">
        <f t="shared" si="38"/>
        <v>288000</v>
      </c>
      <c r="G433" s="34"/>
      <c r="H433" s="34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A434" s="47">
        <v>45615</v>
      </c>
      <c r="B434" s="31" t="s">
        <v>139</v>
      </c>
      <c r="C434" s="86"/>
      <c r="D434" s="44">
        <f>261000-37000</f>
        <v>224000</v>
      </c>
      <c r="E434" s="32">
        <f t="shared" si="38"/>
        <v>64000</v>
      </c>
      <c r="G434" s="34"/>
      <c r="H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45615</v>
      </c>
      <c r="B435" s="47" t="s">
        <v>152</v>
      </c>
      <c r="C435" s="87"/>
      <c r="D435" s="44"/>
      <c r="E435" s="32">
        <f t="shared" si="38"/>
        <v>64000</v>
      </c>
      <c r="G435" s="34"/>
      <c r="H435" s="34"/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45615</v>
      </c>
      <c r="B436" s="82"/>
      <c r="C436" s="87"/>
      <c r="D436" s="44"/>
      <c r="E436" s="32">
        <f t="shared" si="38"/>
        <v>64000</v>
      </c>
      <c r="G436" s="34"/>
      <c r="H436" s="34"/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45615</v>
      </c>
      <c r="C437" s="87"/>
      <c r="D437" s="44"/>
      <c r="E437" s="32">
        <f t="shared" si="38"/>
        <v>64000</v>
      </c>
      <c r="G437" s="34"/>
      <c r="H437" s="34"/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45615</v>
      </c>
      <c r="B438" s="1"/>
      <c r="C438" s="88"/>
      <c r="D438" s="36"/>
      <c r="E438" s="32">
        <f t="shared" si="38"/>
        <v>64000</v>
      </c>
      <c r="F438" s="1"/>
      <c r="G438" s="34"/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A439" s="47">
        <v>45615</v>
      </c>
      <c r="B439" s="1" t="s">
        <v>143</v>
      </c>
      <c r="C439" s="89"/>
      <c r="D439" s="44"/>
      <c r="E439" s="32">
        <f t="shared" si="38"/>
        <v>64000</v>
      </c>
      <c r="F439" s="1"/>
      <c r="G439" s="34"/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45615</v>
      </c>
      <c r="B440" s="47"/>
      <c r="C440" s="90"/>
      <c r="D440" s="44"/>
      <c r="E440" s="32">
        <f t="shared" si="38"/>
        <v>64000</v>
      </c>
      <c r="F440" s="43"/>
      <c r="G440" s="34"/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A441" s="47">
        <v>45615</v>
      </c>
      <c r="B441" s="45" t="s">
        <v>136</v>
      </c>
      <c r="C441" s="86"/>
      <c r="D441" s="44"/>
      <c r="E441" s="32">
        <f t="shared" si="38"/>
        <v>64000</v>
      </c>
      <c r="F441" s="3">
        <f>SUM(H420:H437)</f>
        <v>64000</v>
      </c>
      <c r="G441" s="49">
        <f>250000-F441</f>
        <v>186000</v>
      </c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45615</v>
      </c>
      <c r="B442" s="4" t="s">
        <v>161</v>
      </c>
      <c r="C442" s="86">
        <f>SUM(C421:C441)</f>
        <v>5337000</v>
      </c>
      <c r="D442" s="33">
        <f>SUM(D423:D441)</f>
        <v>5523000</v>
      </c>
      <c r="E442" s="32"/>
      <c r="F442" s="25">
        <f>F441-E441</f>
        <v>0</v>
      </c>
      <c r="G442" s="34"/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B443" s="1"/>
      <c r="C443" s="73"/>
      <c r="D443" s="44"/>
      <c r="E443" s="32"/>
      <c r="F443" s="34"/>
      <c r="G443" s="103"/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45616</v>
      </c>
      <c r="B444" s="1" t="s">
        <v>140</v>
      </c>
      <c r="C444" s="65"/>
      <c r="D444" s="8"/>
      <c r="E444" s="8">
        <v>64000</v>
      </c>
      <c r="F444" s="49">
        <v>100000</v>
      </c>
      <c r="G444" s="103">
        <f>7-6</f>
        <v>1</v>
      </c>
      <c r="H444" s="3">
        <f>G444*F444</f>
        <v>100000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45616</v>
      </c>
      <c r="B445" s="31" t="s">
        <v>138</v>
      </c>
      <c r="C445" s="73">
        <v>881300</v>
      </c>
      <c r="D445" s="44"/>
      <c r="E445" s="32">
        <f>E444+C445-D445</f>
        <v>945300</v>
      </c>
      <c r="F445" s="3">
        <v>75000</v>
      </c>
      <c r="G445" s="103"/>
      <c r="H445" s="3">
        <f t="shared" ref="H445:H451" si="39">G445*F445</f>
        <v>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45616</v>
      </c>
      <c r="B446" s="1" t="s">
        <v>155</v>
      </c>
      <c r="C446" s="73"/>
      <c r="D446" s="44"/>
      <c r="E446" s="32">
        <f t="shared" ref="E446:E465" si="40">E445+C446-D446</f>
        <v>945300</v>
      </c>
      <c r="F446" s="34">
        <v>50000</v>
      </c>
      <c r="G446" s="103">
        <v>1</v>
      </c>
      <c r="H446" s="3">
        <f t="shared" si="39"/>
        <v>50000</v>
      </c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45616</v>
      </c>
      <c r="B447" s="1" t="s">
        <v>156</v>
      </c>
      <c r="C447" s="73"/>
      <c r="D447" s="44"/>
      <c r="E447" s="32">
        <f t="shared" si="40"/>
        <v>945300</v>
      </c>
      <c r="F447" s="34">
        <v>20000</v>
      </c>
      <c r="G447" s="103"/>
      <c r="H447" s="3">
        <f t="shared" si="39"/>
        <v>0</v>
      </c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45616</v>
      </c>
      <c r="B448" s="1" t="s">
        <v>133</v>
      </c>
      <c r="C448" s="73">
        <v>842000</v>
      </c>
      <c r="D448" s="44"/>
      <c r="E448" s="32">
        <f t="shared" si="40"/>
        <v>1787300</v>
      </c>
      <c r="F448" s="34">
        <v>10000</v>
      </c>
      <c r="G448" s="103">
        <f>2+3</f>
        <v>5</v>
      </c>
      <c r="H448" s="3">
        <f t="shared" si="39"/>
        <v>50000</v>
      </c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45616</v>
      </c>
      <c r="B449" s="1" t="s">
        <v>163</v>
      </c>
      <c r="C449" s="73">
        <v>95000</v>
      </c>
      <c r="D449" s="44"/>
      <c r="E449" s="32">
        <f t="shared" si="40"/>
        <v>1882300</v>
      </c>
      <c r="F449" s="34">
        <v>5000</v>
      </c>
      <c r="G449" s="103">
        <f>5+1</f>
        <v>6</v>
      </c>
      <c r="H449" s="3">
        <f t="shared" si="39"/>
        <v>30000</v>
      </c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45616</v>
      </c>
      <c r="B450" s="1" t="s">
        <v>146</v>
      </c>
      <c r="C450" s="73">
        <v>2029000</v>
      </c>
      <c r="D450" s="44"/>
      <c r="E450" s="32">
        <f t="shared" si="40"/>
        <v>3911300</v>
      </c>
      <c r="F450" s="34">
        <v>2000</v>
      </c>
      <c r="G450" s="103">
        <v>8</v>
      </c>
      <c r="H450" s="3">
        <f t="shared" si="39"/>
        <v>16000</v>
      </c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45616</v>
      </c>
      <c r="B451" s="1" t="s">
        <v>166</v>
      </c>
      <c r="C451" s="86"/>
      <c r="D451" s="44"/>
      <c r="E451" s="32">
        <f t="shared" si="40"/>
        <v>3911300</v>
      </c>
      <c r="F451" s="34">
        <v>1000</v>
      </c>
      <c r="G451" s="103">
        <v>1</v>
      </c>
      <c r="H451" s="3">
        <f t="shared" si="39"/>
        <v>1000</v>
      </c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45616</v>
      </c>
      <c r="B452" s="1" t="s">
        <v>165</v>
      </c>
      <c r="C452" s="86"/>
      <c r="D452" s="44"/>
      <c r="E452" s="32">
        <f t="shared" si="40"/>
        <v>3911300</v>
      </c>
      <c r="F452" s="34">
        <v>500</v>
      </c>
      <c r="G452" s="103">
        <f>4+1</f>
        <v>5</v>
      </c>
      <c r="H452" s="3">
        <f t="shared" ref="H452:H454" si="41">G452*F452</f>
        <v>2500</v>
      </c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45616</v>
      </c>
      <c r="B453" s="1" t="s">
        <v>164</v>
      </c>
      <c r="C453" s="86">
        <v>1390000</v>
      </c>
      <c r="D453" s="44"/>
      <c r="E453" s="32">
        <f t="shared" si="40"/>
        <v>5301300</v>
      </c>
      <c r="F453" s="34">
        <v>200</v>
      </c>
      <c r="G453" s="103">
        <f>1+1</f>
        <v>2</v>
      </c>
      <c r="H453" s="3">
        <f t="shared" si="41"/>
        <v>400</v>
      </c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45616</v>
      </c>
      <c r="B454" s="1" t="s">
        <v>145</v>
      </c>
      <c r="C454" s="86">
        <v>424000</v>
      </c>
      <c r="D454" s="44"/>
      <c r="E454" s="32">
        <f t="shared" si="40"/>
        <v>5725300</v>
      </c>
      <c r="F454" s="34">
        <v>100</v>
      </c>
      <c r="G454" s="104">
        <v>1</v>
      </c>
      <c r="H454" s="3">
        <f t="shared" si="41"/>
        <v>100</v>
      </c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45616</v>
      </c>
      <c r="B455" s="1" t="s">
        <v>143</v>
      </c>
      <c r="C455" s="86"/>
      <c r="D455" s="44">
        <f>SUM(C446:C455)</f>
        <v>4780000</v>
      </c>
      <c r="E455" s="32">
        <f t="shared" si="40"/>
        <v>945300</v>
      </c>
      <c r="F455" s="1"/>
      <c r="G455" s="1"/>
      <c r="H455" s="1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45616</v>
      </c>
      <c r="B456" s="1" t="s">
        <v>160</v>
      </c>
      <c r="C456" s="86"/>
      <c r="D456" s="46"/>
      <c r="E456" s="32">
        <f t="shared" si="40"/>
        <v>945300</v>
      </c>
      <c r="F456" s="1"/>
      <c r="G456" s="1"/>
      <c r="H456" s="1"/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45616</v>
      </c>
      <c r="B457" s="1"/>
      <c r="C457" s="86"/>
      <c r="D457" s="44"/>
      <c r="E457" s="32">
        <f t="shared" si="40"/>
        <v>945300</v>
      </c>
      <c r="G457" s="34"/>
      <c r="H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A458" s="47">
        <v>45616</v>
      </c>
      <c r="B458" s="31" t="s">
        <v>139</v>
      </c>
      <c r="C458" s="86"/>
      <c r="D458" s="44">
        <f>197000</f>
        <v>197000</v>
      </c>
      <c r="E458" s="32">
        <f t="shared" si="40"/>
        <v>748300</v>
      </c>
      <c r="G458" s="34"/>
      <c r="H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45616</v>
      </c>
      <c r="B459" s="47" t="s">
        <v>152</v>
      </c>
      <c r="C459" s="87"/>
      <c r="D459" s="44"/>
      <c r="E459" s="32">
        <f t="shared" si="40"/>
        <v>748300</v>
      </c>
      <c r="G459" s="34"/>
      <c r="H459" s="34"/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45616</v>
      </c>
      <c r="B460" s="82"/>
      <c r="C460" s="87"/>
      <c r="D460" s="44"/>
      <c r="E460" s="32">
        <f t="shared" si="40"/>
        <v>748300</v>
      </c>
      <c r="G460" s="34"/>
      <c r="H460" s="34"/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45616</v>
      </c>
      <c r="C461" s="87"/>
      <c r="D461" s="44"/>
      <c r="E461" s="32">
        <f t="shared" si="40"/>
        <v>748300</v>
      </c>
      <c r="G461" s="34"/>
      <c r="H461" s="34"/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A462" s="47">
        <v>45616</v>
      </c>
      <c r="B462" s="1"/>
      <c r="C462" s="88"/>
      <c r="D462" s="36"/>
      <c r="E462" s="32">
        <f t="shared" si="40"/>
        <v>748300</v>
      </c>
      <c r="F462" s="1"/>
      <c r="G462" s="34"/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45616</v>
      </c>
      <c r="B463" s="1" t="s">
        <v>143</v>
      </c>
      <c r="C463" s="89"/>
      <c r="D463" s="44"/>
      <c r="E463" s="32">
        <f t="shared" si="40"/>
        <v>748300</v>
      </c>
      <c r="F463" s="1"/>
      <c r="G463" s="34"/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A464" s="47">
        <v>45616</v>
      </c>
      <c r="B464" s="47"/>
      <c r="C464" s="90"/>
      <c r="D464" s="44"/>
      <c r="E464" s="32">
        <f t="shared" si="40"/>
        <v>748300</v>
      </c>
      <c r="F464" s="43"/>
      <c r="G464" s="34"/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45616</v>
      </c>
      <c r="B465" s="45" t="s">
        <v>136</v>
      </c>
      <c r="C465" s="86">
        <v>51700</v>
      </c>
      <c r="D465" s="44">
        <v>550000</v>
      </c>
      <c r="E465" s="32">
        <f t="shared" si="40"/>
        <v>250000</v>
      </c>
      <c r="F465" s="3">
        <f>SUM(H444:H461)</f>
        <v>250000</v>
      </c>
      <c r="G465" s="49">
        <f>250000-F465</f>
        <v>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45616</v>
      </c>
      <c r="B466" s="4" t="s">
        <v>161</v>
      </c>
      <c r="C466" s="86">
        <f>SUM(C445:C465)</f>
        <v>5713000</v>
      </c>
      <c r="D466" s="33">
        <f>SUM(D447:D465)</f>
        <v>5527000</v>
      </c>
      <c r="E466" s="32"/>
      <c r="F466" s="25">
        <f>F465-E465</f>
        <v>0</v>
      </c>
      <c r="G466" s="34"/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B467" s="1"/>
      <c r="C467" s="73"/>
      <c r="D467" s="44"/>
      <c r="E467" s="32"/>
      <c r="F467" s="34"/>
      <c r="G467" s="103"/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45617</v>
      </c>
      <c r="B468" s="1" t="s">
        <v>140</v>
      </c>
      <c r="C468" s="65"/>
      <c r="D468" s="8"/>
      <c r="E468" s="8">
        <v>250000</v>
      </c>
      <c r="F468" s="49">
        <v>100000</v>
      </c>
      <c r="G468" s="103">
        <f>8-6</f>
        <v>2</v>
      </c>
      <c r="H468" s="3">
        <f>G468*F468</f>
        <v>200000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45617</v>
      </c>
      <c r="B469" s="31" t="s">
        <v>138</v>
      </c>
      <c r="C469" s="73">
        <v>996000</v>
      </c>
      <c r="D469" s="44"/>
      <c r="E469" s="32">
        <f>E468+C469-D469</f>
        <v>1246000</v>
      </c>
      <c r="F469" s="3">
        <v>75000</v>
      </c>
      <c r="G469" s="103"/>
      <c r="H469" s="3">
        <f t="shared" ref="H469:H478" si="42">G469*F469</f>
        <v>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45617</v>
      </c>
      <c r="B470" s="1" t="s">
        <v>155</v>
      </c>
      <c r="C470" s="73">
        <v>375000</v>
      </c>
      <c r="D470" s="44"/>
      <c r="E470" s="32">
        <f t="shared" ref="E470:E489" si="43">E469+C470-D470</f>
        <v>1621000</v>
      </c>
      <c r="F470" s="34">
        <v>50000</v>
      </c>
      <c r="G470" s="103"/>
      <c r="H470" s="3">
        <f t="shared" si="42"/>
        <v>0</v>
      </c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45617</v>
      </c>
      <c r="B471" s="1" t="s">
        <v>156</v>
      </c>
      <c r="C471" s="73">
        <v>548000</v>
      </c>
      <c r="D471" s="44"/>
      <c r="E471" s="32">
        <f t="shared" si="43"/>
        <v>2169000</v>
      </c>
      <c r="F471" s="34">
        <v>20000</v>
      </c>
      <c r="G471" s="103"/>
      <c r="H471" s="3">
        <f t="shared" si="42"/>
        <v>0</v>
      </c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45617</v>
      </c>
      <c r="B472" s="1" t="s">
        <v>133</v>
      </c>
      <c r="C472" s="73">
        <v>1205000</v>
      </c>
      <c r="D472" s="44"/>
      <c r="E472" s="32">
        <f t="shared" si="43"/>
        <v>3374000</v>
      </c>
      <c r="F472" s="34">
        <v>10000</v>
      </c>
      <c r="G472" s="103">
        <v>1</v>
      </c>
      <c r="H472" s="3">
        <f t="shared" si="42"/>
        <v>10000</v>
      </c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45617</v>
      </c>
      <c r="B473" s="1" t="s">
        <v>163</v>
      </c>
      <c r="C473" s="73"/>
      <c r="D473" s="44"/>
      <c r="E473" s="32">
        <f t="shared" si="43"/>
        <v>3374000</v>
      </c>
      <c r="F473" s="34">
        <v>5000</v>
      </c>
      <c r="G473" s="103">
        <f>9-2</f>
        <v>7</v>
      </c>
      <c r="H473" s="3">
        <f t="shared" si="42"/>
        <v>35000</v>
      </c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45617</v>
      </c>
      <c r="B474" s="1" t="s">
        <v>146</v>
      </c>
      <c r="C474" s="73">
        <v>2811500</v>
      </c>
      <c r="D474" s="44"/>
      <c r="E474" s="32">
        <f t="shared" si="43"/>
        <v>6185500</v>
      </c>
      <c r="F474" s="34">
        <v>2000</v>
      </c>
      <c r="G474" s="103">
        <v>2</v>
      </c>
      <c r="H474" s="3">
        <f t="shared" si="42"/>
        <v>4000</v>
      </c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45617</v>
      </c>
      <c r="B475" s="1" t="s">
        <v>166</v>
      </c>
      <c r="C475" s="86"/>
      <c r="D475" s="44"/>
      <c r="E475" s="32">
        <f t="shared" si="43"/>
        <v>6185500</v>
      </c>
      <c r="F475" s="34">
        <v>1000</v>
      </c>
      <c r="G475" s="103"/>
      <c r="H475" s="3">
        <f t="shared" si="42"/>
        <v>0</v>
      </c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45617</v>
      </c>
      <c r="B476" s="1" t="s">
        <v>165</v>
      </c>
      <c r="C476" s="86"/>
      <c r="D476" s="44"/>
      <c r="E476" s="32">
        <f t="shared" si="43"/>
        <v>6185500</v>
      </c>
      <c r="F476" s="34">
        <v>500</v>
      </c>
      <c r="G476" s="103">
        <v>2</v>
      </c>
      <c r="H476" s="3">
        <f t="shared" si="42"/>
        <v>1000</v>
      </c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45617</v>
      </c>
      <c r="B477" s="1" t="s">
        <v>164</v>
      </c>
      <c r="C477" s="86">
        <v>1305000</v>
      </c>
      <c r="D477" s="44"/>
      <c r="E477" s="32">
        <f t="shared" si="43"/>
        <v>7490500</v>
      </c>
      <c r="F477" s="34">
        <v>200</v>
      </c>
      <c r="G477" s="103"/>
      <c r="H477" s="3">
        <f t="shared" si="42"/>
        <v>0</v>
      </c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45617</v>
      </c>
      <c r="B478" s="1" t="s">
        <v>145</v>
      </c>
      <c r="C478" s="86"/>
      <c r="D478" s="44"/>
      <c r="E478" s="32">
        <f t="shared" si="43"/>
        <v>7490500</v>
      </c>
      <c r="F478" s="34">
        <v>100</v>
      </c>
      <c r="G478" s="104"/>
      <c r="H478" s="3">
        <f t="shared" si="42"/>
        <v>0</v>
      </c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45617</v>
      </c>
      <c r="B479" s="1" t="s">
        <v>143</v>
      </c>
      <c r="C479" s="86"/>
      <c r="D479" s="44">
        <f>SUM(C470:C479)</f>
        <v>6244500</v>
      </c>
      <c r="E479" s="32">
        <f t="shared" si="43"/>
        <v>1246000</v>
      </c>
      <c r="F479" s="1"/>
      <c r="G479" s="1"/>
      <c r="H479" s="1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45617</v>
      </c>
      <c r="B480" s="1" t="s">
        <v>160</v>
      </c>
      <c r="C480" s="86">
        <v>-2000</v>
      </c>
      <c r="D480" s="46"/>
      <c r="E480" s="32">
        <f t="shared" si="43"/>
        <v>1244000</v>
      </c>
      <c r="F480" s="1"/>
      <c r="G480" s="1"/>
      <c r="H480" s="1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45617</v>
      </c>
      <c r="B481" s="1"/>
      <c r="C481" s="86"/>
      <c r="D481" s="44"/>
      <c r="E481" s="32">
        <f t="shared" si="43"/>
        <v>1244000</v>
      </c>
      <c r="G481" s="34"/>
      <c r="H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A482" s="47">
        <v>45617</v>
      </c>
      <c r="B482" s="31" t="s">
        <v>139</v>
      </c>
      <c r="C482" s="86"/>
      <c r="D482" s="44">
        <f>389000-2000</f>
        <v>387000</v>
      </c>
      <c r="E482" s="32">
        <f t="shared" si="43"/>
        <v>857000</v>
      </c>
      <c r="G482" s="34"/>
      <c r="H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45617</v>
      </c>
      <c r="B483" s="47" t="s">
        <v>152</v>
      </c>
      <c r="C483" s="87"/>
      <c r="D483" s="44"/>
      <c r="E483" s="32">
        <f t="shared" si="43"/>
        <v>857000</v>
      </c>
      <c r="G483" s="34"/>
      <c r="H483" s="34"/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45617</v>
      </c>
      <c r="B484" s="82"/>
      <c r="C484" s="87"/>
      <c r="D484" s="44"/>
      <c r="E484" s="32">
        <f t="shared" si="43"/>
        <v>857000</v>
      </c>
      <c r="G484" s="34"/>
      <c r="H484" s="34"/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A485" s="47">
        <v>45617</v>
      </c>
      <c r="C485" s="87"/>
      <c r="D485" s="44"/>
      <c r="E485" s="32">
        <f t="shared" si="43"/>
        <v>857000</v>
      </c>
      <c r="G485" s="34"/>
      <c r="H485" s="34"/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45617</v>
      </c>
      <c r="B486" s="1"/>
      <c r="C486" s="88"/>
      <c r="D486" s="36"/>
      <c r="E486" s="32">
        <f t="shared" si="43"/>
        <v>857000</v>
      </c>
      <c r="F486" s="1"/>
      <c r="G486" s="34"/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A487" s="47">
        <v>45617</v>
      </c>
      <c r="B487" s="1" t="s">
        <v>143</v>
      </c>
      <c r="C487" s="89"/>
      <c r="D487" s="44"/>
      <c r="E487" s="32">
        <f t="shared" si="43"/>
        <v>857000</v>
      </c>
      <c r="F487" s="1"/>
      <c r="G487" s="34"/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45617</v>
      </c>
      <c r="B488" s="47"/>
      <c r="C488" s="90"/>
      <c r="D488" s="44"/>
      <c r="E488" s="32">
        <f t="shared" si="43"/>
        <v>857000</v>
      </c>
      <c r="F488" s="43"/>
      <c r="G488" s="34"/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45617</v>
      </c>
      <c r="B489" s="45" t="s">
        <v>136</v>
      </c>
      <c r="C489" s="86">
        <f>4000</f>
        <v>4000</v>
      </c>
      <c r="D489" s="44">
        <f>10000+600000</f>
        <v>610000</v>
      </c>
      <c r="E489" s="32">
        <f t="shared" si="43"/>
        <v>251000</v>
      </c>
      <c r="F489" s="3">
        <f>SUM(H468:H485)</f>
        <v>250000</v>
      </c>
      <c r="G489" s="49">
        <f>250000-F489</f>
        <v>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45617</v>
      </c>
      <c r="B490" s="4" t="s">
        <v>161</v>
      </c>
      <c r="C490" s="86">
        <f>SUM(C469:C489)</f>
        <v>7242500</v>
      </c>
      <c r="D490" s="33">
        <f>SUM(D471:D489)</f>
        <v>7241500</v>
      </c>
      <c r="E490" s="32"/>
      <c r="F490" s="25">
        <f>F489-E489</f>
        <v>-1000</v>
      </c>
      <c r="G490" s="34"/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B491" s="1"/>
      <c r="C491" s="73"/>
      <c r="D491" s="44"/>
      <c r="E491" s="32"/>
      <c r="F491" s="34"/>
      <c r="G491" s="103"/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45618</v>
      </c>
      <c r="B492" s="1" t="s">
        <v>140</v>
      </c>
      <c r="C492" s="65"/>
      <c r="D492" s="8"/>
      <c r="E492" s="8">
        <v>250000</v>
      </c>
      <c r="F492" s="49">
        <v>100000</v>
      </c>
      <c r="G492" s="103">
        <f>4-3</f>
        <v>1</v>
      </c>
      <c r="H492" s="3">
        <f>G492*F492</f>
        <v>100000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45618</v>
      </c>
      <c r="B493" s="31" t="s">
        <v>138</v>
      </c>
      <c r="C493" s="73">
        <f>217000+295000</f>
        <v>512000</v>
      </c>
      <c r="D493" s="44"/>
      <c r="E493" s="32">
        <f>E492+C493-D493</f>
        <v>762000</v>
      </c>
      <c r="F493" s="3">
        <v>75000</v>
      </c>
      <c r="G493" s="103"/>
      <c r="H493" s="3">
        <f t="shared" ref="H493:H502" si="44">G493*F493</f>
        <v>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45618</v>
      </c>
      <c r="B494" s="1" t="s">
        <v>155</v>
      </c>
      <c r="C494" s="73">
        <v>854000</v>
      </c>
      <c r="D494" s="44"/>
      <c r="E494" s="32">
        <f t="shared" ref="E494:E513" si="45">E493+C494-D494</f>
        <v>1616000</v>
      </c>
      <c r="F494" s="34">
        <v>50000</v>
      </c>
      <c r="G494" s="103">
        <f>3-0</f>
        <v>3</v>
      </c>
      <c r="H494" s="3">
        <f t="shared" si="44"/>
        <v>150000</v>
      </c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45618</v>
      </c>
      <c r="B495" s="1" t="s">
        <v>156</v>
      </c>
      <c r="C495" s="73">
        <v>81000</v>
      </c>
      <c r="D495" s="44"/>
      <c r="E495" s="32">
        <f t="shared" si="45"/>
        <v>1697000</v>
      </c>
      <c r="F495" s="34">
        <v>20000</v>
      </c>
      <c r="G495" s="103">
        <v>1</v>
      </c>
      <c r="H495" s="3">
        <f t="shared" si="44"/>
        <v>20000</v>
      </c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45618</v>
      </c>
      <c r="B496" s="1" t="s">
        <v>133</v>
      </c>
      <c r="C496" s="73">
        <v>1684000</v>
      </c>
      <c r="D496" s="44"/>
      <c r="E496" s="32">
        <f t="shared" si="45"/>
        <v>3381000</v>
      </c>
      <c r="F496" s="34">
        <v>10000</v>
      </c>
      <c r="G496" s="103"/>
      <c r="H496" s="3">
        <f t="shared" si="44"/>
        <v>0</v>
      </c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45618</v>
      </c>
      <c r="B497" s="1" t="s">
        <v>163</v>
      </c>
      <c r="C497" s="73"/>
      <c r="D497" s="44"/>
      <c r="E497" s="32">
        <f t="shared" si="45"/>
        <v>3381000</v>
      </c>
      <c r="F497" s="34">
        <v>5000</v>
      </c>
      <c r="G497" s="103">
        <f>2+1</f>
        <v>3</v>
      </c>
      <c r="H497" s="3">
        <f t="shared" si="44"/>
        <v>15000</v>
      </c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45618</v>
      </c>
      <c r="B498" s="1" t="s">
        <v>146</v>
      </c>
      <c r="C498" s="73">
        <v>5263500</v>
      </c>
      <c r="D498" s="44"/>
      <c r="E498" s="32">
        <f t="shared" si="45"/>
        <v>8644500</v>
      </c>
      <c r="F498" s="34">
        <v>2000</v>
      </c>
      <c r="G498" s="103">
        <f>3+2</f>
        <v>5</v>
      </c>
      <c r="H498" s="3">
        <f t="shared" si="44"/>
        <v>10000</v>
      </c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45618</v>
      </c>
      <c r="B499" s="1" t="s">
        <v>166</v>
      </c>
      <c r="C499" s="86"/>
      <c r="D499" s="44"/>
      <c r="E499" s="32">
        <f t="shared" si="45"/>
        <v>8644500</v>
      </c>
      <c r="F499" s="34">
        <v>1000</v>
      </c>
      <c r="G499" s="103">
        <f>1+2</f>
        <v>3</v>
      </c>
      <c r="H499" s="3">
        <f t="shared" si="44"/>
        <v>3000</v>
      </c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45618</v>
      </c>
      <c r="B500" s="1" t="s">
        <v>165</v>
      </c>
      <c r="C500" s="86"/>
      <c r="D500" s="44"/>
      <c r="E500" s="32">
        <f t="shared" si="45"/>
        <v>8644500</v>
      </c>
      <c r="F500" s="34">
        <v>500</v>
      </c>
      <c r="G500" s="103">
        <v>4</v>
      </c>
      <c r="H500" s="3">
        <f t="shared" si="44"/>
        <v>2000</v>
      </c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45618</v>
      </c>
      <c r="B501" s="1" t="s">
        <v>164</v>
      </c>
      <c r="C501" s="86">
        <f>1132000-295000</f>
        <v>837000</v>
      </c>
      <c r="D501" s="44"/>
      <c r="E501" s="32">
        <f t="shared" si="45"/>
        <v>9481500</v>
      </c>
      <c r="F501" s="34">
        <v>200</v>
      </c>
      <c r="G501" s="103"/>
      <c r="H501" s="3">
        <f t="shared" si="44"/>
        <v>0</v>
      </c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45618</v>
      </c>
      <c r="B502" s="1" t="s">
        <v>145</v>
      </c>
      <c r="C502" s="86"/>
      <c r="D502" s="44"/>
      <c r="E502" s="32">
        <f t="shared" si="45"/>
        <v>9481500</v>
      </c>
      <c r="F502" s="34">
        <v>100</v>
      </c>
      <c r="G502" s="104"/>
      <c r="H502" s="3">
        <f t="shared" si="44"/>
        <v>0</v>
      </c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45618</v>
      </c>
      <c r="B503" s="1" t="s">
        <v>143</v>
      </c>
      <c r="C503" s="86"/>
      <c r="D503" s="44">
        <f>SUM(C494:C503)</f>
        <v>8719500</v>
      </c>
      <c r="E503" s="32">
        <f t="shared" si="45"/>
        <v>762000</v>
      </c>
      <c r="F503" s="1"/>
      <c r="G503" s="1"/>
      <c r="H503" s="1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45618</v>
      </c>
      <c r="B504" s="1" t="s">
        <v>160</v>
      </c>
      <c r="C504" s="86"/>
      <c r="D504" s="46"/>
      <c r="E504" s="32">
        <f t="shared" si="45"/>
        <v>762000</v>
      </c>
      <c r="F504" s="1"/>
      <c r="G504" s="1"/>
      <c r="H504" s="1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45618</v>
      </c>
      <c r="B505" s="1"/>
      <c r="C505" s="86"/>
      <c r="D505" s="44"/>
      <c r="E505" s="32">
        <f t="shared" si="45"/>
        <v>762000</v>
      </c>
      <c r="G505" s="34"/>
      <c r="H505" s="34"/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A506" s="47">
        <v>45618</v>
      </c>
      <c r="B506" s="31" t="s">
        <v>139</v>
      </c>
      <c r="C506" s="86"/>
      <c r="D506" s="44">
        <v>195000</v>
      </c>
      <c r="E506" s="32">
        <f t="shared" si="45"/>
        <v>567000</v>
      </c>
      <c r="G506" s="34"/>
      <c r="H506" s="34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45618</v>
      </c>
      <c r="B507" s="47" t="s">
        <v>152</v>
      </c>
      <c r="C507" s="87"/>
      <c r="D507" s="44"/>
      <c r="E507" s="32">
        <f t="shared" si="45"/>
        <v>567000</v>
      </c>
      <c r="G507" s="34"/>
      <c r="H507" s="34"/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A508" s="47">
        <v>45618</v>
      </c>
      <c r="B508" s="82"/>
      <c r="C508" s="87"/>
      <c r="D508" s="44"/>
      <c r="E508" s="32">
        <f t="shared" si="45"/>
        <v>567000</v>
      </c>
      <c r="G508" s="34"/>
      <c r="H508" s="34"/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45618</v>
      </c>
      <c r="C509" s="87"/>
      <c r="D509" s="44"/>
      <c r="E509" s="32">
        <f t="shared" si="45"/>
        <v>567000</v>
      </c>
      <c r="G509" s="34"/>
      <c r="H509" s="34"/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A510" s="47">
        <v>45618</v>
      </c>
      <c r="B510" s="1"/>
      <c r="C510" s="88"/>
      <c r="D510" s="36"/>
      <c r="E510" s="32">
        <f t="shared" si="45"/>
        <v>567000</v>
      </c>
      <c r="F510" s="1"/>
      <c r="G510" s="34"/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45618</v>
      </c>
      <c r="B511" s="1" t="s">
        <v>143</v>
      </c>
      <c r="C511" s="89"/>
      <c r="D511" s="44"/>
      <c r="E511" s="32">
        <f t="shared" si="45"/>
        <v>567000</v>
      </c>
      <c r="F511" s="1"/>
      <c r="G511" s="34"/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45618</v>
      </c>
      <c r="B512" s="47"/>
      <c r="C512" s="90"/>
      <c r="D512" s="44"/>
      <c r="E512" s="32">
        <f t="shared" si="45"/>
        <v>567000</v>
      </c>
      <c r="F512" s="43"/>
      <c r="G512" s="34"/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45618</v>
      </c>
      <c r="B513" s="45" t="s">
        <v>136</v>
      </c>
      <c r="C513" s="86">
        <v>33000</v>
      </c>
      <c r="D513" s="44">
        <f>300000</f>
        <v>300000</v>
      </c>
      <c r="E513" s="32">
        <f t="shared" si="45"/>
        <v>300000</v>
      </c>
      <c r="F513" s="3">
        <f>SUM(H492:H509)</f>
        <v>300000</v>
      </c>
      <c r="G513" s="49">
        <f>300000-F513</f>
        <v>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45618</v>
      </c>
      <c r="B514" s="4" t="s">
        <v>161</v>
      </c>
      <c r="C514" s="86">
        <f>SUM(C493:C513)</f>
        <v>9264500</v>
      </c>
      <c r="D514" s="33">
        <f>SUM(D495:D513)</f>
        <v>9214500</v>
      </c>
      <c r="E514" s="32"/>
      <c r="F514" s="25">
        <f>F513-E513</f>
        <v>0</v>
      </c>
      <c r="G514" s="34"/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B515" s="1"/>
      <c r="C515" s="73"/>
      <c r="D515" s="44"/>
      <c r="E515" s="32"/>
      <c r="F515" s="34"/>
      <c r="G515" s="103"/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45619</v>
      </c>
      <c r="B516" s="1" t="s">
        <v>140</v>
      </c>
      <c r="C516" s="65"/>
      <c r="D516" s="8"/>
      <c r="E516" s="8">
        <v>300000</v>
      </c>
      <c r="F516" s="49">
        <v>100000</v>
      </c>
      <c r="G516" s="103">
        <f>9-7</f>
        <v>2</v>
      </c>
      <c r="H516" s="3">
        <f>G516*F516</f>
        <v>200000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45619</v>
      </c>
      <c r="B517" s="31" t="s">
        <v>138</v>
      </c>
      <c r="C517" s="73">
        <v>1000000</v>
      </c>
      <c r="D517" s="44"/>
      <c r="E517" s="32">
        <f>E516+C517-D517</f>
        <v>1300000</v>
      </c>
      <c r="F517" s="3">
        <v>75000</v>
      </c>
      <c r="G517" s="103"/>
      <c r="H517" s="3">
        <f t="shared" ref="H517:H526" si="46">G517*F517</f>
        <v>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45619</v>
      </c>
      <c r="B518" s="1" t="s">
        <v>155</v>
      </c>
      <c r="C518" s="73">
        <v>1121000</v>
      </c>
      <c r="D518" s="44"/>
      <c r="E518" s="32">
        <f t="shared" ref="E518:E537" si="47">E517+C518-D518</f>
        <v>2421000</v>
      </c>
      <c r="F518" s="34">
        <v>50000</v>
      </c>
      <c r="G518" s="103">
        <f>2-1</f>
        <v>1</v>
      </c>
      <c r="H518" s="3">
        <f t="shared" si="46"/>
        <v>50000</v>
      </c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45619</v>
      </c>
      <c r="B519" s="1" t="s">
        <v>156</v>
      </c>
      <c r="C519" s="73">
        <v>267000</v>
      </c>
      <c r="D519" s="44"/>
      <c r="E519" s="32">
        <f t="shared" si="47"/>
        <v>2688000</v>
      </c>
      <c r="F519" s="34">
        <v>20000</v>
      </c>
      <c r="G519" s="103">
        <v>1</v>
      </c>
      <c r="H519" s="3">
        <f t="shared" si="46"/>
        <v>20000</v>
      </c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45619</v>
      </c>
      <c r="B520" s="1" t="s">
        <v>133</v>
      </c>
      <c r="C520" s="73">
        <v>2020000</v>
      </c>
      <c r="D520" s="44"/>
      <c r="E520" s="32">
        <f t="shared" si="47"/>
        <v>4708000</v>
      </c>
      <c r="F520" s="34">
        <v>10000</v>
      </c>
      <c r="G520" s="103">
        <v>2</v>
      </c>
      <c r="H520" s="3">
        <f t="shared" si="46"/>
        <v>20000</v>
      </c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45619</v>
      </c>
      <c r="B521" s="1" t="s">
        <v>163</v>
      </c>
      <c r="C521" s="73">
        <v>191000</v>
      </c>
      <c r="D521" s="44"/>
      <c r="E521" s="32">
        <f t="shared" si="47"/>
        <v>4899000</v>
      </c>
      <c r="F521" s="34">
        <v>5000</v>
      </c>
      <c r="G521" s="103">
        <v>1</v>
      </c>
      <c r="H521" s="3">
        <f t="shared" si="46"/>
        <v>5000</v>
      </c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45619</v>
      </c>
      <c r="B522" s="1" t="s">
        <v>146</v>
      </c>
      <c r="C522" s="73">
        <v>5265000</v>
      </c>
      <c r="D522" s="44"/>
      <c r="E522" s="32">
        <f t="shared" si="47"/>
        <v>10164000</v>
      </c>
      <c r="F522" s="34">
        <v>2000</v>
      </c>
      <c r="G522" s="103">
        <f>1+1</f>
        <v>2</v>
      </c>
      <c r="H522" s="3">
        <f t="shared" si="46"/>
        <v>4000</v>
      </c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45619</v>
      </c>
      <c r="B523" s="1" t="s">
        <v>166</v>
      </c>
      <c r="C523" s="86"/>
      <c r="D523" s="44"/>
      <c r="E523" s="32">
        <f t="shared" si="47"/>
        <v>10164000</v>
      </c>
      <c r="F523" s="34">
        <v>1000</v>
      </c>
      <c r="G523" s="103"/>
      <c r="H523" s="3">
        <f t="shared" si="46"/>
        <v>0</v>
      </c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45619</v>
      </c>
      <c r="B524" s="1" t="s">
        <v>165</v>
      </c>
      <c r="C524" s="86"/>
      <c r="D524" s="44"/>
      <c r="E524" s="32">
        <f t="shared" si="47"/>
        <v>10164000</v>
      </c>
      <c r="F524" s="34">
        <v>500</v>
      </c>
      <c r="G524" s="103">
        <v>2</v>
      </c>
      <c r="H524" s="3">
        <f t="shared" si="46"/>
        <v>1000</v>
      </c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45619</v>
      </c>
      <c r="B525" s="1" t="s">
        <v>164</v>
      </c>
      <c r="C525" s="86">
        <v>1661000</v>
      </c>
      <c r="D525" s="44"/>
      <c r="E525" s="32">
        <f t="shared" si="47"/>
        <v>11825000</v>
      </c>
      <c r="F525" s="34">
        <v>200</v>
      </c>
      <c r="G525" s="103"/>
      <c r="H525" s="3">
        <f t="shared" si="46"/>
        <v>0</v>
      </c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45619</v>
      </c>
      <c r="B526" s="1" t="s">
        <v>145</v>
      </c>
      <c r="C526" s="86"/>
      <c r="D526" s="44"/>
      <c r="E526" s="32">
        <f t="shared" si="47"/>
        <v>11825000</v>
      </c>
      <c r="F526" s="34">
        <v>100</v>
      </c>
      <c r="G526" s="104"/>
      <c r="H526" s="3">
        <f t="shared" si="46"/>
        <v>0</v>
      </c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45619</v>
      </c>
      <c r="B527" s="1" t="s">
        <v>143</v>
      </c>
      <c r="C527" s="86"/>
      <c r="D527" s="44">
        <f>SUM(C518:C527)</f>
        <v>10525000</v>
      </c>
      <c r="E527" s="32">
        <f t="shared" si="47"/>
        <v>1300000</v>
      </c>
      <c r="F527" s="1"/>
      <c r="G527" s="1"/>
      <c r="H527" s="1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45619</v>
      </c>
      <c r="B528" s="1" t="s">
        <v>160</v>
      </c>
      <c r="C528" s="86">
        <v>-8000</v>
      </c>
      <c r="D528" s="46"/>
      <c r="E528" s="32">
        <f t="shared" si="47"/>
        <v>1292000</v>
      </c>
      <c r="F528" s="1"/>
      <c r="G528" s="1"/>
      <c r="H528" s="1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45619</v>
      </c>
      <c r="B529" s="1"/>
      <c r="C529" s="86"/>
      <c r="D529" s="44"/>
      <c r="E529" s="32">
        <f t="shared" si="47"/>
        <v>1292000</v>
      </c>
      <c r="G529" s="34"/>
      <c r="H529" s="34"/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A530" s="47">
        <v>45619</v>
      </c>
      <c r="B530" s="31" t="s">
        <v>139</v>
      </c>
      <c r="C530" s="86"/>
      <c r="D530" s="44">
        <f>252000-8000</f>
        <v>244000</v>
      </c>
      <c r="E530" s="32">
        <f t="shared" si="47"/>
        <v>1048000</v>
      </c>
      <c r="G530" s="34"/>
      <c r="H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A531" s="47">
        <v>45619</v>
      </c>
      <c r="B531" s="47" t="s">
        <v>152</v>
      </c>
      <c r="C531" s="87"/>
      <c r="D531" s="44"/>
      <c r="E531" s="32">
        <f t="shared" si="47"/>
        <v>1048000</v>
      </c>
      <c r="G531" s="34"/>
      <c r="H531" s="34"/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45619</v>
      </c>
      <c r="B532" s="82"/>
      <c r="C532" s="87"/>
      <c r="D532" s="44"/>
      <c r="E532" s="32">
        <f t="shared" si="47"/>
        <v>1048000</v>
      </c>
      <c r="G532" s="34"/>
      <c r="H532" s="34"/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A533" s="47">
        <v>45619</v>
      </c>
      <c r="C533" s="87"/>
      <c r="D533" s="44"/>
      <c r="E533" s="32">
        <f t="shared" si="47"/>
        <v>1048000</v>
      </c>
      <c r="G533" s="34"/>
      <c r="H533" s="34"/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45619</v>
      </c>
      <c r="B534" s="1"/>
      <c r="C534" s="88"/>
      <c r="D534" s="36"/>
      <c r="E534" s="32">
        <f t="shared" si="47"/>
        <v>1048000</v>
      </c>
      <c r="F534" s="1"/>
      <c r="G534" s="34"/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45619</v>
      </c>
      <c r="B535" s="1" t="s">
        <v>143</v>
      </c>
      <c r="C535" s="89"/>
      <c r="D535" s="44"/>
      <c r="E535" s="32">
        <f t="shared" si="47"/>
        <v>1048000</v>
      </c>
      <c r="F535" s="1"/>
      <c r="G535" s="34"/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45619</v>
      </c>
      <c r="B536" s="47"/>
      <c r="C536" s="90"/>
      <c r="D536" s="44"/>
      <c r="E536" s="32">
        <f t="shared" si="47"/>
        <v>1048000</v>
      </c>
      <c r="F536" s="43"/>
      <c r="G536" s="34"/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45619</v>
      </c>
      <c r="B537" s="45" t="s">
        <v>136</v>
      </c>
      <c r="C537" s="86">
        <v>2000</v>
      </c>
      <c r="D537" s="44">
        <v>750000</v>
      </c>
      <c r="E537" s="32">
        <f t="shared" si="47"/>
        <v>300000</v>
      </c>
      <c r="F537" s="3">
        <f>SUM(H516:H533)</f>
        <v>300000</v>
      </c>
      <c r="G537" s="49">
        <f>300000-F537</f>
        <v>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45619</v>
      </c>
      <c r="B538" s="4" t="s">
        <v>161</v>
      </c>
      <c r="C538" s="86">
        <f>SUM(C517:C537)</f>
        <v>11519000</v>
      </c>
      <c r="D538" s="33">
        <f>SUM(D519:D537)</f>
        <v>11519000</v>
      </c>
      <c r="E538" s="32"/>
      <c r="F538" s="25">
        <f>F537-E537</f>
        <v>0</v>
      </c>
      <c r="G538" s="34"/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B539" s="1"/>
      <c r="C539" s="86"/>
      <c r="D539" s="44"/>
      <c r="E539" s="32"/>
      <c r="F539" s="34"/>
      <c r="G539" s="103"/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45620</v>
      </c>
      <c r="B540" s="1" t="s">
        <v>140</v>
      </c>
      <c r="C540" s="65"/>
      <c r="D540" s="8"/>
      <c r="E540" s="8">
        <v>300000</v>
      </c>
      <c r="F540" s="49">
        <v>100000</v>
      </c>
      <c r="G540" s="103">
        <v>1</v>
      </c>
      <c r="H540" s="3">
        <f>G540*F540</f>
        <v>100000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45620</v>
      </c>
      <c r="B541" s="31" t="s">
        <v>138</v>
      </c>
      <c r="C541" s="73">
        <v>321000</v>
      </c>
      <c r="D541" s="44"/>
      <c r="E541" s="32">
        <f>E540+C541-D541</f>
        <v>621000</v>
      </c>
      <c r="F541" s="3">
        <v>75000</v>
      </c>
      <c r="G541" s="103"/>
      <c r="H541" s="3">
        <f t="shared" ref="H541:H550" si="48">G541*F541</f>
        <v>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45620</v>
      </c>
      <c r="B542" s="1" t="s">
        <v>155</v>
      </c>
      <c r="C542" s="73">
        <v>803000</v>
      </c>
      <c r="D542" s="44"/>
      <c r="E542" s="32">
        <f t="shared" ref="E542:E561" si="49">E541+C542-D542</f>
        <v>1424000</v>
      </c>
      <c r="F542" s="34">
        <v>50000</v>
      </c>
      <c r="G542" s="103"/>
      <c r="H542" s="3">
        <f t="shared" si="48"/>
        <v>0</v>
      </c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45620</v>
      </c>
      <c r="B543" s="1" t="s">
        <v>156</v>
      </c>
      <c r="C543" s="73">
        <v>793000</v>
      </c>
      <c r="D543" s="44"/>
      <c r="E543" s="32">
        <f t="shared" si="49"/>
        <v>2217000</v>
      </c>
      <c r="F543" s="34">
        <v>20000</v>
      </c>
      <c r="G543" s="103">
        <v>1</v>
      </c>
      <c r="H543" s="3">
        <f t="shared" si="48"/>
        <v>20000</v>
      </c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45620</v>
      </c>
      <c r="B544" s="1" t="s">
        <v>133</v>
      </c>
      <c r="C544" s="73">
        <v>3066000</v>
      </c>
      <c r="D544" s="44"/>
      <c r="E544" s="32">
        <f t="shared" si="49"/>
        <v>5283000</v>
      </c>
      <c r="F544" s="34">
        <v>10000</v>
      </c>
      <c r="G544" s="103">
        <v>8</v>
      </c>
      <c r="H544" s="3">
        <f t="shared" si="48"/>
        <v>80000</v>
      </c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45620</v>
      </c>
      <c r="B545" s="1" t="s">
        <v>163</v>
      </c>
      <c r="C545" s="73">
        <v>100000</v>
      </c>
      <c r="D545" s="44"/>
      <c r="E545" s="32">
        <f t="shared" si="49"/>
        <v>5383000</v>
      </c>
      <c r="F545" s="34">
        <v>5000</v>
      </c>
      <c r="G545" s="103">
        <f>5+2</f>
        <v>7</v>
      </c>
      <c r="H545" s="3">
        <f t="shared" si="48"/>
        <v>35000</v>
      </c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45620</v>
      </c>
      <c r="B546" s="1" t="s">
        <v>146</v>
      </c>
      <c r="C546" s="73">
        <v>5392000</v>
      </c>
      <c r="D546" s="44"/>
      <c r="E546" s="32">
        <f t="shared" si="49"/>
        <v>10775000</v>
      </c>
      <c r="F546" s="34">
        <v>2000</v>
      </c>
      <c r="G546" s="103">
        <v>6</v>
      </c>
      <c r="H546" s="3">
        <f t="shared" si="48"/>
        <v>12000</v>
      </c>
      <c r="I546" s="29"/>
      <c r="J546" s="55"/>
      <c r="K546" s="32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45620</v>
      </c>
      <c r="B547" s="1" t="s">
        <v>166</v>
      </c>
      <c r="C547" s="86"/>
      <c r="D547" s="44"/>
      <c r="E547" s="32">
        <f t="shared" si="49"/>
        <v>10775000</v>
      </c>
      <c r="F547" s="34">
        <v>1000</v>
      </c>
      <c r="G547" s="103">
        <v>1</v>
      </c>
      <c r="H547" s="3">
        <f t="shared" si="48"/>
        <v>1000</v>
      </c>
      <c r="I547" s="29"/>
      <c r="J547" s="55"/>
      <c r="K547" s="32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45620</v>
      </c>
      <c r="B548" s="1" t="s">
        <v>165</v>
      </c>
      <c r="C548" s="86"/>
      <c r="D548" s="44"/>
      <c r="E548" s="32">
        <f t="shared" si="49"/>
        <v>10775000</v>
      </c>
      <c r="F548" s="34">
        <v>500</v>
      </c>
      <c r="G548" s="103">
        <f>2+2</f>
        <v>4</v>
      </c>
      <c r="H548" s="3">
        <f t="shared" si="48"/>
        <v>2000</v>
      </c>
      <c r="I548" s="29"/>
      <c r="J548" s="55"/>
      <c r="K548" s="32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45620</v>
      </c>
      <c r="B549" s="1" t="s">
        <v>164</v>
      </c>
      <c r="C549" s="86">
        <v>1823000</v>
      </c>
      <c r="D549" s="44"/>
      <c r="E549" s="32">
        <f t="shared" si="49"/>
        <v>12598000</v>
      </c>
      <c r="F549" s="34">
        <v>200</v>
      </c>
      <c r="G549" s="103"/>
      <c r="H549" s="3">
        <f t="shared" si="48"/>
        <v>0</v>
      </c>
      <c r="I549" s="29"/>
      <c r="J549" s="55"/>
      <c r="K549" s="32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45620</v>
      </c>
      <c r="B550" s="1" t="s">
        <v>145</v>
      </c>
      <c r="C550" s="86"/>
      <c r="D550" s="44"/>
      <c r="E550" s="32">
        <f t="shared" si="49"/>
        <v>12598000</v>
      </c>
      <c r="F550" s="34">
        <v>100</v>
      </c>
      <c r="G550" s="104"/>
      <c r="H550" s="3">
        <f t="shared" si="48"/>
        <v>0</v>
      </c>
      <c r="I550" s="29"/>
      <c r="J550" s="55"/>
      <c r="K550" s="32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45620</v>
      </c>
      <c r="B551" s="1" t="s">
        <v>143</v>
      </c>
      <c r="C551" s="86"/>
      <c r="D551" s="44">
        <f>SUM(C542:C551)</f>
        <v>11977000</v>
      </c>
      <c r="E551" s="32">
        <f t="shared" si="49"/>
        <v>621000</v>
      </c>
      <c r="F551" s="1"/>
      <c r="G551" s="1"/>
      <c r="H551" s="1"/>
      <c r="I551" s="29"/>
      <c r="J551" s="55"/>
      <c r="K551" s="32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45620</v>
      </c>
      <c r="B552" s="1" t="s">
        <v>160</v>
      </c>
      <c r="C552" s="86">
        <v>-13000</v>
      </c>
      <c r="D552" s="46"/>
      <c r="E552" s="32">
        <f t="shared" si="49"/>
        <v>608000</v>
      </c>
      <c r="F552" s="1"/>
      <c r="G552" s="1"/>
      <c r="H552" s="1"/>
      <c r="I552" s="29"/>
      <c r="J552" s="55"/>
      <c r="K552" s="32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45620</v>
      </c>
      <c r="B553" s="1"/>
      <c r="C553" s="86"/>
      <c r="D553" s="44"/>
      <c r="E553" s="32">
        <f t="shared" si="49"/>
        <v>608000</v>
      </c>
      <c r="G553" s="34"/>
      <c r="H553" s="34"/>
      <c r="I553" s="29"/>
      <c r="J553" s="55"/>
      <c r="K553" s="32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A554" s="47">
        <v>45620</v>
      </c>
      <c r="B554" s="31" t="s">
        <v>139</v>
      </c>
      <c r="C554" s="86"/>
      <c r="D554" s="44">
        <f>482300-13000</f>
        <v>469300</v>
      </c>
      <c r="E554" s="32">
        <f t="shared" si="49"/>
        <v>138700</v>
      </c>
      <c r="G554" s="34"/>
      <c r="H554" s="34"/>
      <c r="I554" s="29"/>
      <c r="J554" s="55"/>
      <c r="K554" s="32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45620</v>
      </c>
      <c r="B555" s="47" t="s">
        <v>152</v>
      </c>
      <c r="C555" s="87"/>
      <c r="D555" s="44"/>
      <c r="E555" s="32">
        <f t="shared" si="49"/>
        <v>138700</v>
      </c>
      <c r="G555" s="34"/>
      <c r="H555" s="34"/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A556" s="47">
        <v>45620</v>
      </c>
      <c r="B556" s="82"/>
      <c r="C556" s="87"/>
      <c r="D556" s="44"/>
      <c r="E556" s="32">
        <f t="shared" si="49"/>
        <v>138700</v>
      </c>
      <c r="G556" s="34"/>
      <c r="H556" s="34"/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45620</v>
      </c>
      <c r="C557" s="87"/>
      <c r="D557" s="44"/>
      <c r="E557" s="32">
        <f t="shared" si="49"/>
        <v>138700</v>
      </c>
      <c r="G557" s="34"/>
      <c r="H557" s="34"/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45620</v>
      </c>
      <c r="B558" s="1"/>
      <c r="C558" s="88"/>
      <c r="D558" s="36"/>
      <c r="E558" s="32">
        <f t="shared" si="49"/>
        <v>138700</v>
      </c>
      <c r="F558" s="1"/>
      <c r="G558" s="34"/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45620</v>
      </c>
      <c r="B559" s="1" t="s">
        <v>143</v>
      </c>
      <c r="C559" s="89"/>
      <c r="D559" s="44"/>
      <c r="E559" s="32">
        <f t="shared" si="49"/>
        <v>138700</v>
      </c>
      <c r="F559" s="1"/>
      <c r="G559" s="34"/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45620</v>
      </c>
      <c r="B560" s="47"/>
      <c r="C560" s="90"/>
      <c r="D560" s="44"/>
      <c r="E560" s="32">
        <f t="shared" si="49"/>
        <v>138700</v>
      </c>
      <c r="F560" s="43"/>
      <c r="G560" s="34"/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45620</v>
      </c>
      <c r="B561" s="45" t="s">
        <v>136</v>
      </c>
      <c r="C561" s="86">
        <v>111000</v>
      </c>
      <c r="D561" s="44"/>
      <c r="E561" s="32">
        <f t="shared" si="49"/>
        <v>249700</v>
      </c>
      <c r="F561" s="3">
        <f>SUM(H540:H557)</f>
        <v>250000</v>
      </c>
      <c r="G561" s="49">
        <f>250000-F561</f>
        <v>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45620</v>
      </c>
      <c r="B562" s="4" t="s">
        <v>161</v>
      </c>
      <c r="C562" s="86">
        <f>SUM(C541:C561)</f>
        <v>12396000</v>
      </c>
      <c r="D562" s="33">
        <f>SUM(D543:D561)</f>
        <v>12446300</v>
      </c>
      <c r="E562" s="32"/>
      <c r="F562" s="25">
        <f>F561-E561</f>
        <v>300</v>
      </c>
      <c r="G562" s="34"/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B563" s="1"/>
      <c r="C563" s="86"/>
      <c r="D563" s="44"/>
      <c r="E563" s="32"/>
      <c r="F563" s="34"/>
      <c r="G563" s="103"/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45621</v>
      </c>
      <c r="B564" s="1" t="s">
        <v>140</v>
      </c>
      <c r="C564" s="65"/>
      <c r="D564" s="8"/>
      <c r="E564" s="8">
        <v>250000</v>
      </c>
      <c r="F564" s="49">
        <v>100000</v>
      </c>
      <c r="G564" s="103">
        <v>1</v>
      </c>
      <c r="H564" s="3">
        <f>G564*F564</f>
        <v>100000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45621</v>
      </c>
      <c r="B565" s="31" t="s">
        <v>138</v>
      </c>
      <c r="C565" s="73">
        <v>244000</v>
      </c>
      <c r="D565" s="44"/>
      <c r="E565" s="32">
        <f>E564+C565-D565</f>
        <v>494000</v>
      </c>
      <c r="F565" s="3">
        <v>75000</v>
      </c>
      <c r="G565" s="103"/>
      <c r="H565" s="3">
        <f t="shared" ref="H565:H574" si="50">G565*F565</f>
        <v>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45621</v>
      </c>
      <c r="B566" s="1" t="s">
        <v>155</v>
      </c>
      <c r="C566" s="73"/>
      <c r="D566" s="44"/>
      <c r="E566" s="32">
        <f t="shared" ref="E566:E585" si="51">E565+C566-D566</f>
        <v>494000</v>
      </c>
      <c r="F566" s="34">
        <v>50000</v>
      </c>
      <c r="G566" s="103">
        <v>2</v>
      </c>
      <c r="H566" s="3">
        <f t="shared" si="50"/>
        <v>100000</v>
      </c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45621</v>
      </c>
      <c r="B567" s="1" t="s">
        <v>156</v>
      </c>
      <c r="C567" s="73">
        <v>332000</v>
      </c>
      <c r="D567" s="44"/>
      <c r="E567" s="32">
        <f t="shared" si="51"/>
        <v>826000</v>
      </c>
      <c r="F567" s="34">
        <v>20000</v>
      </c>
      <c r="G567" s="103"/>
      <c r="H567" s="3">
        <f t="shared" si="50"/>
        <v>0</v>
      </c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45621</v>
      </c>
      <c r="B568" s="1" t="s">
        <v>133</v>
      </c>
      <c r="C568" s="73">
        <v>1661000</v>
      </c>
      <c r="D568" s="44"/>
      <c r="E568" s="32">
        <f t="shared" si="51"/>
        <v>2487000</v>
      </c>
      <c r="F568" s="34">
        <v>10000</v>
      </c>
      <c r="G568" s="103"/>
      <c r="H568" s="3">
        <f t="shared" si="50"/>
        <v>0</v>
      </c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45621</v>
      </c>
      <c r="B569" s="1" t="s">
        <v>163</v>
      </c>
      <c r="C569" s="73"/>
      <c r="D569" s="44"/>
      <c r="E569" s="32">
        <f t="shared" si="51"/>
        <v>2487000</v>
      </c>
      <c r="F569" s="34">
        <v>5000</v>
      </c>
      <c r="G569" s="103">
        <f>5+3</f>
        <v>8</v>
      </c>
      <c r="H569" s="3">
        <f t="shared" si="50"/>
        <v>40000</v>
      </c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45621</v>
      </c>
      <c r="B570" s="1" t="s">
        <v>146</v>
      </c>
      <c r="C570" s="73">
        <v>3117000</v>
      </c>
      <c r="D570" s="44"/>
      <c r="E570" s="32">
        <f t="shared" si="51"/>
        <v>5604000</v>
      </c>
      <c r="F570" s="34">
        <v>2000</v>
      </c>
      <c r="G570" s="103">
        <f>1+2</f>
        <v>3</v>
      </c>
      <c r="H570" s="3">
        <f t="shared" si="50"/>
        <v>6000</v>
      </c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45621</v>
      </c>
      <c r="B571" s="1" t="s">
        <v>166</v>
      </c>
      <c r="C571" s="86"/>
      <c r="D571" s="44"/>
      <c r="E571" s="32">
        <f t="shared" si="51"/>
        <v>5604000</v>
      </c>
      <c r="F571" s="34">
        <v>1000</v>
      </c>
      <c r="G571" s="103">
        <v>2</v>
      </c>
      <c r="H571" s="3">
        <f t="shared" si="50"/>
        <v>2000</v>
      </c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45621</v>
      </c>
      <c r="B572" s="1" t="s">
        <v>165</v>
      </c>
      <c r="C572" s="86"/>
      <c r="D572" s="44"/>
      <c r="E572" s="32">
        <f t="shared" si="51"/>
        <v>5604000</v>
      </c>
      <c r="F572" s="34">
        <v>500</v>
      </c>
      <c r="G572" s="103">
        <v>4</v>
      </c>
      <c r="H572" s="3">
        <f t="shared" si="50"/>
        <v>2000</v>
      </c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45621</v>
      </c>
      <c r="B573" s="1" t="s">
        <v>164</v>
      </c>
      <c r="C573" s="86">
        <v>1216000</v>
      </c>
      <c r="D573" s="44"/>
      <c r="E573" s="32">
        <f t="shared" si="51"/>
        <v>6820000</v>
      </c>
      <c r="F573" s="34">
        <v>200</v>
      </c>
      <c r="G573" s="103"/>
      <c r="H573" s="3">
        <f t="shared" si="50"/>
        <v>0</v>
      </c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45621</v>
      </c>
      <c r="B574" s="1" t="s">
        <v>145</v>
      </c>
      <c r="C574" s="86"/>
      <c r="D574" s="44"/>
      <c r="E574" s="32">
        <f t="shared" si="51"/>
        <v>6820000</v>
      </c>
      <c r="F574" s="34">
        <v>100</v>
      </c>
      <c r="G574" s="104"/>
      <c r="H574" s="3">
        <f t="shared" si="50"/>
        <v>0</v>
      </c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45621</v>
      </c>
      <c r="B575" s="1" t="s">
        <v>143</v>
      </c>
      <c r="C575" s="86"/>
      <c r="D575" s="44">
        <f>SUM(C566:C575)</f>
        <v>6326000</v>
      </c>
      <c r="E575" s="32">
        <f t="shared" si="51"/>
        <v>494000</v>
      </c>
      <c r="F575" s="1"/>
      <c r="G575" s="1"/>
      <c r="H575" s="1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45621</v>
      </c>
      <c r="B576" s="1" t="s">
        <v>160</v>
      </c>
      <c r="C576" s="86"/>
      <c r="D576" s="46"/>
      <c r="E576" s="32">
        <f t="shared" si="51"/>
        <v>494000</v>
      </c>
      <c r="F576" s="1"/>
      <c r="G576" s="1"/>
      <c r="H576" s="1"/>
      <c r="I576" s="29"/>
      <c r="J576" s="55"/>
      <c r="K576" s="60"/>
      <c r="L576" s="60"/>
      <c r="M576" s="60"/>
      <c r="N576" s="60"/>
    </row>
    <row r="577" spans="1:14" ht="15" customHeight="1" x14ac:dyDescent="0.25">
      <c r="A577" s="47">
        <v>45621</v>
      </c>
      <c r="B577" s="1"/>
      <c r="C577" s="86"/>
      <c r="D577" s="44"/>
      <c r="E577" s="32">
        <f t="shared" si="51"/>
        <v>494000</v>
      </c>
      <c r="F577" s="3"/>
      <c r="G577" s="34"/>
      <c r="H577" s="34"/>
      <c r="I577" s="29"/>
      <c r="J577" s="55"/>
      <c r="K577" s="60"/>
      <c r="L577" s="60"/>
      <c r="M577" s="60"/>
      <c r="N577" s="60"/>
    </row>
    <row r="578" spans="1:14" ht="15" customHeight="1" x14ac:dyDescent="0.25">
      <c r="A578" s="47">
        <v>45621</v>
      </c>
      <c r="B578" s="31" t="s">
        <v>139</v>
      </c>
      <c r="C578" s="86"/>
      <c r="D578" s="44">
        <v>263000</v>
      </c>
      <c r="E578" s="32">
        <f t="shared" si="51"/>
        <v>231000</v>
      </c>
      <c r="F578" s="3"/>
      <c r="G578" s="34"/>
      <c r="H578" s="34"/>
      <c r="I578" s="29"/>
      <c r="J578" s="55"/>
      <c r="K578" s="60"/>
      <c r="L578" s="60"/>
      <c r="M578" s="60"/>
      <c r="N578" s="60"/>
    </row>
    <row r="579" spans="1:14" ht="15" customHeight="1" x14ac:dyDescent="0.25">
      <c r="A579" s="47">
        <v>45621</v>
      </c>
      <c r="B579" s="47" t="s">
        <v>152</v>
      </c>
      <c r="C579" s="87"/>
      <c r="D579" s="44"/>
      <c r="E579" s="32">
        <f t="shared" si="51"/>
        <v>231000</v>
      </c>
      <c r="F579" s="3"/>
      <c r="G579" s="34"/>
      <c r="H579" s="34"/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45621</v>
      </c>
      <c r="B580" s="82"/>
      <c r="C580" s="87"/>
      <c r="D580" s="44"/>
      <c r="E580" s="32">
        <f t="shared" si="51"/>
        <v>231000</v>
      </c>
      <c r="F580" s="3"/>
      <c r="G580" s="34"/>
      <c r="H580" s="34"/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45621</v>
      </c>
      <c r="B581" s="3"/>
      <c r="C581" s="87"/>
      <c r="D581" s="44"/>
      <c r="E581" s="32">
        <f t="shared" si="51"/>
        <v>231000</v>
      </c>
      <c r="F581" s="3"/>
      <c r="G581" s="34"/>
      <c r="H581" s="34"/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45621</v>
      </c>
      <c r="B582" s="1"/>
      <c r="C582" s="88"/>
      <c r="D582" s="36"/>
      <c r="E582" s="32">
        <f t="shared" si="51"/>
        <v>231000</v>
      </c>
      <c r="F582" s="1"/>
      <c r="G582" s="34"/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45621</v>
      </c>
      <c r="B583" s="1" t="s">
        <v>143</v>
      </c>
      <c r="C583" s="89"/>
      <c r="D583" s="44"/>
      <c r="E583" s="32">
        <f t="shared" si="51"/>
        <v>231000</v>
      </c>
      <c r="F583" s="1"/>
      <c r="G583" s="34"/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45621</v>
      </c>
      <c r="B584" s="47"/>
      <c r="C584" s="90"/>
      <c r="D584" s="44"/>
      <c r="E584" s="32">
        <f t="shared" si="51"/>
        <v>231000</v>
      </c>
      <c r="G584" s="34"/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45621</v>
      </c>
      <c r="B585" s="45" t="s">
        <v>136</v>
      </c>
      <c r="C585" s="86">
        <v>19000</v>
      </c>
      <c r="D585" s="44"/>
      <c r="E585" s="32">
        <f t="shared" si="51"/>
        <v>250000</v>
      </c>
      <c r="F585" s="3">
        <f>SUM(H564:H581)</f>
        <v>250000</v>
      </c>
      <c r="G585" s="49">
        <f>250000-F585</f>
        <v>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45621</v>
      </c>
      <c r="B586" s="4" t="s">
        <v>161</v>
      </c>
      <c r="C586" s="86">
        <f>SUM(C565:C585)</f>
        <v>6589000</v>
      </c>
      <c r="D586" s="33">
        <f>SUM(D567:D585)</f>
        <v>6589000</v>
      </c>
      <c r="E586" s="32"/>
      <c r="F586" s="25">
        <f>F585-E585</f>
        <v>0</v>
      </c>
      <c r="G586" s="34"/>
      <c r="I586" s="29"/>
      <c r="J586" s="55"/>
      <c r="K586" s="60"/>
      <c r="L586" s="60"/>
      <c r="M586" s="60"/>
      <c r="N586" s="60"/>
    </row>
    <row r="587" spans="1:14" ht="15" customHeight="1" x14ac:dyDescent="0.25">
      <c r="B587" s="1"/>
      <c r="C587" s="86"/>
      <c r="D587" s="86"/>
      <c r="E587" s="32"/>
      <c r="F587" s="34"/>
      <c r="G587" s="103"/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45622</v>
      </c>
      <c r="B588" s="1" t="s">
        <v>140</v>
      </c>
      <c r="C588" s="65"/>
      <c r="D588" s="8"/>
      <c r="E588" s="8">
        <v>250000</v>
      </c>
      <c r="F588" s="49">
        <v>100000</v>
      </c>
      <c r="G588" s="103"/>
      <c r="H588" s="3">
        <f>G588*F588</f>
        <v>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45622</v>
      </c>
      <c r="B589" s="31" t="s">
        <v>138</v>
      </c>
      <c r="C589" s="73">
        <v>275000</v>
      </c>
      <c r="D589" s="44"/>
      <c r="E589" s="32">
        <f>E588+C589-D589</f>
        <v>525000</v>
      </c>
      <c r="F589" s="3">
        <v>75000</v>
      </c>
      <c r="G589" s="103"/>
      <c r="H589" s="3">
        <f t="shared" ref="H589:H598" si="52">G589*F589</f>
        <v>0</v>
      </c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45622</v>
      </c>
      <c r="B590" s="1" t="s">
        <v>155</v>
      </c>
      <c r="C590" s="73">
        <v>266000</v>
      </c>
      <c r="D590" s="44"/>
      <c r="E590" s="32">
        <f t="shared" ref="E590:E609" si="53">E589+C590-D590</f>
        <v>791000</v>
      </c>
      <c r="F590" s="34">
        <v>50000</v>
      </c>
      <c r="G590" s="103">
        <v>1</v>
      </c>
      <c r="H590" s="3">
        <f t="shared" si="52"/>
        <v>50000</v>
      </c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45622</v>
      </c>
      <c r="B591" s="1" t="s">
        <v>156</v>
      </c>
      <c r="C591" s="73"/>
      <c r="D591" s="44"/>
      <c r="E591" s="32">
        <f t="shared" si="53"/>
        <v>791000</v>
      </c>
      <c r="F591" s="34">
        <v>20000</v>
      </c>
      <c r="G591" s="103"/>
      <c r="H591" s="3">
        <f t="shared" si="52"/>
        <v>0</v>
      </c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45622</v>
      </c>
      <c r="B592" s="1" t="s">
        <v>133</v>
      </c>
      <c r="C592" s="73">
        <v>1620000</v>
      </c>
      <c r="D592" s="44"/>
      <c r="E592" s="32">
        <f t="shared" si="53"/>
        <v>2411000</v>
      </c>
      <c r="F592" s="34">
        <v>10000</v>
      </c>
      <c r="G592" s="103"/>
      <c r="H592" s="3">
        <f t="shared" si="52"/>
        <v>0</v>
      </c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45622</v>
      </c>
      <c r="B593" s="1" t="s">
        <v>163</v>
      </c>
      <c r="C593" s="73">
        <v>100000</v>
      </c>
      <c r="D593" s="44"/>
      <c r="E593" s="32">
        <f t="shared" si="53"/>
        <v>2511000</v>
      </c>
      <c r="F593" s="34">
        <v>5000</v>
      </c>
      <c r="G593" s="103">
        <v>14</v>
      </c>
      <c r="H593" s="3">
        <f t="shared" si="52"/>
        <v>70000</v>
      </c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45622</v>
      </c>
      <c r="B594" s="1" t="s">
        <v>146</v>
      </c>
      <c r="C594" s="73">
        <v>3202500</v>
      </c>
      <c r="D594" s="44"/>
      <c r="E594" s="32">
        <f t="shared" si="53"/>
        <v>5713500</v>
      </c>
      <c r="F594" s="34">
        <v>2000</v>
      </c>
      <c r="G594" s="103">
        <v>6</v>
      </c>
      <c r="H594" s="3">
        <f t="shared" si="52"/>
        <v>12000</v>
      </c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45622</v>
      </c>
      <c r="B595" s="1" t="s">
        <v>166</v>
      </c>
      <c r="C595" s="86"/>
      <c r="D595" s="44"/>
      <c r="E595" s="32">
        <f t="shared" si="53"/>
        <v>5713500</v>
      </c>
      <c r="F595" s="34">
        <v>1000</v>
      </c>
      <c r="G595" s="103">
        <v>2</v>
      </c>
      <c r="H595" s="3">
        <f t="shared" si="52"/>
        <v>2000</v>
      </c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45622</v>
      </c>
      <c r="B596" s="1" t="s">
        <v>165</v>
      </c>
      <c r="C596" s="86"/>
      <c r="D596" s="44"/>
      <c r="E596" s="32">
        <f t="shared" si="53"/>
        <v>5713500</v>
      </c>
      <c r="F596" s="34">
        <v>500</v>
      </c>
      <c r="G596" s="103">
        <v>3</v>
      </c>
      <c r="H596" s="3">
        <f t="shared" si="52"/>
        <v>1500</v>
      </c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45622</v>
      </c>
      <c r="B597" s="1" t="s">
        <v>164</v>
      </c>
      <c r="C597" s="86">
        <v>3911000</v>
      </c>
      <c r="D597" s="44"/>
      <c r="E597" s="32">
        <f t="shared" si="53"/>
        <v>9624500</v>
      </c>
      <c r="F597" s="34">
        <v>200</v>
      </c>
      <c r="G597" s="103">
        <v>2</v>
      </c>
      <c r="H597" s="3">
        <f t="shared" si="52"/>
        <v>400</v>
      </c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45622</v>
      </c>
      <c r="B598" s="1" t="s">
        <v>145</v>
      </c>
      <c r="C598" s="86"/>
      <c r="D598" s="44"/>
      <c r="E598" s="32">
        <f t="shared" si="53"/>
        <v>9624500</v>
      </c>
      <c r="F598" s="34">
        <v>100</v>
      </c>
      <c r="G598" s="104"/>
      <c r="H598" s="3">
        <f t="shared" si="52"/>
        <v>0</v>
      </c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45622</v>
      </c>
      <c r="B599" s="1" t="s">
        <v>143</v>
      </c>
      <c r="C599" s="86"/>
      <c r="D599" s="44">
        <f>SUM(C590:C599)</f>
        <v>9099500</v>
      </c>
      <c r="E599" s="32">
        <f t="shared" si="53"/>
        <v>525000</v>
      </c>
      <c r="F599" s="1"/>
      <c r="G599" s="1"/>
      <c r="H599" s="1"/>
      <c r="I599" s="29"/>
      <c r="J599" s="55"/>
      <c r="K599" s="59"/>
      <c r="L599" s="59"/>
      <c r="M599" s="59"/>
      <c r="N599" s="60"/>
    </row>
    <row r="600" spans="1:14" ht="15" customHeight="1" x14ac:dyDescent="0.25">
      <c r="A600" s="47">
        <v>45622</v>
      </c>
      <c r="B600" s="1" t="s">
        <v>160</v>
      </c>
      <c r="C600" s="86">
        <f>-25000-37000</f>
        <v>-62000</v>
      </c>
      <c r="D600" s="46"/>
      <c r="E600" s="32">
        <f t="shared" si="53"/>
        <v>463000</v>
      </c>
      <c r="F600" s="1"/>
      <c r="G600" s="1"/>
      <c r="H600" s="1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45622</v>
      </c>
      <c r="B601" s="1"/>
      <c r="C601" s="86"/>
      <c r="D601" s="44"/>
      <c r="E601" s="32">
        <f t="shared" si="53"/>
        <v>463000</v>
      </c>
      <c r="F601" s="3"/>
      <c r="G601" s="34"/>
      <c r="H601" s="34"/>
      <c r="I601" s="29"/>
      <c r="J601" s="55"/>
      <c r="K601" s="60"/>
      <c r="L601" s="60"/>
      <c r="M601" s="60"/>
      <c r="N601" s="60"/>
    </row>
    <row r="602" spans="1:14" ht="15" customHeight="1" x14ac:dyDescent="0.25">
      <c r="A602" s="47">
        <v>45622</v>
      </c>
      <c r="B602" s="31" t="s">
        <v>139</v>
      </c>
      <c r="C602" s="86"/>
      <c r="D602" s="44">
        <f>389100-25000-37000</f>
        <v>327100</v>
      </c>
      <c r="E602" s="32">
        <f t="shared" si="53"/>
        <v>135900</v>
      </c>
      <c r="F602" s="3"/>
      <c r="G602" s="34"/>
      <c r="H602" s="34"/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45622</v>
      </c>
      <c r="B603" s="47" t="s">
        <v>152</v>
      </c>
      <c r="C603" s="87"/>
      <c r="D603" s="44"/>
      <c r="E603" s="32">
        <f t="shared" si="53"/>
        <v>135900</v>
      </c>
      <c r="F603" s="3"/>
      <c r="G603" s="34"/>
      <c r="H603" s="34"/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45622</v>
      </c>
      <c r="B604" s="82"/>
      <c r="C604" s="87"/>
      <c r="D604" s="44"/>
      <c r="E604" s="32">
        <f t="shared" si="53"/>
        <v>135900</v>
      </c>
      <c r="F604" s="3"/>
      <c r="G604" s="34"/>
      <c r="H604" s="34"/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45622</v>
      </c>
      <c r="B605" s="3"/>
      <c r="C605" s="87"/>
      <c r="D605" s="44"/>
      <c r="E605" s="32">
        <f t="shared" si="53"/>
        <v>135900</v>
      </c>
      <c r="F605" s="3"/>
      <c r="G605" s="34"/>
      <c r="H605" s="34"/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45622</v>
      </c>
      <c r="B606" s="1"/>
      <c r="C606" s="88"/>
      <c r="D606" s="36"/>
      <c r="E606" s="32">
        <f t="shared" si="53"/>
        <v>135900</v>
      </c>
      <c r="F606" s="1"/>
      <c r="G606" s="34"/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45622</v>
      </c>
      <c r="B607" s="1" t="s">
        <v>143</v>
      </c>
      <c r="C607" s="89"/>
      <c r="D607" s="44"/>
      <c r="E607" s="32">
        <f t="shared" si="53"/>
        <v>135900</v>
      </c>
      <c r="F607" s="1"/>
      <c r="G607" s="34"/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45622</v>
      </c>
      <c r="B608" s="47"/>
      <c r="C608" s="90"/>
      <c r="D608" s="44"/>
      <c r="E608" s="32">
        <f t="shared" si="53"/>
        <v>135900</v>
      </c>
      <c r="G608" s="34"/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45622</v>
      </c>
      <c r="B609" s="45" t="s">
        <v>136</v>
      </c>
      <c r="C609" s="86"/>
      <c r="D609" s="44"/>
      <c r="E609" s="32">
        <f t="shared" si="53"/>
        <v>135900</v>
      </c>
      <c r="F609" s="3">
        <f>SUM(H588:H605)</f>
        <v>135900</v>
      </c>
      <c r="G609" s="49">
        <f>250000-F609</f>
        <v>114100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45622</v>
      </c>
      <c r="B610" s="4" t="s">
        <v>161</v>
      </c>
      <c r="C610" s="86">
        <f>SUM(C589:C609)</f>
        <v>9312500</v>
      </c>
      <c r="D610" s="33">
        <f>SUM(D591:D609)</f>
        <v>9426600</v>
      </c>
      <c r="E610" s="32"/>
      <c r="F610" s="25">
        <f>F609-E609</f>
        <v>0</v>
      </c>
      <c r="G610" s="34"/>
      <c r="I610" s="29"/>
      <c r="J610" s="55"/>
      <c r="K610" s="60"/>
      <c r="L610" s="60"/>
      <c r="M610" s="60"/>
    </row>
    <row r="611" spans="1:13" ht="15" customHeight="1" x14ac:dyDescent="0.25">
      <c r="B611" s="1"/>
      <c r="C611" s="86"/>
      <c r="D611" s="44"/>
      <c r="E611" s="32"/>
      <c r="F611" s="34"/>
      <c r="G611" s="103"/>
      <c r="I611" s="29"/>
      <c r="J611" s="55"/>
      <c r="K611" s="60"/>
      <c r="L611" s="60"/>
      <c r="M611" s="60"/>
    </row>
    <row r="612" spans="1:13" ht="15" customHeight="1" x14ac:dyDescent="0.25">
      <c r="A612" s="47">
        <v>45623</v>
      </c>
      <c r="B612" s="1" t="s">
        <v>140</v>
      </c>
      <c r="C612" s="65"/>
      <c r="D612" s="8"/>
      <c r="E612" s="8">
        <v>135900</v>
      </c>
      <c r="F612" s="49">
        <v>100000</v>
      </c>
      <c r="G612" s="103"/>
      <c r="H612" s="3">
        <f>G612*F612</f>
        <v>0</v>
      </c>
      <c r="I612" s="29"/>
      <c r="J612" s="55"/>
      <c r="K612" s="61"/>
      <c r="L612" s="61"/>
      <c r="M612" s="72"/>
    </row>
    <row r="613" spans="1:13" ht="15" customHeight="1" x14ac:dyDescent="0.25">
      <c r="A613" s="47">
        <v>45623</v>
      </c>
      <c r="B613" s="31" t="s">
        <v>138</v>
      </c>
      <c r="C613" s="73">
        <v>332000</v>
      </c>
      <c r="D613" s="44"/>
      <c r="E613" s="32">
        <f>E612+C613-D613</f>
        <v>467900</v>
      </c>
      <c r="F613" s="3">
        <v>75000</v>
      </c>
      <c r="G613" s="103"/>
      <c r="H613" s="3">
        <f t="shared" ref="H613:H622" si="54">G613*F613</f>
        <v>0</v>
      </c>
      <c r="I613" s="29"/>
      <c r="J613" s="55"/>
      <c r="K613" s="60"/>
      <c r="L613" s="60"/>
      <c r="M613" s="70"/>
    </row>
    <row r="614" spans="1:13" ht="15" customHeight="1" x14ac:dyDescent="0.25">
      <c r="A614" s="47">
        <v>45623</v>
      </c>
      <c r="B614" s="1" t="s">
        <v>155</v>
      </c>
      <c r="C614" s="73">
        <v>501000</v>
      </c>
      <c r="D614" s="44"/>
      <c r="E614" s="32">
        <f t="shared" ref="E614:E633" si="55">E613+C614-D614</f>
        <v>968900</v>
      </c>
      <c r="F614" s="34">
        <v>50000</v>
      </c>
      <c r="G614" s="103">
        <v>1</v>
      </c>
      <c r="H614" s="3">
        <f t="shared" si="54"/>
        <v>50000</v>
      </c>
      <c r="I614" s="29"/>
      <c r="J614" s="55"/>
      <c r="K614" s="60"/>
      <c r="L614" s="60"/>
      <c r="M614" s="70"/>
    </row>
    <row r="615" spans="1:13" ht="15" customHeight="1" x14ac:dyDescent="0.25">
      <c r="A615" s="47">
        <v>45623</v>
      </c>
      <c r="B615" s="1" t="s">
        <v>156</v>
      </c>
      <c r="C615" s="73">
        <f>578000</f>
        <v>578000</v>
      </c>
      <c r="D615" s="44"/>
      <c r="E615" s="32">
        <f t="shared" si="55"/>
        <v>1546900</v>
      </c>
      <c r="F615" s="34">
        <v>20000</v>
      </c>
      <c r="G615" s="103">
        <v>3</v>
      </c>
      <c r="H615" s="3">
        <f t="shared" si="54"/>
        <v>60000</v>
      </c>
      <c r="I615" s="29"/>
      <c r="J615" s="55"/>
      <c r="K615" s="59"/>
      <c r="L615" s="60"/>
      <c r="M615" s="70"/>
    </row>
    <row r="616" spans="1:13" ht="15" customHeight="1" x14ac:dyDescent="0.25">
      <c r="A616" s="47">
        <v>45623</v>
      </c>
      <c r="B616" s="1" t="s">
        <v>133</v>
      </c>
      <c r="C616" s="73">
        <v>1722000</v>
      </c>
      <c r="D616" s="44"/>
      <c r="E616" s="32">
        <f t="shared" si="55"/>
        <v>3268900</v>
      </c>
      <c r="F616" s="34">
        <v>10000</v>
      </c>
      <c r="G616" s="103">
        <v>3</v>
      </c>
      <c r="H616" s="3">
        <f t="shared" si="54"/>
        <v>30000</v>
      </c>
      <c r="I616" s="29"/>
      <c r="J616" s="55"/>
      <c r="K616" s="59"/>
      <c r="L616" s="59"/>
      <c r="M616" s="70"/>
    </row>
    <row r="617" spans="1:13" ht="15" customHeight="1" x14ac:dyDescent="0.25">
      <c r="A617" s="47">
        <v>45623</v>
      </c>
      <c r="B617" s="1" t="s">
        <v>163</v>
      </c>
      <c r="C617" s="73"/>
      <c r="D617" s="44"/>
      <c r="E617" s="32">
        <f t="shared" si="55"/>
        <v>3268900</v>
      </c>
      <c r="F617" s="34">
        <v>5000</v>
      </c>
      <c r="G617" s="103">
        <v>8</v>
      </c>
      <c r="H617" s="3">
        <f t="shared" si="54"/>
        <v>40000</v>
      </c>
      <c r="I617" s="29"/>
      <c r="J617" s="55"/>
      <c r="K617" s="59"/>
      <c r="L617" s="59"/>
      <c r="M617" s="59"/>
    </row>
    <row r="618" spans="1:13" ht="15" customHeight="1" x14ac:dyDescent="0.25">
      <c r="A618" s="47">
        <v>45623</v>
      </c>
      <c r="B618" s="1" t="s">
        <v>146</v>
      </c>
      <c r="C618" s="73">
        <v>4520000</v>
      </c>
      <c r="D618" s="44"/>
      <c r="E618" s="32">
        <f t="shared" si="55"/>
        <v>7788900</v>
      </c>
      <c r="F618" s="34">
        <v>2000</v>
      </c>
      <c r="G618" s="103">
        <v>5</v>
      </c>
      <c r="H618" s="3">
        <f t="shared" si="54"/>
        <v>10000</v>
      </c>
      <c r="I618" s="29"/>
      <c r="J618" s="55"/>
      <c r="K618" s="60"/>
      <c r="L618" s="60"/>
      <c r="M618" s="60"/>
    </row>
    <row r="619" spans="1:13" ht="15" customHeight="1" x14ac:dyDescent="0.25">
      <c r="A619" s="47">
        <v>45623</v>
      </c>
      <c r="B619" s="1" t="s">
        <v>166</v>
      </c>
      <c r="C619" s="86"/>
      <c r="D619" s="44"/>
      <c r="E619" s="32">
        <f t="shared" si="55"/>
        <v>7788900</v>
      </c>
      <c r="F619" s="34">
        <v>1000</v>
      </c>
      <c r="G619" s="103">
        <v>1</v>
      </c>
      <c r="H619" s="3">
        <f t="shared" si="54"/>
        <v>1000</v>
      </c>
      <c r="I619" s="29"/>
      <c r="J619" s="55"/>
      <c r="K619" s="60"/>
      <c r="L619" s="60"/>
      <c r="M619" s="60"/>
    </row>
    <row r="620" spans="1:13" ht="15" customHeight="1" x14ac:dyDescent="0.25">
      <c r="A620" s="47">
        <v>45623</v>
      </c>
      <c r="B620" s="1" t="s">
        <v>165</v>
      </c>
      <c r="C620" s="86"/>
      <c r="D620" s="44"/>
      <c r="E620" s="32">
        <f t="shared" si="55"/>
        <v>7788900</v>
      </c>
      <c r="F620" s="34">
        <v>500</v>
      </c>
      <c r="G620" s="103">
        <v>3</v>
      </c>
      <c r="H620" s="3">
        <f t="shared" si="54"/>
        <v>1500</v>
      </c>
      <c r="I620" s="29"/>
      <c r="J620" s="55"/>
      <c r="K620" s="60"/>
      <c r="L620" s="60"/>
      <c r="M620" s="60"/>
    </row>
    <row r="621" spans="1:13" ht="15" customHeight="1" x14ac:dyDescent="0.25">
      <c r="A621" s="47">
        <v>45623</v>
      </c>
      <c r="B621" s="1" t="s">
        <v>164</v>
      </c>
      <c r="C621" s="86">
        <v>1022000</v>
      </c>
      <c r="D621" s="44"/>
      <c r="E621" s="32">
        <f t="shared" si="55"/>
        <v>8810900</v>
      </c>
      <c r="F621" s="34">
        <v>200</v>
      </c>
      <c r="G621" s="103">
        <v>4</v>
      </c>
      <c r="H621" s="3">
        <f t="shared" si="54"/>
        <v>800</v>
      </c>
      <c r="I621" s="29"/>
      <c r="J621" s="55"/>
      <c r="K621" s="61"/>
      <c r="L621" s="61"/>
      <c r="M621" s="61"/>
    </row>
    <row r="622" spans="1:13" ht="15" customHeight="1" x14ac:dyDescent="0.25">
      <c r="A622" s="47">
        <v>45623</v>
      </c>
      <c r="B622" s="1" t="s">
        <v>145</v>
      </c>
      <c r="C622" s="86">
        <v>28000</v>
      </c>
      <c r="D622" s="44"/>
      <c r="E622" s="32">
        <f t="shared" si="55"/>
        <v>8838900</v>
      </c>
      <c r="F622" s="34">
        <v>100</v>
      </c>
      <c r="G622" s="104">
        <v>1</v>
      </c>
      <c r="H622" s="3">
        <f t="shared" si="54"/>
        <v>100</v>
      </c>
      <c r="I622" s="29"/>
      <c r="J622" s="55"/>
      <c r="K622" s="60"/>
      <c r="L622" s="60"/>
      <c r="M622" s="62"/>
    </row>
    <row r="623" spans="1:13" ht="15" customHeight="1" x14ac:dyDescent="0.25">
      <c r="A623" s="47">
        <v>45623</v>
      </c>
      <c r="B623" s="1" t="s">
        <v>143</v>
      </c>
      <c r="C623" s="86"/>
      <c r="D623" s="44">
        <f>SUM(C614:C623)</f>
        <v>8371000</v>
      </c>
      <c r="E623" s="32">
        <f t="shared" si="55"/>
        <v>467900</v>
      </c>
      <c r="F623" s="1"/>
      <c r="G623" s="1"/>
      <c r="H623" s="1"/>
      <c r="I623" s="29"/>
      <c r="J623" s="55"/>
      <c r="K623" s="60"/>
      <c r="L623" s="60"/>
      <c r="M623" s="62"/>
    </row>
    <row r="624" spans="1:13" ht="15" customHeight="1" x14ac:dyDescent="0.25">
      <c r="A624" s="47">
        <v>45623</v>
      </c>
      <c r="B624" s="1" t="s">
        <v>160</v>
      </c>
      <c r="C624" s="86">
        <v>-33000</v>
      </c>
      <c r="D624" s="46"/>
      <c r="E624" s="32">
        <f t="shared" si="55"/>
        <v>434900</v>
      </c>
      <c r="F624" s="1"/>
      <c r="G624" s="1"/>
      <c r="H624" s="1"/>
      <c r="I624" s="29"/>
      <c r="J624" s="55"/>
      <c r="K624" s="62"/>
      <c r="L624" s="60"/>
      <c r="M624" s="62"/>
    </row>
    <row r="625" spans="1:13" ht="15" customHeight="1" x14ac:dyDescent="0.25">
      <c r="A625" s="47">
        <v>45623</v>
      </c>
      <c r="B625" s="1"/>
      <c r="C625" s="86"/>
      <c r="D625" s="44"/>
      <c r="E625" s="32">
        <f t="shared" si="55"/>
        <v>434900</v>
      </c>
      <c r="F625" s="3"/>
      <c r="G625" s="34"/>
      <c r="H625" s="34"/>
      <c r="I625" s="29"/>
      <c r="J625" s="55"/>
      <c r="K625" s="62"/>
      <c r="L625" s="62"/>
      <c r="M625" s="62"/>
    </row>
    <row r="626" spans="1:13" ht="15" customHeight="1" x14ac:dyDescent="0.25">
      <c r="A626" s="47">
        <v>45623</v>
      </c>
      <c r="B626" s="31" t="s">
        <v>139</v>
      </c>
      <c r="C626" s="86"/>
      <c r="D626" s="44">
        <f>274500-33000</f>
        <v>241500</v>
      </c>
      <c r="E626" s="32">
        <f t="shared" si="55"/>
        <v>193400</v>
      </c>
      <c r="F626" s="3"/>
      <c r="G626" s="34"/>
      <c r="H626" s="34"/>
      <c r="I626" s="29"/>
      <c r="J626" s="55"/>
      <c r="K626" s="62"/>
      <c r="L626" s="60"/>
      <c r="M626" s="60"/>
    </row>
    <row r="627" spans="1:13" ht="15" customHeight="1" x14ac:dyDescent="0.25">
      <c r="A627" s="47">
        <v>45623</v>
      </c>
      <c r="B627" s="47" t="s">
        <v>152</v>
      </c>
      <c r="C627" s="87"/>
      <c r="D627" s="44"/>
      <c r="E627" s="32">
        <f t="shared" si="55"/>
        <v>193400</v>
      </c>
      <c r="F627" s="3"/>
      <c r="G627" s="34"/>
      <c r="H627" s="34"/>
      <c r="I627" s="29"/>
      <c r="J627" s="55"/>
      <c r="K627" s="60"/>
      <c r="L627" s="60"/>
      <c r="M627" s="60"/>
    </row>
    <row r="628" spans="1:13" ht="15" customHeight="1" x14ac:dyDescent="0.25">
      <c r="A628" s="47">
        <v>45623</v>
      </c>
      <c r="B628" s="82"/>
      <c r="C628" s="87"/>
      <c r="D628" s="44"/>
      <c r="E628" s="32">
        <f t="shared" si="55"/>
        <v>193400</v>
      </c>
      <c r="F628" s="3"/>
      <c r="G628" s="34"/>
      <c r="H628" s="34"/>
      <c r="I628" s="29"/>
      <c r="J628" s="55"/>
      <c r="K628" s="60"/>
      <c r="L628" s="60"/>
      <c r="M628" s="60"/>
    </row>
    <row r="629" spans="1:13" ht="15" customHeight="1" x14ac:dyDescent="0.25">
      <c r="A629" s="47">
        <v>45623</v>
      </c>
      <c r="B629" s="3"/>
      <c r="C629" s="87"/>
      <c r="D629" s="44"/>
      <c r="E629" s="32">
        <f t="shared" si="55"/>
        <v>193400</v>
      </c>
      <c r="F629" s="3"/>
      <c r="G629" s="34"/>
      <c r="H629" s="34"/>
      <c r="I629" s="29"/>
      <c r="J629" s="55"/>
      <c r="K629" s="60"/>
      <c r="L629" s="60"/>
      <c r="M629" s="60"/>
    </row>
    <row r="630" spans="1:13" ht="15" customHeight="1" x14ac:dyDescent="0.25">
      <c r="A630" s="47">
        <v>45623</v>
      </c>
      <c r="B630" s="1"/>
      <c r="C630" s="88"/>
      <c r="D630" s="36"/>
      <c r="E630" s="32">
        <f t="shared" si="55"/>
        <v>193400</v>
      </c>
      <c r="F630" s="1"/>
      <c r="G630" s="34"/>
      <c r="I630" s="29"/>
      <c r="J630" s="55"/>
      <c r="K630" s="60"/>
      <c r="L630" s="60"/>
      <c r="M630" s="60"/>
    </row>
    <row r="631" spans="1:13" ht="15" customHeight="1" x14ac:dyDescent="0.25">
      <c r="A631" s="47">
        <v>45623</v>
      </c>
      <c r="B631" s="1" t="s">
        <v>143</v>
      </c>
      <c r="C631" s="89"/>
      <c r="D631" s="44"/>
      <c r="E631" s="32">
        <f t="shared" si="55"/>
        <v>193400</v>
      </c>
      <c r="F631" s="1"/>
      <c r="G631" s="34"/>
      <c r="I631" s="29"/>
      <c r="J631" s="55"/>
      <c r="K631" s="60"/>
      <c r="L631" s="60"/>
      <c r="M631" s="60"/>
    </row>
    <row r="632" spans="1:13" ht="15" customHeight="1" x14ac:dyDescent="0.25">
      <c r="A632" s="47">
        <v>45623</v>
      </c>
      <c r="B632" s="47"/>
      <c r="C632" s="90"/>
      <c r="D632" s="44"/>
      <c r="E632" s="32">
        <f t="shared" si="55"/>
        <v>193400</v>
      </c>
      <c r="G632" s="34"/>
      <c r="I632" s="29"/>
      <c r="J632" s="55"/>
      <c r="K632" s="60"/>
      <c r="L632" s="60"/>
      <c r="M632" s="60"/>
    </row>
    <row r="633" spans="1:13" ht="15" customHeight="1" x14ac:dyDescent="0.25">
      <c r="A633" s="47">
        <v>45623</v>
      </c>
      <c r="B633" s="45" t="s">
        <v>136</v>
      </c>
      <c r="C633" s="86"/>
      <c r="D633" s="44"/>
      <c r="E633" s="32">
        <f t="shared" si="55"/>
        <v>193400</v>
      </c>
      <c r="F633" s="3">
        <f>SUM(H612:H629)</f>
        <v>193400</v>
      </c>
      <c r="G633" s="49">
        <f>250000-F633</f>
        <v>56600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45623</v>
      </c>
      <c r="B634" s="4" t="s">
        <v>161</v>
      </c>
      <c r="C634" s="86">
        <f>SUM(C613:C633)</f>
        <v>8670000</v>
      </c>
      <c r="D634" s="33">
        <f>SUM(D615:D633)</f>
        <v>8612500</v>
      </c>
      <c r="E634" s="32"/>
      <c r="F634" s="25">
        <f>F633-E633</f>
        <v>0</v>
      </c>
      <c r="G634" s="34"/>
      <c r="I634" s="29"/>
      <c r="J634" s="55"/>
      <c r="K634" s="60"/>
      <c r="L634" s="60"/>
      <c r="M634" s="60"/>
    </row>
    <row r="635" spans="1:13" ht="15" customHeight="1" x14ac:dyDescent="0.25">
      <c r="B635" s="1"/>
      <c r="C635" s="86"/>
      <c r="D635" s="46"/>
      <c r="E635" s="32"/>
      <c r="F635" s="1"/>
      <c r="G635" s="1"/>
      <c r="H635" s="1"/>
      <c r="I635" s="29"/>
      <c r="J635" s="55"/>
      <c r="K635" s="60"/>
      <c r="L635" s="60"/>
      <c r="M635" s="60"/>
    </row>
    <row r="636" spans="1:13" ht="15" customHeight="1" x14ac:dyDescent="0.25">
      <c r="A636" s="47">
        <v>45624</v>
      </c>
      <c r="B636" s="1" t="s">
        <v>140</v>
      </c>
      <c r="C636" s="65"/>
      <c r="D636" s="8"/>
      <c r="E636" s="8">
        <v>193400</v>
      </c>
      <c r="F636" s="49">
        <v>100000</v>
      </c>
      <c r="G636" s="103"/>
      <c r="H636" s="3">
        <f>G636*F636</f>
        <v>0</v>
      </c>
      <c r="I636" s="29"/>
      <c r="J636" s="55"/>
      <c r="K636" s="60"/>
      <c r="L636" s="60"/>
      <c r="M636" s="60"/>
    </row>
    <row r="637" spans="1:13" ht="15" customHeight="1" x14ac:dyDescent="0.25">
      <c r="A637" s="47">
        <v>45624</v>
      </c>
      <c r="B637" s="31" t="s">
        <v>138</v>
      </c>
      <c r="C637" s="73">
        <v>80000</v>
      </c>
      <c r="D637" s="44"/>
      <c r="E637" s="32">
        <f>E636+C637-D637</f>
        <v>273400</v>
      </c>
      <c r="F637" s="3">
        <v>75000</v>
      </c>
      <c r="G637" s="103"/>
      <c r="H637" s="3">
        <f t="shared" ref="H637:H646" si="56">G637*F637</f>
        <v>0</v>
      </c>
      <c r="I637" s="29"/>
      <c r="J637" s="55"/>
      <c r="K637" s="60"/>
      <c r="L637" s="60"/>
      <c r="M637" s="60"/>
    </row>
    <row r="638" spans="1:13" ht="15" customHeight="1" x14ac:dyDescent="0.25">
      <c r="A638" s="47">
        <v>45624</v>
      </c>
      <c r="B638" s="1" t="s">
        <v>155</v>
      </c>
      <c r="C638" s="44">
        <v>190000</v>
      </c>
      <c r="D638" s="44"/>
      <c r="E638" s="32">
        <f t="shared" ref="E638:E657" si="57">E637+C638-D638</f>
        <v>463400</v>
      </c>
      <c r="F638" s="34">
        <v>50000</v>
      </c>
      <c r="G638" s="103"/>
      <c r="H638" s="3">
        <f t="shared" si="56"/>
        <v>0</v>
      </c>
      <c r="I638" s="29"/>
      <c r="J638" s="55"/>
      <c r="K638" s="61"/>
      <c r="L638" s="61"/>
      <c r="M638" s="61"/>
    </row>
    <row r="639" spans="1:13" ht="15" customHeight="1" x14ac:dyDescent="0.25">
      <c r="A639" s="47">
        <v>45624</v>
      </c>
      <c r="B639" s="1" t="s">
        <v>156</v>
      </c>
      <c r="C639" s="44">
        <v>377000</v>
      </c>
      <c r="D639" s="44"/>
      <c r="E639" s="32">
        <f t="shared" si="57"/>
        <v>840400</v>
      </c>
      <c r="F639" s="34">
        <v>20000</v>
      </c>
      <c r="G639" s="103">
        <v>1</v>
      </c>
      <c r="H639" s="3">
        <f t="shared" si="56"/>
        <v>20000</v>
      </c>
      <c r="I639" s="29"/>
      <c r="J639" s="55"/>
      <c r="K639" s="60"/>
      <c r="L639" s="60"/>
      <c r="M639" s="59"/>
    </row>
    <row r="640" spans="1:13" ht="15" customHeight="1" x14ac:dyDescent="0.25">
      <c r="A640" s="47">
        <v>45624</v>
      </c>
      <c r="B640" s="1" t="s">
        <v>133</v>
      </c>
      <c r="C640" s="73">
        <v>897000</v>
      </c>
      <c r="D640" s="44"/>
      <c r="E640" s="32">
        <f t="shared" si="57"/>
        <v>1737400</v>
      </c>
      <c r="F640" s="34">
        <v>10000</v>
      </c>
      <c r="G640" s="103">
        <v>1</v>
      </c>
      <c r="H640" s="3">
        <f t="shared" si="56"/>
        <v>10000</v>
      </c>
      <c r="I640" s="29"/>
      <c r="J640" s="55"/>
      <c r="K640" s="60"/>
      <c r="L640" s="60"/>
      <c r="M640" s="59"/>
    </row>
    <row r="641" spans="1:13" ht="15" customHeight="1" x14ac:dyDescent="0.25">
      <c r="A641" s="47">
        <v>45624</v>
      </c>
      <c r="B641" s="1" t="s">
        <v>163</v>
      </c>
      <c r="C641" s="73"/>
      <c r="D641" s="44"/>
      <c r="E641" s="32">
        <f t="shared" si="57"/>
        <v>1737400</v>
      </c>
      <c r="F641" s="34">
        <v>5000</v>
      </c>
      <c r="G641" s="103">
        <v>4</v>
      </c>
      <c r="H641" s="3">
        <f t="shared" si="56"/>
        <v>20000</v>
      </c>
      <c r="I641" s="29"/>
      <c r="J641" s="55"/>
      <c r="K641" s="59"/>
      <c r="L641" s="60"/>
      <c r="M641" s="59"/>
    </row>
    <row r="642" spans="1:13" ht="15" customHeight="1" x14ac:dyDescent="0.25">
      <c r="A642" s="47">
        <v>45624</v>
      </c>
      <c r="B642" s="1" t="s">
        <v>146</v>
      </c>
      <c r="C642" s="73">
        <v>2805000</v>
      </c>
      <c r="D642" s="44"/>
      <c r="E642" s="32">
        <f t="shared" si="57"/>
        <v>4542400</v>
      </c>
      <c r="F642" s="34">
        <v>2000</v>
      </c>
      <c r="G642" s="103">
        <v>2</v>
      </c>
      <c r="H642" s="3">
        <f t="shared" si="56"/>
        <v>4000</v>
      </c>
      <c r="I642" s="29"/>
      <c r="J642" s="55"/>
      <c r="K642" s="59"/>
      <c r="L642" s="59"/>
      <c r="M642" s="59"/>
    </row>
    <row r="643" spans="1:13" ht="15" customHeight="1" x14ac:dyDescent="0.25">
      <c r="A643" s="47">
        <v>45624</v>
      </c>
      <c r="B643" s="1" t="s">
        <v>166</v>
      </c>
      <c r="C643" s="86"/>
      <c r="D643" s="44"/>
      <c r="E643" s="32">
        <f t="shared" si="57"/>
        <v>4542400</v>
      </c>
      <c r="F643" s="34">
        <v>1000</v>
      </c>
      <c r="G643" s="103">
        <v>1</v>
      </c>
      <c r="H643" s="3">
        <f t="shared" si="56"/>
        <v>1000</v>
      </c>
      <c r="I643" s="29"/>
      <c r="J643" s="55"/>
      <c r="K643" s="60"/>
      <c r="L643" s="60"/>
      <c r="M643" s="60"/>
    </row>
    <row r="644" spans="1:13" ht="15" customHeight="1" x14ac:dyDescent="0.25">
      <c r="A644" s="47">
        <v>45624</v>
      </c>
      <c r="B644" s="1" t="s">
        <v>165</v>
      </c>
      <c r="C644" s="86"/>
      <c r="D644" s="44"/>
      <c r="E644" s="32">
        <f t="shared" si="57"/>
        <v>4542400</v>
      </c>
      <c r="F644" s="34">
        <v>500</v>
      </c>
      <c r="G644" s="103">
        <v>3</v>
      </c>
      <c r="H644" s="3">
        <f t="shared" si="56"/>
        <v>1500</v>
      </c>
      <c r="I644" s="29"/>
      <c r="J644" s="55"/>
      <c r="K644" s="60"/>
      <c r="L644" s="60"/>
      <c r="M644" s="60"/>
    </row>
    <row r="645" spans="1:13" ht="15" customHeight="1" x14ac:dyDescent="0.25">
      <c r="A645" s="47">
        <v>45624</v>
      </c>
      <c r="B645" s="1" t="s">
        <v>164</v>
      </c>
      <c r="C645" s="86">
        <v>626000</v>
      </c>
      <c r="D645" s="44"/>
      <c r="E645" s="32">
        <f t="shared" si="57"/>
        <v>5168400</v>
      </c>
      <c r="F645" s="34">
        <v>200</v>
      </c>
      <c r="G645" s="103">
        <v>4</v>
      </c>
      <c r="H645" s="3">
        <f t="shared" si="56"/>
        <v>800</v>
      </c>
      <c r="I645" s="29"/>
      <c r="J645" s="55"/>
      <c r="K645" s="60"/>
      <c r="L645" s="60"/>
      <c r="M645" s="60"/>
    </row>
    <row r="646" spans="1:13" ht="15" customHeight="1" x14ac:dyDescent="0.25">
      <c r="A646" s="47">
        <v>45624</v>
      </c>
      <c r="B646" s="1" t="s">
        <v>145</v>
      </c>
      <c r="C646" s="86"/>
      <c r="D646" s="44"/>
      <c r="E646" s="32">
        <f t="shared" si="57"/>
        <v>5168400</v>
      </c>
      <c r="F646" s="34">
        <v>100</v>
      </c>
      <c r="G646" s="104">
        <v>1</v>
      </c>
      <c r="H646" s="3">
        <f t="shared" si="56"/>
        <v>100</v>
      </c>
      <c r="I646" s="29"/>
      <c r="J646" s="55"/>
      <c r="K646" s="61"/>
      <c r="L646" s="61"/>
      <c r="M646" s="61"/>
    </row>
    <row r="647" spans="1:13" ht="15" customHeight="1" x14ac:dyDescent="0.25">
      <c r="A647" s="47">
        <v>45624</v>
      </c>
      <c r="B647" s="1" t="s">
        <v>143</v>
      </c>
      <c r="C647" s="86"/>
      <c r="D647" s="44">
        <f>SUM(C638:C647)</f>
        <v>4895000</v>
      </c>
      <c r="E647" s="32">
        <f t="shared" si="57"/>
        <v>273400</v>
      </c>
      <c r="F647" s="1"/>
      <c r="G647" s="1"/>
      <c r="H647" s="1"/>
      <c r="I647" s="29"/>
      <c r="J647" s="55"/>
      <c r="K647" s="60"/>
      <c r="L647" s="60"/>
      <c r="M647" s="59"/>
    </row>
    <row r="648" spans="1:13" ht="15" customHeight="1" x14ac:dyDescent="0.25">
      <c r="A648" s="47">
        <v>45624</v>
      </c>
      <c r="B648" s="1" t="s">
        <v>160</v>
      </c>
      <c r="C648" s="86"/>
      <c r="D648" s="46"/>
      <c r="E648" s="32">
        <f t="shared" si="57"/>
        <v>273400</v>
      </c>
      <c r="F648" s="1"/>
      <c r="G648" s="1"/>
      <c r="H648" s="1"/>
      <c r="I648" s="29"/>
      <c r="J648" s="55"/>
      <c r="K648" s="60"/>
      <c r="L648" s="60"/>
      <c r="M648" s="59"/>
    </row>
    <row r="649" spans="1:13" ht="15" customHeight="1" x14ac:dyDescent="0.25">
      <c r="A649" s="47">
        <v>45624</v>
      </c>
      <c r="B649" s="1"/>
      <c r="C649" s="86"/>
      <c r="D649" s="44"/>
      <c r="E649" s="32">
        <f t="shared" si="57"/>
        <v>273400</v>
      </c>
      <c r="F649" s="3"/>
      <c r="G649" s="34"/>
      <c r="H649" s="34"/>
      <c r="I649" s="29"/>
      <c r="J649" s="55"/>
      <c r="K649" s="59"/>
      <c r="L649" s="60"/>
      <c r="M649" s="59"/>
    </row>
    <row r="650" spans="1:13" ht="15" customHeight="1" x14ac:dyDescent="0.25">
      <c r="A650" s="47">
        <v>45624</v>
      </c>
      <c r="B650" s="31" t="s">
        <v>139</v>
      </c>
      <c r="C650" s="86">
        <v>100000</v>
      </c>
      <c r="D650" s="44">
        <v>316000</v>
      </c>
      <c r="E650" s="32">
        <f t="shared" si="57"/>
        <v>57400</v>
      </c>
      <c r="F650" s="3"/>
      <c r="G650" s="34"/>
      <c r="H650" s="34"/>
      <c r="I650" s="29"/>
      <c r="J650" s="55"/>
      <c r="K650" s="59"/>
      <c r="L650" s="59"/>
      <c r="M650" s="59"/>
    </row>
    <row r="651" spans="1:13" ht="15" customHeight="1" x14ac:dyDescent="0.25">
      <c r="A651" s="47">
        <v>45624</v>
      </c>
      <c r="B651" s="47" t="s">
        <v>152</v>
      </c>
      <c r="C651" s="87"/>
      <c r="D651" s="44"/>
      <c r="E651" s="32">
        <f t="shared" si="57"/>
        <v>57400</v>
      </c>
      <c r="F651" s="3"/>
      <c r="G651" s="34"/>
      <c r="H651" s="34"/>
      <c r="I651" s="29"/>
      <c r="J651" s="55"/>
      <c r="K651" s="61"/>
      <c r="L651" s="61"/>
      <c r="M651" s="61"/>
    </row>
    <row r="652" spans="1:13" ht="15" customHeight="1" x14ac:dyDescent="0.25">
      <c r="A652" s="47">
        <v>45624</v>
      </c>
      <c r="B652" s="82"/>
      <c r="C652" s="87"/>
      <c r="D652" s="44"/>
      <c r="E652" s="32">
        <f t="shared" si="57"/>
        <v>57400</v>
      </c>
      <c r="F652" s="3"/>
      <c r="G652" s="34"/>
      <c r="H652" s="34"/>
      <c r="I652" s="29"/>
      <c r="J652" s="55"/>
      <c r="K652" s="60"/>
      <c r="L652" s="60"/>
      <c r="M652" s="62"/>
    </row>
    <row r="653" spans="1:13" ht="15" customHeight="1" x14ac:dyDescent="0.25">
      <c r="A653" s="47">
        <v>45624</v>
      </c>
      <c r="B653" s="3"/>
      <c r="C653" s="87"/>
      <c r="D653" s="44"/>
      <c r="E653" s="32">
        <f t="shared" si="57"/>
        <v>57400</v>
      </c>
      <c r="F653" s="3"/>
      <c r="G653" s="34"/>
      <c r="H653" s="34"/>
      <c r="I653" s="29"/>
      <c r="J653" s="55"/>
      <c r="K653" s="60"/>
      <c r="L653" s="60"/>
      <c r="M653" s="62"/>
    </row>
    <row r="654" spans="1:13" ht="15" customHeight="1" x14ac:dyDescent="0.25">
      <c r="A654" s="47">
        <v>45624</v>
      </c>
      <c r="B654" s="1"/>
      <c r="C654" s="88"/>
      <c r="D654" s="36"/>
      <c r="E654" s="32">
        <f t="shared" si="57"/>
        <v>57400</v>
      </c>
      <c r="F654" s="1"/>
      <c r="G654" s="34"/>
      <c r="I654" s="29"/>
      <c r="J654" s="55"/>
      <c r="K654" s="62"/>
      <c r="L654" s="60"/>
      <c r="M654" s="62"/>
    </row>
    <row r="655" spans="1:13" ht="15" customHeight="1" x14ac:dyDescent="0.25">
      <c r="A655" s="47">
        <v>45624</v>
      </c>
      <c r="B655" s="1" t="s">
        <v>143</v>
      </c>
      <c r="C655" s="89"/>
      <c r="D655" s="44"/>
      <c r="E655" s="32">
        <f t="shared" si="57"/>
        <v>57400</v>
      </c>
      <c r="F655" s="1"/>
      <c r="G655" s="34"/>
      <c r="I655" s="29"/>
      <c r="J655" s="55"/>
      <c r="K655" s="62"/>
      <c r="L655" s="62"/>
      <c r="M655" s="62"/>
    </row>
    <row r="656" spans="1:13" ht="15" customHeight="1" x14ac:dyDescent="0.25">
      <c r="A656" s="47">
        <v>45624</v>
      </c>
      <c r="B656" s="47"/>
      <c r="C656" s="90"/>
      <c r="D656" s="44"/>
      <c r="E656" s="32">
        <f t="shared" si="57"/>
        <v>57400</v>
      </c>
      <c r="G656" s="34"/>
      <c r="I656" s="29"/>
      <c r="J656" s="55"/>
      <c r="K656" s="60"/>
      <c r="L656" s="60"/>
      <c r="M656" s="60"/>
    </row>
    <row r="657" spans="1:13" ht="15" customHeight="1" x14ac:dyDescent="0.25">
      <c r="A657" s="47">
        <v>45624</v>
      </c>
      <c r="B657" s="45" t="s">
        <v>136</v>
      </c>
      <c r="C657" s="86"/>
      <c r="D657" s="44"/>
      <c r="E657" s="32">
        <f t="shared" si="57"/>
        <v>57400</v>
      </c>
      <c r="F657" s="3">
        <f>SUM(H636:H653)</f>
        <v>57400</v>
      </c>
      <c r="G657" s="49">
        <f>250000-F657</f>
        <v>192600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45624</v>
      </c>
      <c r="B658" s="4" t="s">
        <v>161</v>
      </c>
      <c r="C658" s="86">
        <f>SUM(C637:C657)</f>
        <v>5075000</v>
      </c>
      <c r="D658" s="33">
        <f>SUM(D639:D657)</f>
        <v>5211000</v>
      </c>
      <c r="E658" s="32"/>
      <c r="F658" s="25">
        <f>F657-E657</f>
        <v>0</v>
      </c>
      <c r="G658" s="34"/>
      <c r="I658" s="29"/>
      <c r="J658" s="55"/>
      <c r="K658" s="60"/>
      <c r="L658" s="60"/>
      <c r="M658" s="60"/>
    </row>
    <row r="659" spans="1:13" ht="15" customHeight="1" x14ac:dyDescent="0.25">
      <c r="B659" s="1"/>
      <c r="C659" s="86"/>
      <c r="D659" s="44"/>
      <c r="E659" s="32"/>
      <c r="F659" s="3"/>
      <c r="G659" s="34"/>
      <c r="H659" s="34"/>
      <c r="I659" s="29"/>
      <c r="J659" s="55"/>
      <c r="K659" s="60"/>
      <c r="L659" s="60"/>
      <c r="M659" s="60"/>
    </row>
    <row r="660" spans="1:13" ht="15" customHeight="1" x14ac:dyDescent="0.25">
      <c r="A660" s="47">
        <v>45625</v>
      </c>
      <c r="B660" s="1" t="s">
        <v>140</v>
      </c>
      <c r="C660" s="65"/>
      <c r="D660" s="8"/>
      <c r="E660" s="8">
        <v>57400</v>
      </c>
      <c r="F660" s="49">
        <v>100000</v>
      </c>
      <c r="G660" s="103">
        <v>1</v>
      </c>
      <c r="H660" s="3">
        <f>G660*F660</f>
        <v>100000</v>
      </c>
      <c r="I660" s="29"/>
      <c r="J660" s="55"/>
      <c r="K660" s="60"/>
      <c r="L660" s="60"/>
      <c r="M660" s="60"/>
    </row>
    <row r="661" spans="1:13" ht="15" customHeight="1" x14ac:dyDescent="0.25">
      <c r="A661" s="47">
        <v>45625</v>
      </c>
      <c r="B661" s="31" t="s">
        <v>138</v>
      </c>
      <c r="C661" s="73">
        <v>762000</v>
      </c>
      <c r="D661" s="44"/>
      <c r="E661" s="32">
        <f>E660+C661-D661</f>
        <v>819400</v>
      </c>
      <c r="F661" s="3">
        <v>75000</v>
      </c>
      <c r="G661" s="103"/>
      <c r="H661" s="3">
        <f t="shared" ref="H661:H670" si="58">G661*F661</f>
        <v>0</v>
      </c>
      <c r="I661" s="29"/>
      <c r="J661" s="55"/>
      <c r="K661" s="60"/>
      <c r="L661" s="60"/>
      <c r="M661" s="60"/>
    </row>
    <row r="662" spans="1:13" ht="15" customHeight="1" x14ac:dyDescent="0.25">
      <c r="A662" s="47">
        <v>45625</v>
      </c>
      <c r="B662" s="1" t="s">
        <v>155</v>
      </c>
      <c r="C662" s="44">
        <v>558000</v>
      </c>
      <c r="D662" s="44"/>
      <c r="E662" s="32">
        <f t="shared" ref="E662:E681" si="59">E661+C662-D662</f>
        <v>1377400</v>
      </c>
      <c r="F662" s="34">
        <v>50000</v>
      </c>
      <c r="G662" s="103">
        <f>7-4</f>
        <v>3</v>
      </c>
      <c r="H662" s="3">
        <f t="shared" si="58"/>
        <v>150000</v>
      </c>
      <c r="I662" s="29"/>
      <c r="J662" s="55"/>
      <c r="K662" s="60"/>
      <c r="L662" s="60"/>
      <c r="M662" s="60"/>
    </row>
    <row r="663" spans="1:13" ht="15" customHeight="1" x14ac:dyDescent="0.25">
      <c r="A663" s="47">
        <v>45625</v>
      </c>
      <c r="B663" s="1" t="s">
        <v>156</v>
      </c>
      <c r="C663" s="44"/>
      <c r="D663" s="44"/>
      <c r="E663" s="32">
        <f t="shared" si="59"/>
        <v>1377400</v>
      </c>
      <c r="F663" s="34">
        <v>20000</v>
      </c>
      <c r="G663" s="103">
        <v>2</v>
      </c>
      <c r="H663" s="3">
        <f t="shared" si="58"/>
        <v>40000</v>
      </c>
      <c r="I663" s="29"/>
      <c r="J663" s="55"/>
      <c r="K663" s="60"/>
      <c r="L663" s="61"/>
      <c r="M663" s="61"/>
    </row>
    <row r="664" spans="1:13" ht="15" customHeight="1" x14ac:dyDescent="0.25">
      <c r="A664" s="47">
        <v>45625</v>
      </c>
      <c r="B664" s="1" t="s">
        <v>133</v>
      </c>
      <c r="C664" s="73">
        <v>609000</v>
      </c>
      <c r="D664" s="44"/>
      <c r="E664" s="32">
        <f t="shared" si="59"/>
        <v>1986400</v>
      </c>
      <c r="F664" s="34">
        <v>10000</v>
      </c>
      <c r="G664" s="103"/>
      <c r="H664" s="3">
        <f t="shared" si="58"/>
        <v>0</v>
      </c>
      <c r="I664" s="29"/>
      <c r="J664" s="55"/>
      <c r="K664" s="61"/>
      <c r="L664" s="61"/>
      <c r="M664" s="61"/>
    </row>
    <row r="665" spans="1:13" ht="15" customHeight="1" x14ac:dyDescent="0.25">
      <c r="A665" s="47">
        <v>45625</v>
      </c>
      <c r="B665" s="1" t="s">
        <v>163</v>
      </c>
      <c r="C665" s="73">
        <v>90000</v>
      </c>
      <c r="D665" s="44"/>
      <c r="E665" s="32">
        <f t="shared" si="59"/>
        <v>2076400</v>
      </c>
      <c r="F665" s="34">
        <v>5000</v>
      </c>
      <c r="G665" s="103">
        <f>3-1</f>
        <v>2</v>
      </c>
      <c r="H665" s="3">
        <f t="shared" si="58"/>
        <v>10000</v>
      </c>
      <c r="I665" s="29"/>
      <c r="J665" s="55"/>
      <c r="K665" s="61"/>
      <c r="L665" s="61"/>
      <c r="M665" s="61"/>
    </row>
    <row r="666" spans="1:13" ht="15" customHeight="1" x14ac:dyDescent="0.25">
      <c r="A666" s="47">
        <v>45625</v>
      </c>
      <c r="B666" s="1" t="s">
        <v>146</v>
      </c>
      <c r="C666" s="73">
        <v>6560000</v>
      </c>
      <c r="D666" s="44"/>
      <c r="E666" s="32">
        <f t="shared" si="59"/>
        <v>8636400</v>
      </c>
      <c r="F666" s="34">
        <v>2000</v>
      </c>
      <c r="G666" s="103">
        <f>2-2</f>
        <v>0</v>
      </c>
      <c r="H666" s="3">
        <f t="shared" si="58"/>
        <v>0</v>
      </c>
      <c r="I666" s="29"/>
      <c r="J666" s="55"/>
      <c r="K666" s="61"/>
      <c r="L666" s="61"/>
      <c r="M666" s="61"/>
    </row>
    <row r="667" spans="1:13" ht="15" customHeight="1" x14ac:dyDescent="0.25">
      <c r="A667" s="47">
        <v>45625</v>
      </c>
      <c r="B667" s="1" t="s">
        <v>166</v>
      </c>
      <c r="C667" s="86"/>
      <c r="D667" s="44"/>
      <c r="E667" s="32">
        <f t="shared" si="59"/>
        <v>8636400</v>
      </c>
      <c r="F667" s="34">
        <v>1000</v>
      </c>
      <c r="G667" s="103"/>
      <c r="H667" s="3">
        <f t="shared" si="58"/>
        <v>0</v>
      </c>
      <c r="I667" s="29"/>
      <c r="J667" s="55"/>
      <c r="K667" s="61"/>
      <c r="L667" s="61"/>
      <c r="M667" s="61"/>
    </row>
    <row r="668" spans="1:13" ht="15" customHeight="1" x14ac:dyDescent="0.25">
      <c r="A668" s="47">
        <v>45625</v>
      </c>
      <c r="B668" s="1" t="s">
        <v>165</v>
      </c>
      <c r="C668" s="86"/>
      <c r="D668" s="44"/>
      <c r="E668" s="32">
        <f t="shared" si="59"/>
        <v>8636400</v>
      </c>
      <c r="F668" s="34">
        <v>500</v>
      </c>
      <c r="G668" s="103"/>
      <c r="H668" s="3">
        <f t="shared" si="58"/>
        <v>0</v>
      </c>
      <c r="I668" s="29"/>
      <c r="J668" s="55"/>
      <c r="K668" s="60"/>
      <c r="L668" s="60"/>
      <c r="M668" s="59"/>
    </row>
    <row r="669" spans="1:13" ht="15" customHeight="1" x14ac:dyDescent="0.25">
      <c r="A669" s="47">
        <v>45625</v>
      </c>
      <c r="B669" s="1" t="s">
        <v>164</v>
      </c>
      <c r="C669" s="86">
        <v>3591000</v>
      </c>
      <c r="D669" s="44"/>
      <c r="E669" s="32">
        <f t="shared" si="59"/>
        <v>12227400</v>
      </c>
      <c r="F669" s="34">
        <v>200</v>
      </c>
      <c r="G669" s="103">
        <f>2-2</f>
        <v>0</v>
      </c>
      <c r="H669" s="3">
        <f t="shared" si="58"/>
        <v>0</v>
      </c>
      <c r="I669" s="29"/>
      <c r="J669" s="55"/>
      <c r="K669" s="60"/>
      <c r="L669" s="60"/>
      <c r="M669" s="59"/>
    </row>
    <row r="670" spans="1:13" ht="15" customHeight="1" x14ac:dyDescent="0.25">
      <c r="A670" s="47">
        <v>45625</v>
      </c>
      <c r="B670" s="1" t="s">
        <v>145</v>
      </c>
      <c r="C670" s="86"/>
      <c r="D670" s="44"/>
      <c r="E670" s="32">
        <f t="shared" si="59"/>
        <v>12227400</v>
      </c>
      <c r="F670" s="34">
        <v>100</v>
      </c>
      <c r="G670" s="104"/>
      <c r="H670" s="3">
        <f t="shared" si="58"/>
        <v>0</v>
      </c>
      <c r="I670" s="29"/>
      <c r="J670" s="55"/>
      <c r="K670" s="59"/>
      <c r="L670" s="60"/>
      <c r="M670" s="59"/>
    </row>
    <row r="671" spans="1:13" ht="15" customHeight="1" x14ac:dyDescent="0.25">
      <c r="A671" s="47">
        <v>45625</v>
      </c>
      <c r="B671" s="1" t="s">
        <v>143</v>
      </c>
      <c r="C671" s="86"/>
      <c r="D671" s="44">
        <f>SUM(C662:C671)</f>
        <v>11408000</v>
      </c>
      <c r="E671" s="32">
        <f t="shared" si="59"/>
        <v>819400</v>
      </c>
      <c r="F671" s="1"/>
      <c r="G671" s="1"/>
      <c r="H671" s="1"/>
      <c r="I671" s="29"/>
      <c r="J671" s="55"/>
      <c r="K671" s="59"/>
      <c r="L671" s="59"/>
      <c r="M671" s="59"/>
    </row>
    <row r="672" spans="1:13" ht="15" customHeight="1" x14ac:dyDescent="0.25">
      <c r="A672" s="47">
        <v>45625</v>
      </c>
      <c r="B672" s="1" t="s">
        <v>160</v>
      </c>
      <c r="C672" s="86"/>
      <c r="D672" s="46"/>
      <c r="E672" s="32">
        <f t="shared" si="59"/>
        <v>819400</v>
      </c>
      <c r="F672" s="1"/>
      <c r="G672" s="1"/>
      <c r="H672" s="1"/>
      <c r="I672" s="29"/>
      <c r="J672" s="55"/>
      <c r="K672" s="60"/>
      <c r="L672" s="60"/>
      <c r="M672" s="60"/>
    </row>
    <row r="673" spans="1:13" ht="15" customHeight="1" x14ac:dyDescent="0.25">
      <c r="A673" s="47">
        <v>45625</v>
      </c>
      <c r="B673" s="1"/>
      <c r="C673" s="86"/>
      <c r="D673" s="44"/>
      <c r="E673" s="32">
        <f t="shared" si="59"/>
        <v>819400</v>
      </c>
      <c r="F673" s="3"/>
      <c r="G673" s="34"/>
      <c r="H673" s="34"/>
      <c r="I673" s="29"/>
      <c r="J673" s="55"/>
      <c r="K673" s="60"/>
      <c r="L673" s="60"/>
      <c r="M673" s="60"/>
    </row>
    <row r="674" spans="1:13" ht="15" customHeight="1" x14ac:dyDescent="0.25">
      <c r="A674" s="47">
        <v>45625</v>
      </c>
      <c r="B674" s="31" t="s">
        <v>139</v>
      </c>
      <c r="C674" s="86"/>
      <c r="D674" s="44">
        <v>310000</v>
      </c>
      <c r="E674" s="32">
        <f t="shared" si="59"/>
        <v>509400</v>
      </c>
      <c r="F674" s="3"/>
      <c r="G674" s="34"/>
      <c r="H674" s="34"/>
      <c r="I674" s="29"/>
      <c r="J674" s="55"/>
      <c r="K674" s="60"/>
      <c r="L674" s="60"/>
      <c r="M674" s="60"/>
    </row>
    <row r="675" spans="1:13" ht="15" customHeight="1" x14ac:dyDescent="0.25">
      <c r="A675" s="47">
        <v>45625</v>
      </c>
      <c r="B675" s="47" t="s">
        <v>152</v>
      </c>
      <c r="C675" s="87"/>
      <c r="D675" s="44"/>
      <c r="E675" s="32">
        <f t="shared" si="59"/>
        <v>509400</v>
      </c>
      <c r="F675" s="3"/>
      <c r="G675" s="34"/>
      <c r="H675" s="34"/>
      <c r="I675" s="29"/>
      <c r="J675" s="55"/>
      <c r="K675" s="60"/>
      <c r="L675" s="60"/>
      <c r="M675" s="60"/>
    </row>
    <row r="676" spans="1:13" ht="15" customHeight="1" x14ac:dyDescent="0.25">
      <c r="A676" s="47">
        <v>45625</v>
      </c>
      <c r="B676" s="82"/>
      <c r="C676" s="87"/>
      <c r="D676" s="44"/>
      <c r="E676" s="32">
        <f t="shared" si="59"/>
        <v>509400</v>
      </c>
      <c r="F676" s="3"/>
      <c r="G676" s="34"/>
      <c r="H676" s="34"/>
      <c r="I676" s="29"/>
      <c r="J676" s="55"/>
      <c r="K676" s="60"/>
      <c r="L676" s="60"/>
      <c r="M676" s="60"/>
    </row>
    <row r="677" spans="1:13" ht="15" customHeight="1" x14ac:dyDescent="0.25">
      <c r="A677" s="47">
        <v>45625</v>
      </c>
      <c r="B677" s="3"/>
      <c r="C677" s="87"/>
      <c r="D677" s="44"/>
      <c r="E677" s="32">
        <f t="shared" si="59"/>
        <v>509400</v>
      </c>
      <c r="F677" s="3"/>
      <c r="G677" s="34"/>
      <c r="H677" s="34"/>
      <c r="I677" s="29"/>
      <c r="J677" s="55"/>
      <c r="K677" s="60"/>
      <c r="L677" s="60"/>
      <c r="M677" s="60"/>
    </row>
    <row r="678" spans="1:13" ht="15" customHeight="1" x14ac:dyDescent="0.25">
      <c r="A678" s="47">
        <v>45625</v>
      </c>
      <c r="B678" s="1"/>
      <c r="C678" s="88"/>
      <c r="D678" s="36"/>
      <c r="E678" s="32">
        <f t="shared" si="59"/>
        <v>509400</v>
      </c>
      <c r="F678" s="1"/>
      <c r="G678" s="34"/>
      <c r="I678" s="29"/>
      <c r="J678" s="55"/>
      <c r="K678" s="60"/>
      <c r="L678" s="60"/>
      <c r="M678" s="60"/>
    </row>
    <row r="679" spans="1:13" ht="15" customHeight="1" x14ac:dyDescent="0.25">
      <c r="A679" s="47">
        <v>45625</v>
      </c>
      <c r="B679" s="1" t="s">
        <v>143</v>
      </c>
      <c r="C679" s="89"/>
      <c r="D679" s="44"/>
      <c r="E679" s="32">
        <f t="shared" si="59"/>
        <v>509400</v>
      </c>
      <c r="F679" s="1"/>
      <c r="G679" s="34"/>
      <c r="I679" s="29"/>
      <c r="J679" s="55"/>
      <c r="K679" s="60"/>
      <c r="L679" s="60"/>
      <c r="M679" s="60"/>
    </row>
    <row r="680" spans="1:13" ht="15" customHeight="1" x14ac:dyDescent="0.25">
      <c r="A680" s="47">
        <v>45625</v>
      </c>
      <c r="B680" s="47"/>
      <c r="C680" s="90"/>
      <c r="D680" s="44"/>
      <c r="E680" s="32">
        <f t="shared" si="59"/>
        <v>509400</v>
      </c>
      <c r="G680" s="34"/>
      <c r="I680" s="29"/>
      <c r="J680" s="55"/>
      <c r="K680" s="60"/>
      <c r="L680" s="60"/>
      <c r="M680" s="60"/>
    </row>
    <row r="681" spans="1:13" ht="15" customHeight="1" x14ac:dyDescent="0.25">
      <c r="A681" s="47">
        <v>45625</v>
      </c>
      <c r="B681" s="45" t="s">
        <v>136</v>
      </c>
      <c r="C681" s="86"/>
      <c r="D681" s="44">
        <v>209400</v>
      </c>
      <c r="E681" s="32">
        <f t="shared" si="59"/>
        <v>300000</v>
      </c>
      <c r="F681" s="3">
        <f>SUM(H660:H677)</f>
        <v>300000</v>
      </c>
      <c r="G681" s="49">
        <f>250000-F681</f>
        <v>-50000</v>
      </c>
      <c r="I681" s="29"/>
      <c r="J681" s="55"/>
      <c r="K681" s="61"/>
      <c r="L681" s="61"/>
      <c r="M681" s="61"/>
    </row>
    <row r="682" spans="1:13" ht="15" customHeight="1" x14ac:dyDescent="0.25">
      <c r="A682" s="47">
        <v>45625</v>
      </c>
      <c r="B682" s="4" t="s">
        <v>161</v>
      </c>
      <c r="C682" s="86">
        <f>SUM(C661:C681)</f>
        <v>12170000</v>
      </c>
      <c r="D682" s="33">
        <f>SUM(D663:D681)</f>
        <v>11927400</v>
      </c>
      <c r="E682" s="32"/>
      <c r="F682" s="25">
        <f>F681-E681</f>
        <v>0</v>
      </c>
      <c r="G682" s="34"/>
      <c r="I682" s="29"/>
      <c r="J682" s="55"/>
      <c r="K682" s="60"/>
      <c r="L682" s="60"/>
      <c r="M682" s="59"/>
    </row>
    <row r="683" spans="1:13" ht="15" customHeight="1" x14ac:dyDescent="0.25">
      <c r="B683" s="31"/>
      <c r="C683" s="86"/>
      <c r="D683" s="44"/>
      <c r="E683" s="32"/>
      <c r="F683" s="3"/>
      <c r="G683" s="34"/>
      <c r="H683" s="34"/>
      <c r="I683" s="29"/>
      <c r="J683" s="55"/>
      <c r="K683" s="60"/>
      <c r="L683" s="60"/>
      <c r="M683" s="59"/>
    </row>
    <row r="684" spans="1:13" ht="15" customHeight="1" x14ac:dyDescent="0.25">
      <c r="A684" s="47">
        <v>45626</v>
      </c>
      <c r="B684" s="1" t="s">
        <v>140</v>
      </c>
      <c r="C684" s="65"/>
      <c r="D684" s="8"/>
      <c r="E684" s="8">
        <v>300000</v>
      </c>
      <c r="F684" s="49">
        <v>100000</v>
      </c>
      <c r="G684" s="103">
        <f>11-10</f>
        <v>1</v>
      </c>
      <c r="H684" s="3">
        <f>G684*F684</f>
        <v>100000</v>
      </c>
      <c r="I684" s="29"/>
      <c r="J684" s="55"/>
      <c r="K684" s="59"/>
      <c r="L684" s="60"/>
      <c r="M684" s="59"/>
    </row>
    <row r="685" spans="1:13" ht="15" customHeight="1" x14ac:dyDescent="0.25">
      <c r="A685" s="47">
        <v>45626</v>
      </c>
      <c r="B685" s="31" t="s">
        <v>138</v>
      </c>
      <c r="C685" s="73">
        <f>1482000+59000-5000</f>
        <v>1536000</v>
      </c>
      <c r="D685" s="44"/>
      <c r="E685" s="32">
        <f>E684+C685-D685</f>
        <v>1836000</v>
      </c>
      <c r="F685" s="3">
        <v>75000</v>
      </c>
      <c r="G685" s="103"/>
      <c r="H685" s="3">
        <f t="shared" ref="H685:H694" si="60">G685*F685</f>
        <v>0</v>
      </c>
      <c r="I685" s="29"/>
      <c r="J685" s="55"/>
      <c r="K685" s="59"/>
      <c r="L685" s="59"/>
      <c r="M685" s="59"/>
    </row>
    <row r="686" spans="1:13" ht="15" customHeight="1" x14ac:dyDescent="0.25">
      <c r="A686" s="47">
        <v>45626</v>
      </c>
      <c r="B686" s="1" t="s">
        <v>155</v>
      </c>
      <c r="C686" s="44">
        <v>501000</v>
      </c>
      <c r="D686" s="44"/>
      <c r="E686" s="32">
        <f t="shared" ref="E686:E705" si="61">E685+C686-D686</f>
        <v>2337000</v>
      </c>
      <c r="F686" s="34">
        <v>50000</v>
      </c>
      <c r="G686" s="103">
        <f>8-6</f>
        <v>2</v>
      </c>
      <c r="H686" s="3">
        <f t="shared" si="60"/>
        <v>100000</v>
      </c>
      <c r="I686" s="29"/>
      <c r="J686" s="55"/>
      <c r="K686" s="60"/>
      <c r="L686" s="60"/>
      <c r="M686" s="62"/>
    </row>
    <row r="687" spans="1:13" ht="15" customHeight="1" x14ac:dyDescent="0.25">
      <c r="A687" s="47">
        <v>45626</v>
      </c>
      <c r="B687" s="1" t="s">
        <v>156</v>
      </c>
      <c r="C687" s="44">
        <v>211000</v>
      </c>
      <c r="D687" s="44"/>
      <c r="E687" s="32">
        <f t="shared" si="61"/>
        <v>2548000</v>
      </c>
      <c r="F687" s="34">
        <v>20000</v>
      </c>
      <c r="G687" s="103"/>
      <c r="H687" s="3">
        <f t="shared" si="60"/>
        <v>0</v>
      </c>
      <c r="I687" s="29"/>
      <c r="J687" s="55"/>
      <c r="K687" s="62"/>
      <c r="L687" s="60"/>
      <c r="M687" s="62"/>
    </row>
    <row r="688" spans="1:13" ht="15" customHeight="1" x14ac:dyDescent="0.25">
      <c r="A688" s="47">
        <v>45626</v>
      </c>
      <c r="B688" s="1" t="s">
        <v>133</v>
      </c>
      <c r="C688" s="73">
        <v>1378000</v>
      </c>
      <c r="D688" s="44"/>
      <c r="E688" s="32">
        <f t="shared" si="61"/>
        <v>3926000</v>
      </c>
      <c r="F688" s="34">
        <v>10000</v>
      </c>
      <c r="G688" s="103">
        <v>2</v>
      </c>
      <c r="H688" s="3">
        <f t="shared" si="60"/>
        <v>20000</v>
      </c>
      <c r="I688" s="29"/>
      <c r="J688" s="55"/>
      <c r="K688" s="62"/>
      <c r="L688" s="62"/>
      <c r="M688" s="62"/>
    </row>
    <row r="689" spans="1:13" ht="15" customHeight="1" x14ac:dyDescent="0.25">
      <c r="A689" s="47">
        <v>45626</v>
      </c>
      <c r="B689" s="1" t="s">
        <v>163</v>
      </c>
      <c r="C689" s="73">
        <v>990000</v>
      </c>
      <c r="D689" s="44"/>
      <c r="E689" s="32">
        <f t="shared" si="61"/>
        <v>4916000</v>
      </c>
      <c r="F689" s="34">
        <v>5000</v>
      </c>
      <c r="G689" s="103">
        <f>12+3</f>
        <v>15</v>
      </c>
      <c r="H689" s="3">
        <f t="shared" si="60"/>
        <v>75000</v>
      </c>
      <c r="I689" s="29"/>
      <c r="J689" s="55"/>
      <c r="K689" s="60"/>
      <c r="L689" s="60"/>
      <c r="M689" s="60"/>
    </row>
    <row r="690" spans="1:13" ht="15" customHeight="1" x14ac:dyDescent="0.25">
      <c r="A690" s="47">
        <v>45626</v>
      </c>
      <c r="B690" s="1" t="s">
        <v>146</v>
      </c>
      <c r="C690" s="73">
        <v>6092500</v>
      </c>
      <c r="D690" s="44"/>
      <c r="E690" s="32">
        <f t="shared" si="61"/>
        <v>11008500</v>
      </c>
      <c r="F690" s="34">
        <v>2000</v>
      </c>
      <c r="G690" s="103">
        <v>2</v>
      </c>
      <c r="H690" s="3">
        <f t="shared" si="60"/>
        <v>4000</v>
      </c>
      <c r="I690" s="29"/>
      <c r="J690" s="55"/>
      <c r="K690" s="60"/>
      <c r="L690" s="60"/>
      <c r="M690" s="60"/>
    </row>
    <row r="691" spans="1:13" ht="15" customHeight="1" x14ac:dyDescent="0.25">
      <c r="A691" s="47">
        <v>45626</v>
      </c>
      <c r="B691" s="1" t="s">
        <v>166</v>
      </c>
      <c r="C691" s="86"/>
      <c r="D691" s="44"/>
      <c r="E691" s="32">
        <f t="shared" si="61"/>
        <v>11008500</v>
      </c>
      <c r="F691" s="34">
        <v>1000</v>
      </c>
      <c r="G691" s="103">
        <v>1</v>
      </c>
      <c r="H691" s="3">
        <f t="shared" si="60"/>
        <v>1000</v>
      </c>
      <c r="I691" s="29"/>
      <c r="J691" s="55"/>
      <c r="K691" s="61"/>
      <c r="L691" s="61"/>
      <c r="M691" s="61"/>
    </row>
    <row r="692" spans="1:13" ht="15" customHeight="1" x14ac:dyDescent="0.25">
      <c r="A692" s="47">
        <v>45626</v>
      </c>
      <c r="B692" s="1" t="s">
        <v>165</v>
      </c>
      <c r="C692" s="86"/>
      <c r="D692" s="44"/>
      <c r="E692" s="32">
        <f t="shared" si="61"/>
        <v>11008500</v>
      </c>
      <c r="F692" s="34">
        <v>500</v>
      </c>
      <c r="G692" s="103"/>
      <c r="H692" s="3">
        <f t="shared" si="60"/>
        <v>0</v>
      </c>
      <c r="I692" s="29"/>
      <c r="J692" s="55"/>
      <c r="K692" s="60"/>
      <c r="L692" s="60"/>
      <c r="M692" s="62"/>
    </row>
    <row r="693" spans="1:13" ht="15" customHeight="1" x14ac:dyDescent="0.25">
      <c r="A693" s="47">
        <v>45626</v>
      </c>
      <c r="B693" s="1" t="s">
        <v>164</v>
      </c>
      <c r="C693" s="86">
        <f>2546000-59000+5000</f>
        <v>2492000</v>
      </c>
      <c r="D693" s="44"/>
      <c r="E693" s="32">
        <f t="shared" si="61"/>
        <v>13500500</v>
      </c>
      <c r="F693" s="34">
        <v>200</v>
      </c>
      <c r="G693" s="103"/>
      <c r="H693" s="3">
        <f t="shared" si="60"/>
        <v>0</v>
      </c>
      <c r="I693" s="29"/>
      <c r="J693" s="55"/>
      <c r="K693" s="60"/>
      <c r="L693" s="60"/>
      <c r="M693" s="62"/>
    </row>
    <row r="694" spans="1:13" ht="15" customHeight="1" x14ac:dyDescent="0.25">
      <c r="A694" s="47">
        <v>45626</v>
      </c>
      <c r="B694" s="1" t="s">
        <v>145</v>
      </c>
      <c r="C694" s="86">
        <v>194000</v>
      </c>
      <c r="D694" s="44"/>
      <c r="E694" s="32">
        <f t="shared" si="61"/>
        <v>13694500</v>
      </c>
      <c r="F694" s="34">
        <v>100</v>
      </c>
      <c r="G694" s="104"/>
      <c r="H694" s="3">
        <f t="shared" si="60"/>
        <v>0</v>
      </c>
      <c r="I694" s="29"/>
      <c r="J694" s="55"/>
      <c r="K694" s="62"/>
      <c r="L694" s="60"/>
      <c r="M694" s="62"/>
    </row>
    <row r="695" spans="1:13" ht="15" customHeight="1" x14ac:dyDescent="0.25">
      <c r="A695" s="47">
        <v>45626</v>
      </c>
      <c r="B695" s="1" t="s">
        <v>143</v>
      </c>
      <c r="C695" s="86"/>
      <c r="D695" s="44">
        <f>SUM(C686:C695)</f>
        <v>11858500</v>
      </c>
      <c r="E695" s="32">
        <f t="shared" si="61"/>
        <v>1836000</v>
      </c>
      <c r="F695" s="1"/>
      <c r="G695" s="1"/>
      <c r="H695" s="1"/>
      <c r="I695" s="29"/>
      <c r="J695" s="55"/>
      <c r="K695" s="62"/>
      <c r="L695" s="62"/>
      <c r="M695" s="62"/>
    </row>
    <row r="696" spans="1:13" ht="15" customHeight="1" x14ac:dyDescent="0.25">
      <c r="A696" s="47">
        <v>45626</v>
      </c>
      <c r="B696" s="1" t="s">
        <v>160</v>
      </c>
      <c r="C696" s="86"/>
      <c r="D696" s="46"/>
      <c r="E696" s="32">
        <f t="shared" si="61"/>
        <v>1836000</v>
      </c>
      <c r="F696" s="1"/>
      <c r="G696" s="1"/>
      <c r="H696" s="1"/>
      <c r="I696" s="29"/>
      <c r="J696" s="55"/>
      <c r="K696" s="60"/>
      <c r="L696" s="60"/>
      <c r="M696" s="60"/>
    </row>
    <row r="697" spans="1:13" ht="15" customHeight="1" x14ac:dyDescent="0.25">
      <c r="A697" s="47">
        <v>45626</v>
      </c>
      <c r="B697" s="1"/>
      <c r="C697" s="86"/>
      <c r="D697" s="44"/>
      <c r="E697" s="32">
        <f t="shared" si="61"/>
        <v>1836000</v>
      </c>
      <c r="F697" s="3"/>
      <c r="G697" s="34"/>
      <c r="H697" s="34"/>
      <c r="I697" s="29"/>
      <c r="J697" s="64"/>
      <c r="K697" s="60"/>
      <c r="L697" s="60"/>
      <c r="M697" s="60"/>
    </row>
    <row r="698" spans="1:13" ht="15" customHeight="1" x14ac:dyDescent="0.25">
      <c r="A698" s="47">
        <v>45626</v>
      </c>
      <c r="B698" s="31" t="s">
        <v>139</v>
      </c>
      <c r="C698" s="86"/>
      <c r="D698" s="44">
        <v>257800</v>
      </c>
      <c r="E698" s="32">
        <f t="shared" si="61"/>
        <v>1578200</v>
      </c>
      <c r="F698" s="3"/>
      <c r="G698" s="34"/>
      <c r="H698" s="34"/>
      <c r="I698" s="29"/>
      <c r="J698" s="64"/>
      <c r="K698" s="60"/>
      <c r="L698" s="60"/>
      <c r="M698" s="60"/>
    </row>
    <row r="699" spans="1:13" ht="15" customHeight="1" x14ac:dyDescent="0.25">
      <c r="A699" s="47">
        <v>45626</v>
      </c>
      <c r="B699" s="47" t="s">
        <v>152</v>
      </c>
      <c r="C699" s="87"/>
      <c r="D699" s="44"/>
      <c r="E699" s="32">
        <f t="shared" si="61"/>
        <v>1578200</v>
      </c>
      <c r="F699" s="3"/>
      <c r="G699" s="34"/>
      <c r="H699" s="34"/>
      <c r="I699" s="29"/>
      <c r="J699" s="64"/>
      <c r="K699" s="60"/>
      <c r="L699" s="60"/>
      <c r="M699" s="60"/>
    </row>
    <row r="700" spans="1:13" ht="15" customHeight="1" x14ac:dyDescent="0.25">
      <c r="A700" s="47">
        <v>45626</v>
      </c>
      <c r="B700" s="82"/>
      <c r="C700" s="87"/>
      <c r="D700" s="44"/>
      <c r="E700" s="32">
        <f t="shared" si="61"/>
        <v>1578200</v>
      </c>
      <c r="F700" s="3"/>
      <c r="G700" s="34"/>
      <c r="H700" s="34"/>
      <c r="I700" s="29"/>
      <c r="J700" s="60"/>
      <c r="K700" s="60"/>
      <c r="L700" s="60"/>
      <c r="M700" s="60"/>
    </row>
    <row r="701" spans="1:13" ht="15" customHeight="1" x14ac:dyDescent="0.25">
      <c r="A701" s="47">
        <v>45626</v>
      </c>
      <c r="B701" s="3"/>
      <c r="C701" s="87"/>
      <c r="D701" s="44"/>
      <c r="E701" s="32">
        <f t="shared" si="61"/>
        <v>1578200</v>
      </c>
      <c r="F701" s="3"/>
      <c r="G701" s="34"/>
      <c r="H701" s="34"/>
      <c r="I701" s="29"/>
      <c r="J701" s="60"/>
      <c r="K701" s="61"/>
      <c r="L701" s="61"/>
      <c r="M701" s="72"/>
    </row>
    <row r="702" spans="1:13" ht="15" customHeight="1" x14ac:dyDescent="0.25">
      <c r="A702" s="47">
        <v>45626</v>
      </c>
      <c r="B702" s="1"/>
      <c r="C702" s="88"/>
      <c r="D702" s="36"/>
      <c r="E702" s="32">
        <f t="shared" si="61"/>
        <v>1578200</v>
      </c>
      <c r="F702" s="1"/>
      <c r="G702" s="34"/>
      <c r="I702" s="29"/>
      <c r="J702" s="59"/>
      <c r="K702" s="60"/>
      <c r="L702" s="60"/>
      <c r="M702" s="70"/>
    </row>
    <row r="703" spans="1:13" ht="15" customHeight="1" x14ac:dyDescent="0.25">
      <c r="A703" s="47">
        <v>45626</v>
      </c>
      <c r="B703" s="1" t="s">
        <v>143</v>
      </c>
      <c r="C703" s="89"/>
      <c r="D703" s="44"/>
      <c r="E703" s="32">
        <f t="shared" si="61"/>
        <v>1578200</v>
      </c>
      <c r="F703" s="1"/>
      <c r="G703" s="34"/>
      <c r="I703" s="29"/>
      <c r="J703" s="55"/>
      <c r="K703" s="60"/>
      <c r="L703" s="60"/>
      <c r="M703" s="70"/>
    </row>
    <row r="704" spans="1:13" ht="15" customHeight="1" x14ac:dyDescent="0.25">
      <c r="A704" s="47">
        <v>45626</v>
      </c>
      <c r="B704" s="47"/>
      <c r="C704" s="90"/>
      <c r="D704" s="44"/>
      <c r="E704" s="32">
        <f t="shared" si="61"/>
        <v>1578200</v>
      </c>
      <c r="G704" s="34"/>
      <c r="I704" s="29"/>
      <c r="J704" s="55"/>
      <c r="K704" s="59"/>
      <c r="L704" s="60"/>
      <c r="M704" s="70"/>
    </row>
    <row r="705" spans="1:13" ht="15" customHeight="1" x14ac:dyDescent="0.25">
      <c r="A705" s="47">
        <v>45626</v>
      </c>
      <c r="B705" s="45" t="s">
        <v>136</v>
      </c>
      <c r="C705" s="86">
        <v>20000</v>
      </c>
      <c r="D705" s="44">
        <v>1300000</v>
      </c>
      <c r="E705" s="32">
        <f t="shared" si="61"/>
        <v>298200</v>
      </c>
      <c r="F705" s="3">
        <f>SUM(H684:H701)</f>
        <v>300000</v>
      </c>
      <c r="G705" s="49">
        <f>250000-F705</f>
        <v>-50000</v>
      </c>
      <c r="I705" s="29"/>
      <c r="J705" s="66"/>
      <c r="K705" s="59"/>
      <c r="L705" s="59"/>
      <c r="M705" s="70"/>
    </row>
    <row r="706" spans="1:13" ht="15" customHeight="1" x14ac:dyDescent="0.25">
      <c r="A706" s="47">
        <v>45626</v>
      </c>
      <c r="B706" s="4" t="s">
        <v>161</v>
      </c>
      <c r="C706" s="86">
        <f>SUM(C685:C705)</f>
        <v>13414500</v>
      </c>
      <c r="D706" s="33">
        <f>SUM(D687:D705)</f>
        <v>13416300</v>
      </c>
      <c r="E706" s="32"/>
      <c r="F706" s="25">
        <f>F705-E705</f>
        <v>1800</v>
      </c>
      <c r="G706" s="34"/>
      <c r="I706" s="29"/>
      <c r="J706" s="55"/>
      <c r="K706" s="60"/>
      <c r="L706" s="60"/>
      <c r="M706" s="60"/>
    </row>
    <row r="707" spans="1:13" ht="15" customHeight="1" x14ac:dyDescent="0.25">
      <c r="A707" s="47"/>
      <c r="B707" s="47"/>
      <c r="C707" s="87"/>
      <c r="D707" s="44"/>
      <c r="E707" s="32"/>
      <c r="F707" s="3"/>
      <c r="G707" s="34"/>
      <c r="H707" s="34"/>
      <c r="I707" s="29"/>
      <c r="J707" s="60"/>
      <c r="K707" s="60"/>
      <c r="L707" s="60"/>
      <c r="M707" s="60"/>
    </row>
    <row r="708" spans="1:13" ht="15" customHeight="1" x14ac:dyDescent="0.25">
      <c r="A708" s="47"/>
      <c r="B708" s="82"/>
      <c r="C708" s="87"/>
      <c r="D708" s="44"/>
      <c r="E708" s="32"/>
      <c r="F708" s="3"/>
      <c r="G708" s="34"/>
      <c r="H708" s="34"/>
      <c r="I708" s="29"/>
      <c r="J708" s="60"/>
      <c r="K708" s="60"/>
      <c r="L708" s="60"/>
      <c r="M708" s="60"/>
    </row>
    <row r="709" spans="1:13" ht="15" customHeight="1" x14ac:dyDescent="0.25">
      <c r="A709" s="47"/>
      <c r="B709" s="3"/>
      <c r="C709" s="87"/>
      <c r="D709" s="44"/>
      <c r="E709" s="32"/>
      <c r="F709" s="3"/>
      <c r="G709" s="34"/>
      <c r="H709" s="34"/>
      <c r="I709" s="29"/>
      <c r="J709" s="60"/>
      <c r="K709" s="60"/>
      <c r="L709" s="60"/>
      <c r="M709" s="60"/>
    </row>
    <row r="710" spans="1:13" ht="15" customHeight="1" x14ac:dyDescent="0.25">
      <c r="A710" s="47"/>
      <c r="B710" s="1"/>
      <c r="C710" s="88"/>
      <c r="D710" s="36"/>
      <c r="E710" s="32"/>
      <c r="F710" s="1"/>
      <c r="G710" s="34"/>
      <c r="I710" s="29"/>
      <c r="J710" s="60"/>
      <c r="K710" s="60"/>
      <c r="L710" s="60"/>
      <c r="M710" s="60"/>
    </row>
    <row r="711" spans="1:13" ht="15" customHeight="1" x14ac:dyDescent="0.25">
      <c r="A711" s="47"/>
      <c r="B711" s="1"/>
      <c r="C711" s="89"/>
      <c r="D711" s="44"/>
      <c r="E711" s="32"/>
      <c r="F711" s="1"/>
      <c r="G711" s="34"/>
      <c r="I711" s="29"/>
      <c r="J711" s="60"/>
      <c r="K711" s="60"/>
      <c r="L711" s="60"/>
      <c r="M711" s="60"/>
    </row>
    <row r="712" spans="1:13" ht="15" customHeight="1" x14ac:dyDescent="0.25">
      <c r="A712" s="47"/>
      <c r="B712" s="47"/>
      <c r="C712" s="90"/>
      <c r="D712" s="44"/>
      <c r="E712" s="32"/>
      <c r="G712" s="34"/>
      <c r="I712" s="29"/>
      <c r="J712" s="60"/>
      <c r="K712" s="60"/>
      <c r="L712" s="60"/>
      <c r="M712" s="60"/>
    </row>
    <row r="713" spans="1:13" ht="15" customHeight="1" x14ac:dyDescent="0.25">
      <c r="A713" s="47"/>
      <c r="B713" s="45"/>
      <c r="C713" s="86"/>
      <c r="D713" s="44"/>
      <c r="E713" s="32"/>
      <c r="F713" s="3"/>
      <c r="G713" s="49"/>
      <c r="I713" s="29"/>
      <c r="J713" s="60"/>
      <c r="K713" s="60"/>
      <c r="L713" s="60"/>
      <c r="M713" s="60"/>
    </row>
    <row r="714" spans="1:13" ht="15" customHeight="1" x14ac:dyDescent="0.25">
      <c r="A714" s="47"/>
      <c r="C714" s="86"/>
      <c r="D714" s="33"/>
      <c r="E714" s="32"/>
      <c r="F714" s="25"/>
      <c r="G714" s="34"/>
      <c r="I714" s="29"/>
      <c r="J714" s="60"/>
      <c r="K714" s="60"/>
      <c r="L714" s="60"/>
      <c r="M714" s="60"/>
    </row>
    <row r="715" spans="1:13" ht="15" customHeight="1" x14ac:dyDescent="0.25">
      <c r="B715" s="30"/>
      <c r="C715" s="65"/>
      <c r="D715" s="8"/>
      <c r="E715" s="8"/>
      <c r="F715" s="34"/>
      <c r="G715" s="34"/>
      <c r="I715" s="29"/>
      <c r="J715" s="60"/>
      <c r="K715" s="60"/>
      <c r="L715" s="60"/>
      <c r="M715" s="60"/>
    </row>
    <row r="716" spans="1:13" ht="15" customHeight="1" x14ac:dyDescent="0.25">
      <c r="B716" s="30"/>
      <c r="C716" s="65"/>
      <c r="D716" s="8"/>
      <c r="E716" s="8"/>
      <c r="F716" s="34"/>
      <c r="G716" s="34"/>
      <c r="I716" s="29"/>
      <c r="J716" s="60"/>
      <c r="K716" s="60"/>
      <c r="L716" s="60"/>
      <c r="M716" s="60"/>
    </row>
    <row r="717" spans="1:13" ht="15" customHeight="1" x14ac:dyDescent="0.25">
      <c r="B717" s="30"/>
      <c r="C717" s="65"/>
      <c r="D717" s="8"/>
      <c r="E717" s="8"/>
      <c r="F717" s="34"/>
      <c r="G717" s="34"/>
      <c r="I717" s="29"/>
      <c r="J717" s="60"/>
      <c r="K717" s="60"/>
      <c r="L717" s="60"/>
      <c r="M717" s="60"/>
    </row>
    <row r="718" spans="1:13" ht="15" customHeight="1" x14ac:dyDescent="0.25">
      <c r="B718" s="30"/>
      <c r="C718" s="65"/>
      <c r="D718" s="8"/>
      <c r="E718" s="8"/>
      <c r="F718" s="34"/>
      <c r="G718" s="34"/>
      <c r="I718" s="29"/>
      <c r="J718" s="60"/>
      <c r="K718" s="60"/>
      <c r="L718" s="60"/>
      <c r="M718" s="60"/>
    </row>
    <row r="719" spans="1:13" ht="15" customHeight="1" x14ac:dyDescent="0.25">
      <c r="B719" s="30"/>
      <c r="C719" s="65"/>
      <c r="D719" s="8"/>
      <c r="E719" s="8"/>
      <c r="F719" s="34"/>
      <c r="G719" s="34"/>
      <c r="I719" s="29"/>
      <c r="J719" s="60"/>
      <c r="K719" s="60"/>
      <c r="L719" s="60"/>
      <c r="M719" s="60"/>
    </row>
    <row r="720" spans="1:13" ht="15" customHeight="1" x14ac:dyDescent="0.25">
      <c r="B720" s="30"/>
      <c r="C720" s="65"/>
      <c r="D720" s="8"/>
      <c r="E720" s="8"/>
      <c r="F720" s="34"/>
      <c r="G720" s="34"/>
      <c r="I720" s="29"/>
      <c r="J720" s="60"/>
      <c r="K720" s="60"/>
      <c r="L720" s="60"/>
      <c r="M720" s="60"/>
    </row>
    <row r="721" spans="2:13" ht="15" customHeight="1" x14ac:dyDescent="0.25">
      <c r="B721" s="30"/>
      <c r="C721" s="65"/>
      <c r="D721" s="8"/>
      <c r="E721" s="8"/>
      <c r="F721" s="34"/>
      <c r="G721" s="34"/>
      <c r="I721" s="29"/>
      <c r="J721" s="60"/>
      <c r="K721" s="60"/>
      <c r="L721" s="60"/>
      <c r="M721" s="60"/>
    </row>
    <row r="722" spans="2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2:13" ht="15" customHeight="1" x14ac:dyDescent="0.25">
      <c r="B723" s="30"/>
      <c r="C723" s="65"/>
      <c r="D723" s="8"/>
      <c r="E723" s="8"/>
      <c r="F723" s="34"/>
      <c r="G723" s="34"/>
      <c r="I723" s="29"/>
      <c r="J723" s="60"/>
      <c r="K723" s="60"/>
      <c r="L723" s="60"/>
      <c r="M723" s="60"/>
    </row>
    <row r="724" spans="2:13" ht="15" customHeight="1" x14ac:dyDescent="0.25">
      <c r="B724" s="30"/>
      <c r="C724" s="65"/>
      <c r="D724" s="8"/>
      <c r="E724" s="8"/>
      <c r="F724" s="34"/>
      <c r="G724" s="34"/>
      <c r="I724" s="29"/>
      <c r="J724" s="60"/>
      <c r="K724" s="60"/>
      <c r="L724" s="60"/>
      <c r="M724" s="60"/>
    </row>
    <row r="725" spans="2:13" ht="15" customHeight="1" x14ac:dyDescent="0.25">
      <c r="B725" s="30"/>
      <c r="C725" s="65"/>
      <c r="D725" s="8"/>
      <c r="E725" s="8"/>
      <c r="F725" s="34"/>
      <c r="G725" s="34"/>
      <c r="I725" s="29"/>
      <c r="J725" s="60"/>
      <c r="K725" s="60"/>
      <c r="L725" s="60"/>
      <c r="M725" s="60"/>
    </row>
    <row r="726" spans="2:13" ht="15" customHeight="1" x14ac:dyDescent="0.25">
      <c r="B726" s="30"/>
      <c r="C726" s="65"/>
      <c r="D726" s="8"/>
      <c r="E726" s="8"/>
      <c r="F726" s="34"/>
      <c r="G726" s="34"/>
      <c r="I726" s="29"/>
      <c r="J726" s="60"/>
      <c r="K726" s="60"/>
      <c r="L726" s="60"/>
      <c r="M726" s="60"/>
    </row>
    <row r="727" spans="2:13" ht="15" customHeight="1" x14ac:dyDescent="0.25">
      <c r="B727" s="30"/>
      <c r="C727" s="65"/>
      <c r="D727" s="8"/>
      <c r="E727" s="8"/>
      <c r="F727" s="34"/>
      <c r="G727" s="34"/>
      <c r="I727" s="29"/>
      <c r="J727" s="60"/>
      <c r="K727" s="60"/>
      <c r="L727" s="60"/>
      <c r="M727" s="60"/>
    </row>
    <row r="728" spans="2:13" ht="15" customHeight="1" x14ac:dyDescent="0.25">
      <c r="B728" s="30"/>
      <c r="C728" s="65"/>
      <c r="D728" s="8"/>
      <c r="E728" s="8"/>
      <c r="F728" s="34"/>
      <c r="G728" s="34"/>
      <c r="I728" s="29"/>
      <c r="J728" s="60"/>
      <c r="K728" s="60"/>
      <c r="L728" s="60"/>
      <c r="M728" s="60"/>
    </row>
    <row r="729" spans="2:13" ht="15" customHeight="1" x14ac:dyDescent="0.25">
      <c r="B729" s="30"/>
      <c r="C729" s="65"/>
      <c r="D729" s="8"/>
      <c r="E729" s="8"/>
      <c r="F729" s="34"/>
      <c r="G729" s="34"/>
      <c r="I729" s="29"/>
      <c r="J729" s="60"/>
      <c r="K729" s="60"/>
      <c r="L729" s="60"/>
      <c r="M729" s="60"/>
    </row>
    <row r="730" spans="2:13" ht="15" customHeight="1" x14ac:dyDescent="0.25">
      <c r="B730" s="30"/>
      <c r="C730" s="65"/>
      <c r="D730" s="8"/>
      <c r="E730" s="8"/>
      <c r="F730" s="34"/>
      <c r="G730" s="34"/>
      <c r="I730" s="29"/>
      <c r="J730" s="60"/>
      <c r="K730" s="60"/>
      <c r="L730" s="60"/>
      <c r="M730" s="60"/>
    </row>
    <row r="731" spans="2:13" ht="15" customHeight="1" x14ac:dyDescent="0.25">
      <c r="B731" s="30"/>
      <c r="C731" s="65"/>
      <c r="D731" s="8"/>
      <c r="E731" s="8"/>
      <c r="F731" s="34"/>
      <c r="G731" s="34"/>
      <c r="I731" s="29"/>
      <c r="J731" s="60"/>
      <c r="K731" s="60"/>
      <c r="L731" s="60"/>
      <c r="M731" s="60"/>
    </row>
    <row r="732" spans="2:13" ht="15" customHeight="1" x14ac:dyDescent="0.25">
      <c r="B732" s="30"/>
      <c r="C732" s="65"/>
      <c r="D732" s="8"/>
      <c r="E732" s="8"/>
      <c r="F732" s="34"/>
      <c r="G732" s="34"/>
      <c r="I732" s="29"/>
      <c r="J732" s="60"/>
      <c r="K732" s="60"/>
      <c r="L732" s="60"/>
      <c r="M732" s="60"/>
    </row>
    <row r="733" spans="2:13" ht="15" customHeight="1" x14ac:dyDescent="0.25">
      <c r="B733" s="30"/>
      <c r="C733" s="65"/>
      <c r="D733" s="8"/>
      <c r="E733" s="8"/>
      <c r="F733" s="34"/>
      <c r="G733" s="34"/>
      <c r="I733" s="29"/>
      <c r="J733" s="60"/>
      <c r="K733" s="60"/>
      <c r="L733" s="60"/>
      <c r="M733" s="60"/>
    </row>
    <row r="734" spans="2:13" ht="15" customHeight="1" x14ac:dyDescent="0.25">
      <c r="B734" s="30"/>
      <c r="C734" s="65"/>
      <c r="D734" s="8"/>
      <c r="E734" s="8"/>
      <c r="F734" s="34"/>
      <c r="G734" s="34"/>
      <c r="I734" s="29"/>
      <c r="J734" s="60"/>
      <c r="K734" s="61"/>
      <c r="L734" s="61"/>
      <c r="M734" s="61"/>
    </row>
    <row r="735" spans="2:13" ht="15" customHeight="1" x14ac:dyDescent="0.25">
      <c r="B735" s="30"/>
      <c r="C735" s="65"/>
      <c r="D735" s="8"/>
      <c r="E735" s="8"/>
      <c r="F735" s="34"/>
      <c r="G735" s="34"/>
      <c r="I735" s="29"/>
      <c r="J735" s="59"/>
      <c r="K735" s="60"/>
      <c r="L735" s="60"/>
      <c r="M735" s="59"/>
    </row>
    <row r="736" spans="2:13" ht="15" customHeight="1" x14ac:dyDescent="0.25">
      <c r="B736" s="30"/>
      <c r="C736" s="65"/>
      <c r="D736" s="8"/>
      <c r="E736" s="8"/>
      <c r="F736" s="34"/>
      <c r="G736" s="34"/>
      <c r="I736" s="29"/>
      <c r="J736" s="55"/>
      <c r="K736" s="60"/>
      <c r="L736" s="60"/>
      <c r="M736" s="59"/>
    </row>
    <row r="737" spans="2:13" ht="15" customHeight="1" x14ac:dyDescent="0.25">
      <c r="B737" s="30"/>
      <c r="C737" s="65"/>
      <c r="D737" s="8"/>
      <c r="E737" s="8"/>
      <c r="F737" s="34"/>
      <c r="G737" s="34"/>
      <c r="I737" s="29"/>
      <c r="J737" s="55"/>
      <c r="K737" s="59"/>
      <c r="L737" s="60"/>
      <c r="M737" s="59"/>
    </row>
    <row r="738" spans="2:13" ht="15" customHeight="1" x14ac:dyDescent="0.25">
      <c r="B738" s="30"/>
      <c r="C738" s="65"/>
      <c r="D738" s="8"/>
      <c r="E738" s="8"/>
      <c r="F738" s="34"/>
      <c r="G738" s="34"/>
      <c r="I738" s="29"/>
      <c r="J738" s="66"/>
      <c r="K738" s="59"/>
      <c r="L738" s="59"/>
      <c r="M738" s="59"/>
    </row>
    <row r="739" spans="2:13" ht="15" customHeight="1" x14ac:dyDescent="0.25">
      <c r="B739" s="30"/>
      <c r="C739" s="65"/>
      <c r="D739" s="8"/>
      <c r="E739" s="8"/>
      <c r="F739" s="34"/>
      <c r="G739" s="34"/>
      <c r="I739" s="29"/>
      <c r="J739" s="55"/>
      <c r="K739" s="59"/>
      <c r="L739" s="60"/>
      <c r="M739" s="59"/>
    </row>
    <row r="740" spans="2:13" ht="15" customHeight="1" x14ac:dyDescent="0.25">
      <c r="B740" s="30"/>
      <c r="C740" s="65"/>
      <c r="D740" s="8"/>
      <c r="E740" s="8"/>
      <c r="F740" s="34"/>
      <c r="G740" s="34"/>
      <c r="I740" s="29"/>
      <c r="J740" s="66"/>
      <c r="K740" s="59"/>
      <c r="L740" s="59"/>
      <c r="M740" s="59"/>
    </row>
    <row r="741" spans="2:13" ht="15" customHeight="1" x14ac:dyDescent="0.25">
      <c r="B741" s="30"/>
      <c r="C741" s="65"/>
      <c r="D741" s="8"/>
      <c r="E741" s="8"/>
      <c r="F741" s="34"/>
      <c r="G741" s="34"/>
      <c r="I741" s="29"/>
      <c r="J741" s="55"/>
      <c r="K741" s="61"/>
      <c r="L741" s="61"/>
      <c r="M741" s="61"/>
    </row>
    <row r="742" spans="2:13" ht="15" customHeight="1" x14ac:dyDescent="0.25">
      <c r="B742" s="30"/>
      <c r="C742" s="65"/>
      <c r="D742" s="8"/>
      <c r="E742" s="8"/>
      <c r="F742" s="34"/>
      <c r="G742" s="34"/>
      <c r="I742" s="29"/>
      <c r="J742" s="59"/>
      <c r="K742" s="60"/>
      <c r="L742" s="60"/>
      <c r="M742" s="59"/>
    </row>
    <row r="743" spans="2:13" ht="15" customHeight="1" x14ac:dyDescent="0.25">
      <c r="B743" s="30"/>
      <c r="C743" s="65"/>
      <c r="D743" s="8"/>
      <c r="E743" s="8"/>
      <c r="F743" s="34"/>
      <c r="G743" s="34"/>
      <c r="I743" s="29"/>
      <c r="J743" s="55"/>
      <c r="K743" s="60"/>
      <c r="L743" s="60"/>
      <c r="M743" s="59"/>
    </row>
    <row r="744" spans="2:13" ht="15" customHeight="1" x14ac:dyDescent="0.25">
      <c r="B744" s="30"/>
      <c r="C744" s="65"/>
      <c r="D744" s="8"/>
      <c r="E744" s="8"/>
      <c r="F744" s="34"/>
      <c r="G744" s="34"/>
      <c r="I744" s="29"/>
      <c r="J744" s="55"/>
      <c r="K744" s="59"/>
      <c r="L744" s="60"/>
      <c r="M744" s="59"/>
    </row>
    <row r="745" spans="2:13" ht="15" customHeight="1" x14ac:dyDescent="0.25">
      <c r="B745" s="30"/>
      <c r="C745" s="65"/>
      <c r="D745" s="8"/>
      <c r="E745" s="8"/>
      <c r="F745" s="34"/>
      <c r="G745" s="34"/>
      <c r="I745" s="29"/>
      <c r="J745" s="66"/>
      <c r="K745" s="59"/>
      <c r="L745" s="59"/>
      <c r="M745" s="59"/>
    </row>
    <row r="746" spans="2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2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2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2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2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2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2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6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6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6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2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6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6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6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6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6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6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6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6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6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6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6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1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5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0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2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2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6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2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6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6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6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6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6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6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6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6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6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6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6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6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6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6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2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6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6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2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6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2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6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6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2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6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6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2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6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6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6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6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6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6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6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6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6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6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6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6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2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2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6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6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2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1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1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3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0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2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6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6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2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6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6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6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6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6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6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6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6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6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6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6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6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2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6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6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6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6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6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6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6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6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2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2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6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6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6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6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2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6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6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6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6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6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6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6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6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6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6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6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0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7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1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6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6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6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6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6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6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6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6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6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6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6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6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6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6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2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6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6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6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2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6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6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6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6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2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6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6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6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2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6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6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2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6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2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6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6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6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2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6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6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6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6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6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6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6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6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2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2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6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2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6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6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6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6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6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6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6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6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6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6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6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1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3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0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2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1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6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6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6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6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2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6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6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6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2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6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6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6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6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6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6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6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6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6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6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6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6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6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2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6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6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6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6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6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6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6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6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6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6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2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2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2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6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6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6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6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6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6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2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6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6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6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6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6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6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6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6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6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6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6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6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2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6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2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6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6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6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6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6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6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6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6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6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1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1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1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1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1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5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0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2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6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2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2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6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6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2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6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6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6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2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2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6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6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6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6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6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6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6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6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6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6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6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6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6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6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6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6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6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6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6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6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6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6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6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6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6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6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2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2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2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6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6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6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6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6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6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6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6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2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6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6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6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6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6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6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6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6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6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6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6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2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2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6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6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6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6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6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2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6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6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6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6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6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6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6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6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6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6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6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6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6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6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6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6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6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5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0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2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6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6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2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6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6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2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6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6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2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6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2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6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6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6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6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6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6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6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6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6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6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2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6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6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6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2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6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6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6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6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6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6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6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6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6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6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2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2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2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6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2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6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6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6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6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6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2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6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6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6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6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6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6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6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6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6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6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6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6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6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6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6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6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6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3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0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2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6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6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6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2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6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2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2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2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2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6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6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6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6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2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2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2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6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6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6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6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6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2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6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2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6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6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6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6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6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2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6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6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6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6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6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6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6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6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3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0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0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2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2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6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6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6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6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6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6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6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6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2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2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6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6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6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6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2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6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2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6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2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2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6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6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6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6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6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6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6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6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6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2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2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6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6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6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2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6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2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6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2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6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6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6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6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6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6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6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2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6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6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6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6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2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2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6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6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6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6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6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6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6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6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6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6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6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6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6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6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6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1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3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0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2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6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6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2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6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6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6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6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6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6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6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6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6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2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6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6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6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6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6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2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6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6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6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6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2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2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6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6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2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6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6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6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6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6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6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6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2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6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6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6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6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6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6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6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6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6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6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6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6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6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6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6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6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6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2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6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6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6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6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6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2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6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6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6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6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6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6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6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6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6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2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6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2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2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6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6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6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6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6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6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6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6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6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6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2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6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6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6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6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6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2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2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2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2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2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2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2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2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2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2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2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2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2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2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2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2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2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2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4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8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2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2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2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2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2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2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2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2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2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2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2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2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2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2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2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2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2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2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2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2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2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2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2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2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2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2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2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2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2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2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2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2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2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2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2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2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2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2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2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2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2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2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2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2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2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2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2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2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2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2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2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2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2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2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2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2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2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2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2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2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2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2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2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2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2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2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2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2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2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2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2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2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2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2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2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2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2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2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2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2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2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2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2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2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2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2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2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2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2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2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2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2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2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2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2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2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2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99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0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1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2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2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2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2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2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2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2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2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2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2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2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2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2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2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2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2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2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2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2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2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2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2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2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2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2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2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2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2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2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2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2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2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2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2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2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2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2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2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2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2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2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2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2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2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2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2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2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2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2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2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2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2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2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2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2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2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2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2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2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2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2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2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2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2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2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2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2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2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2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2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2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2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2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2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2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2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2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2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2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2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2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2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2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2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2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2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2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2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2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4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8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2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2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2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2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2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2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2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2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2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2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2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2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2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2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2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2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2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2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2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2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2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2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2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2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2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2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2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2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2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2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2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2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2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2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2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2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2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2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2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2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2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2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2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2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2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2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2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2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2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2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2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2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2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2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2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2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2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2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2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2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2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2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2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2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2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2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1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1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60"/>
  <sheetViews>
    <sheetView tabSelected="1" zoomScale="75" zoomScaleNormal="55" workbookViewId="0">
      <pane xSplit="3" ySplit="2" topLeftCell="AY3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R16" sqref="BR16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18.710937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0">
        <v>45597</v>
      </c>
      <c r="E1" s="110"/>
      <c r="F1" s="110">
        <v>45598</v>
      </c>
      <c r="G1" s="110"/>
      <c r="H1" s="110">
        <v>45599</v>
      </c>
      <c r="I1" s="110"/>
      <c r="J1" s="110">
        <v>45600</v>
      </c>
      <c r="K1" s="110"/>
      <c r="L1" s="110">
        <v>45601</v>
      </c>
      <c r="M1" s="110"/>
      <c r="N1" s="110">
        <v>45602</v>
      </c>
      <c r="O1" s="110"/>
      <c r="P1" s="110">
        <v>45603</v>
      </c>
      <c r="Q1" s="110"/>
      <c r="R1" s="110">
        <v>45604</v>
      </c>
      <c r="S1" s="110"/>
      <c r="T1" s="110">
        <v>45605</v>
      </c>
      <c r="U1" s="110"/>
      <c r="V1" s="110">
        <v>45606</v>
      </c>
      <c r="W1" s="110"/>
      <c r="X1" s="110">
        <v>45607</v>
      </c>
      <c r="Y1" s="110"/>
      <c r="Z1" s="110">
        <v>45608</v>
      </c>
      <c r="AA1" s="110"/>
      <c r="AB1" s="110">
        <v>45609</v>
      </c>
      <c r="AC1" s="110"/>
      <c r="AD1" s="110">
        <v>45610</v>
      </c>
      <c r="AE1" s="110"/>
      <c r="AF1" s="110">
        <v>45611</v>
      </c>
      <c r="AG1" s="110"/>
      <c r="AH1" s="110">
        <v>45612</v>
      </c>
      <c r="AI1" s="110"/>
      <c r="AJ1" s="110">
        <v>45613</v>
      </c>
      <c r="AK1" s="110"/>
      <c r="AL1" s="110">
        <v>45614</v>
      </c>
      <c r="AM1" s="110"/>
      <c r="AN1" s="110">
        <v>45615</v>
      </c>
      <c r="AO1" s="110"/>
      <c r="AP1" s="110">
        <v>45616</v>
      </c>
      <c r="AQ1" s="110"/>
      <c r="AR1" s="110">
        <v>45617</v>
      </c>
      <c r="AS1" s="110"/>
      <c r="AT1" s="110">
        <v>45618</v>
      </c>
      <c r="AU1" s="110"/>
      <c r="AV1" s="110">
        <v>45619</v>
      </c>
      <c r="AW1" s="110"/>
      <c r="AX1" s="110">
        <v>45620</v>
      </c>
      <c r="AY1" s="110"/>
      <c r="AZ1" s="110">
        <v>45621</v>
      </c>
      <c r="BA1" s="110"/>
      <c r="BB1" s="110">
        <v>45622</v>
      </c>
      <c r="BC1" s="110"/>
      <c r="BD1" s="110">
        <v>45623</v>
      </c>
      <c r="BE1" s="110"/>
      <c r="BF1" s="110">
        <v>45624</v>
      </c>
      <c r="BG1" s="110"/>
      <c r="BH1" s="110">
        <v>45625</v>
      </c>
      <c r="BI1" s="110"/>
      <c r="BJ1" s="110">
        <v>45626</v>
      </c>
      <c r="BK1" s="110"/>
      <c r="BL1" s="110"/>
      <c r="BM1" s="110"/>
      <c r="BN1" s="111" t="s">
        <v>1</v>
      </c>
      <c r="BO1" s="111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23</v>
      </c>
      <c r="E3" s="11">
        <f>D3*$C3</f>
        <v>92</v>
      </c>
      <c r="F3" s="11">
        <v>22</v>
      </c>
      <c r="G3" s="11">
        <f>F3*$C3</f>
        <v>88</v>
      </c>
      <c r="H3" s="11">
        <v>10</v>
      </c>
      <c r="I3" s="11">
        <f>H3*$C3</f>
        <v>40</v>
      </c>
      <c r="J3" s="11">
        <v>10</v>
      </c>
      <c r="K3" s="11">
        <f>J3*$C3</f>
        <v>40</v>
      </c>
      <c r="L3" s="11">
        <v>6</v>
      </c>
      <c r="M3" s="11">
        <f>L3*$C3</f>
        <v>24</v>
      </c>
      <c r="N3" s="11">
        <v>9</v>
      </c>
      <c r="O3" s="11">
        <f>N3*$C3</f>
        <v>36</v>
      </c>
      <c r="P3" s="11">
        <v>2</v>
      </c>
      <c r="Q3" s="11">
        <f>P3*$C3</f>
        <v>8</v>
      </c>
      <c r="R3" s="11">
        <v>13</v>
      </c>
      <c r="S3" s="11">
        <f>R3*$C3</f>
        <v>52</v>
      </c>
      <c r="T3" s="11">
        <v>12</v>
      </c>
      <c r="U3" s="11">
        <f>T3*$C3</f>
        <v>48</v>
      </c>
      <c r="V3" s="11">
        <v>17</v>
      </c>
      <c r="W3" s="11">
        <f>V3*$C3</f>
        <v>68</v>
      </c>
      <c r="X3" s="11">
        <v>15</v>
      </c>
      <c r="Y3" s="11">
        <f>X3*$C3</f>
        <v>60</v>
      </c>
      <c r="Z3" s="11">
        <v>14</v>
      </c>
      <c r="AA3" s="11">
        <f>Z3*$C3</f>
        <v>56</v>
      </c>
      <c r="AB3" s="11">
        <v>4</v>
      </c>
      <c r="AC3" s="11">
        <f>AB3*$C3</f>
        <v>16</v>
      </c>
      <c r="AD3" s="11">
        <v>1</v>
      </c>
      <c r="AE3" s="11">
        <f>AD3*$C3</f>
        <v>4</v>
      </c>
      <c r="AF3" s="11">
        <v>14</v>
      </c>
      <c r="AG3" s="11">
        <f>AF3*$C3</f>
        <v>56</v>
      </c>
      <c r="AH3" s="11">
        <v>16</v>
      </c>
      <c r="AI3" s="11">
        <f>AH3*$C3</f>
        <v>64</v>
      </c>
      <c r="AJ3" s="11">
        <v>19</v>
      </c>
      <c r="AK3" s="11">
        <f>AJ3*$C3</f>
        <v>76</v>
      </c>
      <c r="AL3" s="11">
        <v>4</v>
      </c>
      <c r="AM3" s="11">
        <f>AL3*$C3</f>
        <v>16</v>
      </c>
      <c r="AN3" s="11">
        <v>9</v>
      </c>
      <c r="AO3" s="11">
        <f>AN3*$C3</f>
        <v>36</v>
      </c>
      <c r="AP3" s="11">
        <v>5</v>
      </c>
      <c r="AQ3" s="11">
        <f>AP3*$C3</f>
        <v>20</v>
      </c>
      <c r="AR3" s="11">
        <v>5</v>
      </c>
      <c r="AS3" s="11">
        <f>AR3*$C3</f>
        <v>20</v>
      </c>
      <c r="AT3" s="11">
        <v>11</v>
      </c>
      <c r="AU3" s="11">
        <f>AT3*$C3</f>
        <v>44</v>
      </c>
      <c r="AV3" s="11">
        <v>17</v>
      </c>
      <c r="AW3" s="11">
        <f>AV3*$C3</f>
        <v>68</v>
      </c>
      <c r="AX3" s="11">
        <v>23</v>
      </c>
      <c r="AY3" s="11">
        <f>AX3*$C3</f>
        <v>92</v>
      </c>
      <c r="AZ3" s="11">
        <v>8</v>
      </c>
      <c r="BA3" s="11">
        <f>AZ3*$C3</f>
        <v>32</v>
      </c>
      <c r="BB3" s="11">
        <v>9</v>
      </c>
      <c r="BC3" s="11">
        <f>BB3*$C3</f>
        <v>36</v>
      </c>
      <c r="BD3" s="11">
        <v>11</v>
      </c>
      <c r="BE3" s="11">
        <f>BD3*$C3</f>
        <v>44</v>
      </c>
      <c r="BF3" s="11">
        <v>4</v>
      </c>
      <c r="BG3" s="11">
        <f>BF3*$C3</f>
        <v>16</v>
      </c>
      <c r="BH3" s="11">
        <v>20</v>
      </c>
      <c r="BI3" s="11">
        <f>BH3*$C3</f>
        <v>80</v>
      </c>
      <c r="BJ3" s="11">
        <v>22</v>
      </c>
      <c r="BK3" s="11">
        <f>BJ3*$C3</f>
        <v>88</v>
      </c>
      <c r="BM3" s="11">
        <f>BL3*$C3</f>
        <v>0</v>
      </c>
      <c r="BN3" s="16">
        <f>SUMIF(D$2:$BM2,BN$2,D3:BM3)</f>
        <v>1420</v>
      </c>
      <c r="BO3" s="16">
        <f t="shared" ref="BO3:BO12" si="0">BN3/4</f>
        <v>355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15</v>
      </c>
      <c r="E4" s="11">
        <f>D4*$C4</f>
        <v>30</v>
      </c>
      <c r="F4" s="11">
        <v>7</v>
      </c>
      <c r="G4" s="11">
        <f>F4*$C4</f>
        <v>14</v>
      </c>
      <c r="H4" s="11">
        <v>21</v>
      </c>
      <c r="I4" s="11">
        <f t="shared" ref="I4:I6" si="1">H4*$C4</f>
        <v>42</v>
      </c>
      <c r="J4" s="11">
        <v>5</v>
      </c>
      <c r="K4" s="11">
        <f>J4*$C4</f>
        <v>10</v>
      </c>
      <c r="L4" s="11">
        <v>10</v>
      </c>
      <c r="M4" s="11">
        <f>L4*$C4</f>
        <v>20</v>
      </c>
      <c r="N4" s="11">
        <v>7</v>
      </c>
      <c r="O4" s="11">
        <f>N4*$C4</f>
        <v>14</v>
      </c>
      <c r="P4" s="11">
        <v>4</v>
      </c>
      <c r="Q4" s="11">
        <f>P4*$C4</f>
        <v>8</v>
      </c>
      <c r="R4" s="11">
        <v>21</v>
      </c>
      <c r="S4" s="11">
        <f>R4*$C4</f>
        <v>42</v>
      </c>
      <c r="T4" s="11">
        <v>19</v>
      </c>
      <c r="U4" s="11">
        <f>T4*$C4</f>
        <v>38</v>
      </c>
      <c r="V4" s="11">
        <v>11</v>
      </c>
      <c r="W4" s="11">
        <f>V4*$C4</f>
        <v>22</v>
      </c>
      <c r="X4" s="11">
        <v>2</v>
      </c>
      <c r="Y4" s="11">
        <f>X4*$C4</f>
        <v>4</v>
      </c>
      <c r="Z4" s="11">
        <v>2</v>
      </c>
      <c r="AA4" s="11">
        <f>Z4*$C4</f>
        <v>4</v>
      </c>
      <c r="AB4" s="11">
        <v>3</v>
      </c>
      <c r="AC4" s="11">
        <f>AB4*$C4</f>
        <v>6</v>
      </c>
      <c r="AD4" s="11">
        <v>7</v>
      </c>
      <c r="AE4" s="11">
        <f>AD4*$C4</f>
        <v>14</v>
      </c>
      <c r="AF4" s="11">
        <v>33</v>
      </c>
      <c r="AG4" s="11">
        <f>AF4*$C4</f>
        <v>66</v>
      </c>
      <c r="AH4" s="11">
        <v>12</v>
      </c>
      <c r="AI4" s="11">
        <f>AH4*$C4</f>
        <v>24</v>
      </c>
      <c r="AJ4" s="11">
        <v>11</v>
      </c>
      <c r="AK4" s="11">
        <f>AJ4*$C4</f>
        <v>22</v>
      </c>
      <c r="AL4" s="11">
        <v>9</v>
      </c>
      <c r="AM4" s="11">
        <f>AL4*$C4</f>
        <v>18</v>
      </c>
      <c r="AN4" s="11">
        <v>4</v>
      </c>
      <c r="AO4" s="11">
        <f>AN4*$C4</f>
        <v>8</v>
      </c>
      <c r="AP4" s="11">
        <v>3</v>
      </c>
      <c r="AQ4" s="11">
        <f>AP4*$C4</f>
        <v>6</v>
      </c>
      <c r="AR4" s="11">
        <v>7</v>
      </c>
      <c r="AS4" s="11">
        <f>AR4*$C4</f>
        <v>14</v>
      </c>
      <c r="AT4" s="11">
        <v>23</v>
      </c>
      <c r="AU4" s="11">
        <f>AT4*$C4</f>
        <v>46</v>
      </c>
      <c r="AV4" s="11">
        <v>9</v>
      </c>
      <c r="AW4" s="11">
        <f>AV4*$C4</f>
        <v>18</v>
      </c>
      <c r="AX4" s="11">
        <v>14</v>
      </c>
      <c r="AY4" s="11">
        <f>AX4*$C4</f>
        <v>28</v>
      </c>
      <c r="AZ4" s="11">
        <v>2</v>
      </c>
      <c r="BA4" s="11">
        <f>AZ4*$C4</f>
        <v>4</v>
      </c>
      <c r="BB4" s="11">
        <v>11</v>
      </c>
      <c r="BC4" s="11">
        <f>BB4*$C4</f>
        <v>22</v>
      </c>
      <c r="BD4" s="11">
        <v>11</v>
      </c>
      <c r="BE4" s="11">
        <f>BD4*$C4</f>
        <v>22</v>
      </c>
      <c r="BF4" s="11">
        <v>4</v>
      </c>
      <c r="BG4" s="11">
        <f>BF4*$C4</f>
        <v>8</v>
      </c>
      <c r="BH4" s="11">
        <v>22</v>
      </c>
      <c r="BI4" s="11">
        <f>BH4*$C4</f>
        <v>44</v>
      </c>
      <c r="BJ4" s="11">
        <v>18</v>
      </c>
      <c r="BK4" s="11">
        <f>BJ4*$C4</f>
        <v>36</v>
      </c>
      <c r="BM4" s="11">
        <f>BL4*$C4</f>
        <v>0</v>
      </c>
      <c r="BN4" s="16">
        <f ca="1">SUMIF(D$2:$BM3,BN$2,D4:BM4)</f>
        <v>654</v>
      </c>
      <c r="BO4" s="16">
        <f t="shared" ca="1" si="0"/>
        <v>163.5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3</v>
      </c>
      <c r="E5" s="11">
        <f>D5*$C5</f>
        <v>3</v>
      </c>
      <c r="F5" s="11">
        <v>5</v>
      </c>
      <c r="G5" s="11">
        <f>F5*$C5</f>
        <v>5</v>
      </c>
      <c r="H5" s="11">
        <v>7</v>
      </c>
      <c r="I5" s="11">
        <f>H5*$C5</f>
        <v>7</v>
      </c>
      <c r="J5" s="11">
        <v>6</v>
      </c>
      <c r="K5" s="11">
        <f>J5*$C5</f>
        <v>6</v>
      </c>
      <c r="L5" s="11">
        <v>5</v>
      </c>
      <c r="M5" s="11">
        <f>L5*$C5</f>
        <v>5</v>
      </c>
      <c r="N5" s="11">
        <v>23</v>
      </c>
      <c r="O5" s="11">
        <f>N5*$C5</f>
        <v>23</v>
      </c>
      <c r="P5" s="11">
        <v>1</v>
      </c>
      <c r="Q5" s="11">
        <f>P5*$C5</f>
        <v>1</v>
      </c>
      <c r="R5" s="11">
        <v>5</v>
      </c>
      <c r="S5" s="11">
        <f>R5*$C5</f>
        <v>5</v>
      </c>
      <c r="T5" s="11">
        <v>3</v>
      </c>
      <c r="U5" s="11">
        <f>T5*$C5</f>
        <v>3</v>
      </c>
      <c r="V5" s="11">
        <v>6</v>
      </c>
      <c r="W5" s="11">
        <f>V5*$C5</f>
        <v>6</v>
      </c>
      <c r="X5" s="11">
        <v>18</v>
      </c>
      <c r="Y5" s="11">
        <f>X5*$C5</f>
        <v>18</v>
      </c>
      <c r="Z5" s="11">
        <v>2</v>
      </c>
      <c r="AA5" s="11">
        <f>Z5*$C5</f>
        <v>2</v>
      </c>
      <c r="AB5" s="11">
        <v>2</v>
      </c>
      <c r="AC5" s="11">
        <f>AB5*$C5</f>
        <v>2</v>
      </c>
      <c r="AD5" s="11">
        <v>7</v>
      </c>
      <c r="AE5" s="11">
        <f>AD5*$C5</f>
        <v>7</v>
      </c>
      <c r="AF5" s="11">
        <v>9</v>
      </c>
      <c r="AG5" s="11">
        <f>AF5*$C5</f>
        <v>9</v>
      </c>
      <c r="AH5" s="11">
        <v>5</v>
      </c>
      <c r="AI5" s="11">
        <f>AH5*$C5</f>
        <v>5</v>
      </c>
      <c r="AJ5" s="11">
        <v>3</v>
      </c>
      <c r="AK5" s="11">
        <f>AJ5*$C5</f>
        <v>3</v>
      </c>
      <c r="AL5" s="11">
        <v>3</v>
      </c>
      <c r="AM5" s="11">
        <f>AL5*$C5</f>
        <v>3</v>
      </c>
      <c r="AN5" s="11">
        <v>9</v>
      </c>
      <c r="AO5" s="11">
        <f>AN5*$C5</f>
        <v>9</v>
      </c>
      <c r="AP5" s="11">
        <v>4</v>
      </c>
      <c r="AQ5" s="11">
        <f>AP5*$C5</f>
        <v>4</v>
      </c>
      <c r="AR5" s="11">
        <v>6</v>
      </c>
      <c r="AS5" s="11">
        <f>AR5*$C5</f>
        <v>6</v>
      </c>
      <c r="AT5" s="11">
        <v>3</v>
      </c>
      <c r="AU5" s="11">
        <f>AT5*$C5</f>
        <v>3</v>
      </c>
      <c r="AV5" s="11">
        <v>8</v>
      </c>
      <c r="AW5" s="11">
        <f>AV5*$C5</f>
        <v>8</v>
      </c>
      <c r="AX5" s="11">
        <v>5</v>
      </c>
      <c r="AY5" s="11">
        <f>AX5*$C5</f>
        <v>5</v>
      </c>
      <c r="AZ5" s="11">
        <v>2</v>
      </c>
      <c r="BA5" s="11">
        <f>AZ5*$C5</f>
        <v>2</v>
      </c>
      <c r="BB5" s="11">
        <v>7</v>
      </c>
      <c r="BC5" s="11">
        <f>BB5*$C5</f>
        <v>7</v>
      </c>
      <c r="BD5" s="11">
        <v>5</v>
      </c>
      <c r="BE5" s="11">
        <f>BD5*$C5</f>
        <v>5</v>
      </c>
      <c r="BF5" s="11">
        <v>3</v>
      </c>
      <c r="BG5" s="11">
        <f>BF5*$C5</f>
        <v>3</v>
      </c>
      <c r="BH5" s="11">
        <v>10</v>
      </c>
      <c r="BI5" s="11">
        <f>BH5*$C5</f>
        <v>10</v>
      </c>
      <c r="BJ5" s="11">
        <v>11</v>
      </c>
      <c r="BK5" s="11">
        <v>2</v>
      </c>
      <c r="BM5" s="11">
        <f>BL5*$C5</f>
        <v>0</v>
      </c>
      <c r="BN5" s="16">
        <f ca="1">SUMIF(D$2:$BM4,BN$2,D5:BM5)</f>
        <v>177</v>
      </c>
      <c r="BO5" s="16">
        <f t="shared" ca="1" si="0"/>
        <v>44.25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8</v>
      </c>
      <c r="E6" s="11">
        <f t="shared" ref="E6:M77" si="2">D6*$C6</f>
        <v>32</v>
      </c>
      <c r="F6" s="11">
        <v>14</v>
      </c>
      <c r="G6" s="11">
        <f t="shared" si="2"/>
        <v>56</v>
      </c>
      <c r="H6" s="11">
        <v>26</v>
      </c>
      <c r="I6" s="11">
        <f t="shared" si="1"/>
        <v>104</v>
      </c>
      <c r="J6" s="11">
        <v>12</v>
      </c>
      <c r="K6" s="11">
        <f t="shared" si="2"/>
        <v>48</v>
      </c>
      <c r="L6" s="11">
        <v>1</v>
      </c>
      <c r="M6" s="11">
        <f t="shared" si="2"/>
        <v>4</v>
      </c>
      <c r="N6" s="11">
        <v>7</v>
      </c>
      <c r="O6" s="11">
        <f t="shared" ref="O6:BA22" si="3">N6*$C6</f>
        <v>28</v>
      </c>
      <c r="P6" s="11">
        <v>6</v>
      </c>
      <c r="Q6" s="11">
        <f t="shared" si="3"/>
        <v>24</v>
      </c>
      <c r="R6" s="11">
        <v>11</v>
      </c>
      <c r="S6" s="11">
        <f t="shared" si="3"/>
        <v>44</v>
      </c>
      <c r="T6" s="11">
        <v>8</v>
      </c>
      <c r="U6" s="11">
        <f t="shared" si="3"/>
        <v>32</v>
      </c>
      <c r="V6" s="11">
        <v>15</v>
      </c>
      <c r="W6" s="11">
        <f t="shared" si="3"/>
        <v>60</v>
      </c>
      <c r="X6" s="11">
        <v>18</v>
      </c>
      <c r="Y6" s="11">
        <f t="shared" si="3"/>
        <v>72</v>
      </c>
      <c r="Z6" s="11">
        <v>6</v>
      </c>
      <c r="AA6" s="11">
        <f t="shared" si="3"/>
        <v>24</v>
      </c>
      <c r="AB6" s="11">
        <v>6</v>
      </c>
      <c r="AC6" s="11">
        <f t="shared" si="3"/>
        <v>24</v>
      </c>
      <c r="AD6" s="11">
        <v>3</v>
      </c>
      <c r="AE6" s="11">
        <f t="shared" si="3"/>
        <v>12</v>
      </c>
      <c r="AF6" s="11">
        <v>7</v>
      </c>
      <c r="AG6" s="11">
        <f t="shared" si="3"/>
        <v>28</v>
      </c>
      <c r="AH6" s="11">
        <v>9</v>
      </c>
      <c r="AI6" s="11">
        <f t="shared" si="3"/>
        <v>36</v>
      </c>
      <c r="AJ6" s="11">
        <v>19</v>
      </c>
      <c r="AK6" s="11">
        <f t="shared" si="3"/>
        <v>76</v>
      </c>
      <c r="AL6" s="11">
        <v>14</v>
      </c>
      <c r="AM6" s="11">
        <f t="shared" si="3"/>
        <v>56</v>
      </c>
      <c r="AN6" s="11">
        <v>4</v>
      </c>
      <c r="AO6" s="11">
        <f t="shared" si="3"/>
        <v>16</v>
      </c>
      <c r="AP6" s="11">
        <v>3</v>
      </c>
      <c r="AQ6" s="11">
        <f t="shared" si="3"/>
        <v>12</v>
      </c>
      <c r="AR6" s="11">
        <v>10</v>
      </c>
      <c r="AS6" s="11">
        <f t="shared" si="3"/>
        <v>40</v>
      </c>
      <c r="AT6" s="11">
        <v>12</v>
      </c>
      <c r="AU6" s="11">
        <f t="shared" si="3"/>
        <v>48</v>
      </c>
      <c r="AV6" s="11">
        <v>3</v>
      </c>
      <c r="AW6" s="11">
        <f t="shared" si="3"/>
        <v>12</v>
      </c>
      <c r="AX6" s="11">
        <v>16</v>
      </c>
      <c r="AY6" s="11">
        <f t="shared" si="3"/>
        <v>64</v>
      </c>
      <c r="AZ6" s="11">
        <v>10</v>
      </c>
      <c r="BA6" s="11">
        <f t="shared" si="3"/>
        <v>40</v>
      </c>
      <c r="BB6" s="11">
        <v>9</v>
      </c>
      <c r="BC6" s="11">
        <f t="shared" ref="BC6:BM7" si="4">BB6*$C6</f>
        <v>36</v>
      </c>
      <c r="BD6" s="11">
        <v>6</v>
      </c>
      <c r="BE6" s="11">
        <f t="shared" si="4"/>
        <v>24</v>
      </c>
      <c r="BF6" s="11">
        <v>2</v>
      </c>
      <c r="BG6" s="11">
        <f t="shared" si="4"/>
        <v>8</v>
      </c>
      <c r="BH6" s="11">
        <v>8</v>
      </c>
      <c r="BI6" s="11">
        <f t="shared" si="4"/>
        <v>32</v>
      </c>
      <c r="BJ6" s="11">
        <v>12</v>
      </c>
      <c r="BK6" s="11">
        <f t="shared" si="4"/>
        <v>48</v>
      </c>
      <c r="BM6" s="11">
        <f t="shared" si="4"/>
        <v>0</v>
      </c>
      <c r="BN6" s="16">
        <f ca="1">SUMIF(D$2:$BM5,BN$2,D6:BM6)</f>
        <v>1140</v>
      </c>
      <c r="BO6" s="16">
        <f t="shared" ca="1" si="0"/>
        <v>285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2</v>
      </c>
      <c r="E7" s="11">
        <f t="shared" si="2"/>
        <v>4</v>
      </c>
      <c r="F7" s="11">
        <v>6</v>
      </c>
      <c r="G7" s="11">
        <f t="shared" si="2"/>
        <v>12</v>
      </c>
      <c r="H7" s="11">
        <v>6</v>
      </c>
      <c r="I7" s="11">
        <f t="shared" si="2"/>
        <v>12</v>
      </c>
      <c r="J7" s="11">
        <v>1</v>
      </c>
      <c r="K7" s="11">
        <f t="shared" si="2"/>
        <v>2</v>
      </c>
      <c r="L7" s="11">
        <v>6</v>
      </c>
      <c r="M7" s="11">
        <f t="shared" si="2"/>
        <v>12</v>
      </c>
      <c r="N7" s="11">
        <v>6</v>
      </c>
      <c r="O7" s="11">
        <f t="shared" si="3"/>
        <v>12</v>
      </c>
      <c r="P7" s="11">
        <v>6</v>
      </c>
      <c r="Q7" s="11">
        <f t="shared" si="3"/>
        <v>12</v>
      </c>
      <c r="R7" s="11">
        <v>13</v>
      </c>
      <c r="S7" s="11">
        <f t="shared" si="3"/>
        <v>26</v>
      </c>
      <c r="T7" s="11">
        <v>3</v>
      </c>
      <c r="U7" s="11">
        <f t="shared" si="3"/>
        <v>6</v>
      </c>
      <c r="V7" s="11">
        <v>15</v>
      </c>
      <c r="W7" s="11">
        <f t="shared" si="3"/>
        <v>30</v>
      </c>
      <c r="X7" s="11">
        <v>6</v>
      </c>
      <c r="Y7" s="11">
        <f t="shared" si="3"/>
        <v>12</v>
      </c>
      <c r="Z7" s="11">
        <v>2</v>
      </c>
      <c r="AA7" s="11">
        <f t="shared" si="3"/>
        <v>4</v>
      </c>
      <c r="AB7" s="11">
        <v>2</v>
      </c>
      <c r="AC7" s="11">
        <f t="shared" si="3"/>
        <v>4</v>
      </c>
      <c r="AD7" s="11">
        <v>3</v>
      </c>
      <c r="AE7" s="11">
        <f t="shared" si="3"/>
        <v>6</v>
      </c>
      <c r="AF7" s="11">
        <v>6</v>
      </c>
      <c r="AG7" s="11">
        <f t="shared" si="3"/>
        <v>12</v>
      </c>
      <c r="AH7" s="11">
        <v>3</v>
      </c>
      <c r="AI7" s="11">
        <f t="shared" si="3"/>
        <v>6</v>
      </c>
      <c r="AJ7" s="11">
        <v>6</v>
      </c>
      <c r="AK7" s="11">
        <f t="shared" si="3"/>
        <v>12</v>
      </c>
      <c r="AL7" s="11">
        <v>7</v>
      </c>
      <c r="AM7" s="11">
        <f t="shared" si="3"/>
        <v>14</v>
      </c>
      <c r="AN7" s="11">
        <v>1</v>
      </c>
      <c r="AO7" s="11">
        <f t="shared" si="3"/>
        <v>2</v>
      </c>
      <c r="AP7" s="11">
        <v>4</v>
      </c>
      <c r="AQ7" s="11">
        <f t="shared" si="3"/>
        <v>8</v>
      </c>
      <c r="AR7" s="11">
        <v>4</v>
      </c>
      <c r="AS7" s="11">
        <f t="shared" si="3"/>
        <v>8</v>
      </c>
      <c r="AT7" s="11">
        <v>5</v>
      </c>
      <c r="AU7" s="11">
        <f t="shared" si="3"/>
        <v>10</v>
      </c>
      <c r="AV7" s="11">
        <v>17</v>
      </c>
      <c r="AW7" s="11">
        <f t="shared" si="3"/>
        <v>34</v>
      </c>
      <c r="AX7" s="11">
        <v>6</v>
      </c>
      <c r="AY7" s="11">
        <f t="shared" si="3"/>
        <v>12</v>
      </c>
      <c r="AZ7" s="11">
        <v>1</v>
      </c>
      <c r="BA7" s="11">
        <f t="shared" si="3"/>
        <v>2</v>
      </c>
      <c r="BB7" s="11">
        <v>5</v>
      </c>
      <c r="BC7" s="11">
        <f t="shared" si="4"/>
        <v>10</v>
      </c>
      <c r="BD7" s="11">
        <v>12</v>
      </c>
      <c r="BE7" s="11">
        <f t="shared" si="4"/>
        <v>24</v>
      </c>
      <c r="BF7" s="11">
        <v>7</v>
      </c>
      <c r="BG7" s="11">
        <f t="shared" si="4"/>
        <v>14</v>
      </c>
      <c r="BH7" s="11">
        <v>7</v>
      </c>
      <c r="BI7" s="11">
        <f t="shared" si="4"/>
        <v>14</v>
      </c>
      <c r="BJ7" s="11">
        <v>2</v>
      </c>
      <c r="BK7" s="11">
        <f t="shared" si="4"/>
        <v>4</v>
      </c>
      <c r="BM7" s="11">
        <f t="shared" si="4"/>
        <v>0</v>
      </c>
      <c r="BN7" s="16">
        <f ca="1">SUMIF(D$2:$BM6,BN$2,D7:BM7)</f>
        <v>340</v>
      </c>
      <c r="BO7" s="16">
        <f t="shared" ca="1" si="0"/>
        <v>85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5</v>
      </c>
      <c r="E8" s="11">
        <f t="shared" si="2"/>
        <v>5</v>
      </c>
      <c r="F8" s="11">
        <v>4</v>
      </c>
      <c r="G8" s="11">
        <f t="shared" si="2"/>
        <v>4</v>
      </c>
      <c r="H8" s="11">
        <v>3</v>
      </c>
      <c r="I8" s="11">
        <f t="shared" si="2"/>
        <v>3</v>
      </c>
      <c r="J8" s="11">
        <v>6</v>
      </c>
      <c r="K8" s="11">
        <f t="shared" si="2"/>
        <v>6</v>
      </c>
      <c r="L8" s="11">
        <v>6</v>
      </c>
      <c r="M8" s="11">
        <f t="shared" si="2"/>
        <v>6</v>
      </c>
      <c r="N8" s="11">
        <v>13</v>
      </c>
      <c r="O8" s="11">
        <f t="shared" si="3"/>
        <v>13</v>
      </c>
      <c r="P8" s="11">
        <v>3</v>
      </c>
      <c r="Q8" s="11">
        <f t="shared" si="3"/>
        <v>3</v>
      </c>
      <c r="R8" s="11">
        <v>8</v>
      </c>
      <c r="S8" s="11">
        <f t="shared" si="3"/>
        <v>8</v>
      </c>
      <c r="T8" s="11">
        <v>7</v>
      </c>
      <c r="U8" s="11">
        <f t="shared" si="3"/>
        <v>7</v>
      </c>
      <c r="V8" s="11">
        <v>7</v>
      </c>
      <c r="W8" s="11">
        <f t="shared" si="3"/>
        <v>7</v>
      </c>
      <c r="X8" s="11">
        <v>5</v>
      </c>
      <c r="Y8" s="11">
        <f t="shared" si="3"/>
        <v>5</v>
      </c>
      <c r="Z8" s="11">
        <v>6</v>
      </c>
      <c r="AA8" s="11">
        <f t="shared" si="3"/>
        <v>6</v>
      </c>
      <c r="AB8" s="11">
        <v>8</v>
      </c>
      <c r="AC8" s="11">
        <f t="shared" si="3"/>
        <v>8</v>
      </c>
      <c r="AD8" s="11">
        <v>9</v>
      </c>
      <c r="AE8" s="11">
        <f t="shared" si="3"/>
        <v>9</v>
      </c>
      <c r="AF8" s="11">
        <v>5</v>
      </c>
      <c r="AG8" s="11">
        <f t="shared" si="3"/>
        <v>5</v>
      </c>
      <c r="AH8" s="11">
        <v>4</v>
      </c>
      <c r="AI8" s="11">
        <f t="shared" si="3"/>
        <v>4</v>
      </c>
      <c r="AJ8" s="11">
        <v>7</v>
      </c>
      <c r="AK8" s="11">
        <f t="shared" si="3"/>
        <v>7</v>
      </c>
      <c r="AL8" s="11">
        <v>8</v>
      </c>
      <c r="AM8" s="11">
        <f t="shared" si="3"/>
        <v>8</v>
      </c>
      <c r="AN8" s="11">
        <v>3</v>
      </c>
      <c r="AO8" s="11">
        <f t="shared" si="3"/>
        <v>3</v>
      </c>
      <c r="AP8" s="11">
        <v>4</v>
      </c>
      <c r="AQ8" s="11">
        <f t="shared" si="3"/>
        <v>4</v>
      </c>
      <c r="AR8" s="11">
        <v>6</v>
      </c>
      <c r="AS8" s="11">
        <f t="shared" si="3"/>
        <v>6</v>
      </c>
      <c r="AT8" s="11">
        <v>3</v>
      </c>
      <c r="AU8" s="11">
        <f t="shared" si="3"/>
        <v>3</v>
      </c>
      <c r="AV8" s="11">
        <v>6</v>
      </c>
      <c r="AW8" s="11">
        <f t="shared" si="3"/>
        <v>6</v>
      </c>
      <c r="AX8" s="11">
        <v>4</v>
      </c>
      <c r="AY8" s="11">
        <f t="shared" si="3"/>
        <v>4</v>
      </c>
      <c r="AZ8" s="11">
        <v>5</v>
      </c>
      <c r="BA8" s="11">
        <f t="shared" ref="BA8:BM22" si="5">AZ8*$C8</f>
        <v>5</v>
      </c>
      <c r="BB8" s="11">
        <v>3</v>
      </c>
      <c r="BC8" s="11">
        <f t="shared" si="5"/>
        <v>3</v>
      </c>
      <c r="BD8" s="11">
        <v>3</v>
      </c>
      <c r="BE8" s="11">
        <f t="shared" si="5"/>
        <v>3</v>
      </c>
      <c r="BF8" s="11">
        <v>6</v>
      </c>
      <c r="BG8" s="11">
        <f t="shared" si="5"/>
        <v>6</v>
      </c>
      <c r="BH8" s="11">
        <v>9</v>
      </c>
      <c r="BI8" s="11">
        <f t="shared" si="5"/>
        <v>9</v>
      </c>
      <c r="BJ8" s="11">
        <v>8</v>
      </c>
      <c r="BK8" s="11">
        <f t="shared" si="5"/>
        <v>8</v>
      </c>
      <c r="BM8" s="11">
        <f t="shared" si="5"/>
        <v>0</v>
      </c>
      <c r="BN8" s="16">
        <f ca="1">SUMIF(D$2:$BM7,BN$2,D8:BM8)</f>
        <v>174</v>
      </c>
      <c r="BO8" s="16">
        <f t="shared" ca="1" si="0"/>
        <v>43.5</v>
      </c>
    </row>
    <row r="9" spans="1:67" ht="15" customHeight="1" x14ac:dyDescent="0.25">
      <c r="A9" s="14" t="s">
        <v>5</v>
      </c>
      <c r="B9" s="7" t="s">
        <v>158</v>
      </c>
      <c r="C9" s="15">
        <v>0.33333000000000002</v>
      </c>
      <c r="E9" s="11">
        <f t="shared" si="2"/>
        <v>0</v>
      </c>
      <c r="G9" s="11">
        <f t="shared" si="2"/>
        <v>0</v>
      </c>
      <c r="I9" s="11">
        <f t="shared" ref="I9" si="6">H9*$C9</f>
        <v>0</v>
      </c>
      <c r="K9" s="11">
        <f t="shared" ref="K9" si="7">J9*$C9</f>
        <v>0</v>
      </c>
      <c r="M9" s="11">
        <f t="shared" ref="M9" si="8">L9*$C9</f>
        <v>0</v>
      </c>
      <c r="O9" s="11">
        <f t="shared" si="3"/>
        <v>0</v>
      </c>
      <c r="Q9" s="11">
        <f t="shared" ref="Q9" si="9">P9*$C9</f>
        <v>0</v>
      </c>
      <c r="S9" s="11">
        <f t="shared" ref="S9" si="10">R9*$C9</f>
        <v>0</v>
      </c>
      <c r="U9" s="11">
        <f t="shared" ref="U9" si="11">T9*$C9</f>
        <v>0</v>
      </c>
      <c r="W9" s="11">
        <f t="shared" ref="W9" si="12">V9*$C9</f>
        <v>0</v>
      </c>
      <c r="Y9" s="11">
        <f t="shared" ref="Y9" si="13">X9*$C9</f>
        <v>0</v>
      </c>
      <c r="AA9" s="11">
        <f t="shared" ref="AA9" si="14">Z9*$C9</f>
        <v>0</v>
      </c>
      <c r="AC9" s="11">
        <f t="shared" ref="AC9" si="15">AB9*$C9</f>
        <v>0</v>
      </c>
      <c r="AE9" s="11">
        <f t="shared" ref="AE9" si="16">AD9*$C9</f>
        <v>0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H9" s="11">
        <v>1</v>
      </c>
      <c r="BI9" s="11">
        <f t="shared" si="5"/>
        <v>0.33333000000000002</v>
      </c>
      <c r="BK9" s="11">
        <f t="shared" si="5"/>
        <v>0</v>
      </c>
      <c r="BM9" s="11">
        <f t="shared" si="5"/>
        <v>0</v>
      </c>
      <c r="BN9" s="16">
        <f ca="1">SUMIF(D$2:$BM8,BN$2,D9:BM9)</f>
        <v>0.33333000000000002</v>
      </c>
      <c r="BO9" s="16">
        <f t="shared" ca="1" si="0"/>
        <v>8.3332500000000004E-2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1</v>
      </c>
      <c r="E10" s="11">
        <f t="shared" si="2"/>
        <v>4</v>
      </c>
      <c r="F10" s="11">
        <v>1</v>
      </c>
      <c r="G10" s="11">
        <f t="shared" si="2"/>
        <v>4</v>
      </c>
      <c r="I10" s="11">
        <f t="shared" si="2"/>
        <v>0</v>
      </c>
      <c r="J10" s="11">
        <v>5</v>
      </c>
      <c r="K10" s="11">
        <f t="shared" si="2"/>
        <v>20</v>
      </c>
      <c r="L10" s="11">
        <v>1</v>
      </c>
      <c r="M10" s="11">
        <f t="shared" si="2"/>
        <v>4</v>
      </c>
      <c r="N10" s="11">
        <v>1</v>
      </c>
      <c r="O10" s="11">
        <f>N10*$C10</f>
        <v>4</v>
      </c>
      <c r="P10" s="11">
        <v>1</v>
      </c>
      <c r="Q10" s="11">
        <f t="shared" si="3"/>
        <v>4</v>
      </c>
      <c r="R10" s="11">
        <v>2</v>
      </c>
      <c r="S10" s="11">
        <f t="shared" si="3"/>
        <v>8</v>
      </c>
      <c r="T10" s="11">
        <v>1</v>
      </c>
      <c r="U10" s="11">
        <f t="shared" si="3"/>
        <v>4</v>
      </c>
      <c r="V10" s="11">
        <v>2</v>
      </c>
      <c r="W10" s="11">
        <f t="shared" si="3"/>
        <v>8</v>
      </c>
      <c r="X10" s="11">
        <v>2</v>
      </c>
      <c r="Y10" s="11">
        <f t="shared" si="3"/>
        <v>8</v>
      </c>
      <c r="AA10" s="11">
        <f t="shared" si="3"/>
        <v>0</v>
      </c>
      <c r="AC10" s="11">
        <f t="shared" si="3"/>
        <v>0</v>
      </c>
      <c r="AD10" s="11">
        <v>1</v>
      </c>
      <c r="AE10" s="11">
        <f t="shared" si="3"/>
        <v>4</v>
      </c>
      <c r="AG10" s="11">
        <f t="shared" si="3"/>
        <v>0</v>
      </c>
      <c r="AI10" s="11">
        <f t="shared" si="3"/>
        <v>0</v>
      </c>
      <c r="AJ10" s="11">
        <v>2</v>
      </c>
      <c r="AK10" s="11">
        <f t="shared" si="3"/>
        <v>8</v>
      </c>
      <c r="AM10" s="11">
        <f t="shared" si="3"/>
        <v>0</v>
      </c>
      <c r="AO10" s="11">
        <f t="shared" si="3"/>
        <v>0</v>
      </c>
      <c r="AP10" s="11">
        <v>1</v>
      </c>
      <c r="AQ10" s="11">
        <f t="shared" si="3"/>
        <v>4</v>
      </c>
      <c r="AR10" s="11">
        <v>1</v>
      </c>
      <c r="AS10" s="11">
        <f t="shared" si="3"/>
        <v>4</v>
      </c>
      <c r="AT10" s="11">
        <v>1</v>
      </c>
      <c r="AU10" s="11">
        <f t="shared" si="3"/>
        <v>4</v>
      </c>
      <c r="AW10" s="11">
        <f t="shared" si="3"/>
        <v>0</v>
      </c>
      <c r="AX10" s="11">
        <v>1</v>
      </c>
      <c r="AY10" s="11">
        <f t="shared" si="3"/>
        <v>4</v>
      </c>
      <c r="AZ10" s="11">
        <v>1</v>
      </c>
      <c r="BA10" s="11">
        <f t="shared" si="5"/>
        <v>4</v>
      </c>
      <c r="BB10" s="11">
        <v>2</v>
      </c>
      <c r="BC10" s="11">
        <f t="shared" si="5"/>
        <v>8</v>
      </c>
      <c r="BD10" s="11">
        <v>1</v>
      </c>
      <c r="BE10" s="11">
        <f t="shared" si="5"/>
        <v>4</v>
      </c>
      <c r="BG10" s="11">
        <f t="shared" si="5"/>
        <v>0</v>
      </c>
      <c r="BH10" s="11">
        <v>1</v>
      </c>
      <c r="BI10" s="11">
        <f t="shared" si="5"/>
        <v>4</v>
      </c>
      <c r="BJ10" s="11">
        <v>4</v>
      </c>
      <c r="BK10" s="11">
        <f t="shared" si="5"/>
        <v>16</v>
      </c>
      <c r="BM10" s="11">
        <f t="shared" si="5"/>
        <v>0</v>
      </c>
      <c r="BN10" s="16">
        <f ca="1">SUMIF(D$2:$BM8,BN$2,D10:BM10)</f>
        <v>132</v>
      </c>
      <c r="BO10" s="16">
        <f t="shared" ca="1" si="0"/>
        <v>33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2</v>
      </c>
      <c r="E11" s="11">
        <f t="shared" si="2"/>
        <v>4</v>
      </c>
      <c r="F11" s="11">
        <v>1</v>
      </c>
      <c r="G11" s="11">
        <f t="shared" si="2"/>
        <v>2</v>
      </c>
      <c r="I11" s="11">
        <f t="shared" si="2"/>
        <v>0</v>
      </c>
      <c r="J11" s="11">
        <v>1</v>
      </c>
      <c r="K11" s="11">
        <f t="shared" si="2"/>
        <v>2</v>
      </c>
      <c r="L11" s="11">
        <v>3</v>
      </c>
      <c r="M11" s="11">
        <f t="shared" si="2"/>
        <v>6</v>
      </c>
      <c r="N11" s="11">
        <v>1</v>
      </c>
      <c r="O11" s="11">
        <f t="shared" si="3"/>
        <v>2</v>
      </c>
      <c r="P11" s="11">
        <v>1</v>
      </c>
      <c r="Q11" s="11">
        <f t="shared" si="3"/>
        <v>2</v>
      </c>
      <c r="R11" s="11">
        <v>1</v>
      </c>
      <c r="S11" s="11">
        <f t="shared" si="3"/>
        <v>2</v>
      </c>
      <c r="T11" s="11">
        <v>3</v>
      </c>
      <c r="U11" s="11">
        <f t="shared" si="3"/>
        <v>6</v>
      </c>
      <c r="V11" s="11">
        <v>6</v>
      </c>
      <c r="W11" s="11">
        <f t="shared" si="3"/>
        <v>12</v>
      </c>
      <c r="X11" s="11">
        <v>2</v>
      </c>
      <c r="Y11" s="11">
        <f t="shared" si="3"/>
        <v>4</v>
      </c>
      <c r="Z11" s="11">
        <v>2</v>
      </c>
      <c r="AA11" s="11">
        <f t="shared" si="3"/>
        <v>4</v>
      </c>
      <c r="AB11" s="11">
        <v>1</v>
      </c>
      <c r="AC11" s="11">
        <f t="shared" si="3"/>
        <v>2</v>
      </c>
      <c r="AD11" s="11">
        <v>1</v>
      </c>
      <c r="AE11" s="11">
        <f t="shared" si="3"/>
        <v>2</v>
      </c>
      <c r="AF11" s="11">
        <v>3</v>
      </c>
      <c r="AG11" s="11">
        <f t="shared" si="3"/>
        <v>6</v>
      </c>
      <c r="AI11" s="11">
        <f t="shared" si="3"/>
        <v>0</v>
      </c>
      <c r="AJ11" s="11">
        <v>3</v>
      </c>
      <c r="AK11" s="11">
        <f t="shared" si="3"/>
        <v>6</v>
      </c>
      <c r="AL11" s="11">
        <v>1</v>
      </c>
      <c r="AM11" s="11">
        <f t="shared" si="3"/>
        <v>2</v>
      </c>
      <c r="AN11" s="11">
        <v>1</v>
      </c>
      <c r="AO11" s="11">
        <f t="shared" si="3"/>
        <v>2</v>
      </c>
      <c r="AP11" s="11">
        <v>2</v>
      </c>
      <c r="AQ11" s="11">
        <f t="shared" si="3"/>
        <v>4</v>
      </c>
      <c r="AR11" s="11">
        <v>2</v>
      </c>
      <c r="AS11" s="11">
        <f t="shared" si="3"/>
        <v>4</v>
      </c>
      <c r="AT11" s="11">
        <v>2</v>
      </c>
      <c r="AU11" s="11">
        <f t="shared" si="3"/>
        <v>4</v>
      </c>
      <c r="AW11" s="11">
        <f t="shared" si="3"/>
        <v>0</v>
      </c>
      <c r="AX11" s="11">
        <v>1</v>
      </c>
      <c r="AY11" s="11">
        <f t="shared" si="3"/>
        <v>2</v>
      </c>
      <c r="AZ11" s="11">
        <v>2</v>
      </c>
      <c r="BA11" s="11">
        <f t="shared" si="5"/>
        <v>4</v>
      </c>
      <c r="BB11" s="11">
        <v>2</v>
      </c>
      <c r="BC11" s="11">
        <f t="shared" si="5"/>
        <v>4</v>
      </c>
      <c r="BD11" s="11">
        <v>1</v>
      </c>
      <c r="BE11" s="11">
        <f t="shared" si="5"/>
        <v>2</v>
      </c>
      <c r="BF11" s="11">
        <v>1</v>
      </c>
      <c r="BG11" s="11">
        <f t="shared" si="5"/>
        <v>2</v>
      </c>
      <c r="BH11" s="11">
        <v>4</v>
      </c>
      <c r="BI11" s="11">
        <f t="shared" si="5"/>
        <v>8</v>
      </c>
      <c r="BJ11" s="11">
        <v>1</v>
      </c>
      <c r="BK11" s="11">
        <f t="shared" si="5"/>
        <v>2</v>
      </c>
      <c r="BM11" s="11">
        <f t="shared" si="5"/>
        <v>0</v>
      </c>
      <c r="BN11" s="16">
        <f ca="1">SUMIF(D$2:$BM10,BN$2,D11:BM11)</f>
        <v>102</v>
      </c>
      <c r="BO11" s="16">
        <f t="shared" ca="1" si="0"/>
        <v>25.5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1</v>
      </c>
      <c r="E12" s="11">
        <f t="shared" si="2"/>
        <v>1</v>
      </c>
      <c r="F12" s="11">
        <v>4</v>
      </c>
      <c r="G12" s="11">
        <f t="shared" si="2"/>
        <v>4</v>
      </c>
      <c r="H12" s="11">
        <v>5</v>
      </c>
      <c r="I12" s="11">
        <f t="shared" si="2"/>
        <v>5</v>
      </c>
      <c r="K12" s="11">
        <f t="shared" si="2"/>
        <v>0</v>
      </c>
      <c r="L12" s="11">
        <v>1</v>
      </c>
      <c r="M12" s="11">
        <f t="shared" si="2"/>
        <v>1</v>
      </c>
      <c r="N12" s="11">
        <v>2</v>
      </c>
      <c r="O12" s="11">
        <f t="shared" si="3"/>
        <v>2</v>
      </c>
      <c r="P12" s="11">
        <v>2</v>
      </c>
      <c r="Q12" s="11">
        <f t="shared" si="3"/>
        <v>2</v>
      </c>
      <c r="S12" s="11">
        <f t="shared" si="3"/>
        <v>0</v>
      </c>
      <c r="T12" s="11">
        <v>3</v>
      </c>
      <c r="U12" s="11">
        <f t="shared" si="3"/>
        <v>3</v>
      </c>
      <c r="V12" s="11">
        <v>2</v>
      </c>
      <c r="W12" s="11">
        <f t="shared" si="3"/>
        <v>2</v>
      </c>
      <c r="X12" s="11">
        <v>3</v>
      </c>
      <c r="Y12" s="11">
        <f t="shared" si="3"/>
        <v>3</v>
      </c>
      <c r="Z12" s="11">
        <v>1</v>
      </c>
      <c r="AA12" s="11">
        <f t="shared" si="3"/>
        <v>1</v>
      </c>
      <c r="AC12" s="11">
        <f t="shared" si="3"/>
        <v>0</v>
      </c>
      <c r="AE12" s="11">
        <f t="shared" si="3"/>
        <v>0</v>
      </c>
      <c r="AG12" s="11">
        <f t="shared" si="3"/>
        <v>0</v>
      </c>
      <c r="AH12" s="11">
        <v>2</v>
      </c>
      <c r="AI12" s="11">
        <f t="shared" si="3"/>
        <v>2</v>
      </c>
      <c r="AJ12" s="11">
        <v>3</v>
      </c>
      <c r="AK12" s="11">
        <f t="shared" si="3"/>
        <v>3</v>
      </c>
      <c r="AL12" s="11">
        <v>5</v>
      </c>
      <c r="AM12" s="11">
        <f t="shared" si="3"/>
        <v>5</v>
      </c>
      <c r="AO12" s="11">
        <f t="shared" si="3"/>
        <v>0</v>
      </c>
      <c r="AP12" s="11">
        <v>3</v>
      </c>
      <c r="AQ12" s="11">
        <f t="shared" si="3"/>
        <v>3</v>
      </c>
      <c r="AS12" s="11">
        <f t="shared" si="3"/>
        <v>0</v>
      </c>
      <c r="AU12" s="11">
        <f t="shared" si="3"/>
        <v>0</v>
      </c>
      <c r="AV12" s="11">
        <v>3</v>
      </c>
      <c r="AW12" s="11">
        <f t="shared" si="3"/>
        <v>3</v>
      </c>
      <c r="AX12" s="11">
        <v>1</v>
      </c>
      <c r="AY12" s="11">
        <f t="shared" si="3"/>
        <v>1</v>
      </c>
      <c r="AZ12" s="11">
        <v>3</v>
      </c>
      <c r="BA12" s="11">
        <f t="shared" si="5"/>
        <v>3</v>
      </c>
      <c r="BB12" s="11">
        <v>1</v>
      </c>
      <c r="BC12" s="11">
        <f t="shared" si="5"/>
        <v>1</v>
      </c>
      <c r="BD12" s="11">
        <v>2</v>
      </c>
      <c r="BE12" s="11">
        <f t="shared" si="5"/>
        <v>2</v>
      </c>
      <c r="BG12" s="11">
        <f t="shared" si="5"/>
        <v>0</v>
      </c>
      <c r="BH12" s="11">
        <v>2</v>
      </c>
      <c r="BI12" s="11">
        <f t="shared" si="5"/>
        <v>2</v>
      </c>
      <c r="BJ12" s="11">
        <v>2</v>
      </c>
      <c r="BK12" s="11">
        <f t="shared" si="5"/>
        <v>2</v>
      </c>
      <c r="BM12" s="11">
        <f t="shared" si="5"/>
        <v>0</v>
      </c>
      <c r="BN12" s="16">
        <f ca="1">SUMIF(D$2:$BM11,BN$2,D12:BM12)</f>
        <v>51</v>
      </c>
      <c r="BO12" s="16">
        <f t="shared" ca="1" si="0"/>
        <v>12.75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X13" s="11">
        <v>2</v>
      </c>
      <c r="Y13" s="11">
        <f t="shared" si="27"/>
        <v>2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R13" s="11">
        <v>1</v>
      </c>
      <c r="AS13" s="11">
        <f t="shared" si="27"/>
        <v>1</v>
      </c>
      <c r="AU13" s="11">
        <f t="shared" si="27"/>
        <v>0</v>
      </c>
      <c r="AV13" s="11">
        <v>2</v>
      </c>
      <c r="AW13" s="11">
        <f t="shared" si="27"/>
        <v>2</v>
      </c>
      <c r="AX13" s="11">
        <v>2</v>
      </c>
      <c r="AY13" s="11">
        <f t="shared" si="27"/>
        <v>2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F13" s="11">
        <v>2</v>
      </c>
      <c r="BG13" s="11">
        <f t="shared" si="27"/>
        <v>2</v>
      </c>
      <c r="BH13" s="11">
        <v>1</v>
      </c>
      <c r="BI13" s="11">
        <f t="shared" si="27"/>
        <v>1</v>
      </c>
      <c r="BK13" s="11">
        <f t="shared" si="27"/>
        <v>0</v>
      </c>
      <c r="BM13" s="11">
        <f t="shared" si="27"/>
        <v>0</v>
      </c>
      <c r="BN13" s="16">
        <f ca="1">SUMIF(D$2:$BM12,BN$2,D13:BM13)</f>
        <v>10</v>
      </c>
      <c r="BO13" s="16">
        <f t="shared" ref="BO13" ca="1" si="28">BN13/4</f>
        <v>2.5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F14" s="11">
        <v>1</v>
      </c>
      <c r="G14" s="11">
        <f>F14*$C14</f>
        <v>4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P14" s="11">
        <v>1</v>
      </c>
      <c r="AQ14" s="11">
        <f t="shared" si="3"/>
        <v>4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8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K15" s="11">
        <f t="shared" si="2"/>
        <v>0</v>
      </c>
      <c r="M15" s="11">
        <f t="shared" ref="M15:U77" si="29">L15*$C15</f>
        <v>0</v>
      </c>
      <c r="O15" s="11">
        <f t="shared" si="29"/>
        <v>0</v>
      </c>
      <c r="P15" s="11">
        <v>1</v>
      </c>
      <c r="Q15" s="11">
        <f t="shared" si="29"/>
        <v>2</v>
      </c>
      <c r="S15" s="11">
        <f t="shared" si="29"/>
        <v>0</v>
      </c>
      <c r="T15" s="11">
        <v>1</v>
      </c>
      <c r="U15" s="11">
        <f t="shared" si="29"/>
        <v>2</v>
      </c>
      <c r="W15" s="11">
        <f t="shared" si="3"/>
        <v>0</v>
      </c>
      <c r="X15" s="11">
        <v>1</v>
      </c>
      <c r="Y15" s="11">
        <f t="shared" si="3"/>
        <v>2</v>
      </c>
      <c r="Z15" s="11">
        <v>1</v>
      </c>
      <c r="AA15" s="11">
        <f t="shared" si="3"/>
        <v>2</v>
      </c>
      <c r="AB15" s="11">
        <v>1</v>
      </c>
      <c r="AC15" s="11">
        <f t="shared" si="3"/>
        <v>2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K15" s="11">
        <f t="shared" si="3"/>
        <v>0</v>
      </c>
      <c r="AM15" s="11">
        <f t="shared" si="3"/>
        <v>0</v>
      </c>
      <c r="AO15" s="11">
        <f t="shared" si="3"/>
        <v>0</v>
      </c>
      <c r="AQ15" s="11">
        <f t="shared" si="3"/>
        <v>0</v>
      </c>
      <c r="AR15" s="11">
        <v>2</v>
      </c>
      <c r="AS15" s="11">
        <f t="shared" si="3"/>
        <v>4</v>
      </c>
      <c r="AU15" s="11">
        <f t="shared" si="3"/>
        <v>0</v>
      </c>
      <c r="AW15" s="11">
        <f t="shared" si="3"/>
        <v>0</v>
      </c>
      <c r="AX15" s="11">
        <v>1</v>
      </c>
      <c r="AY15" s="11">
        <f t="shared" si="3"/>
        <v>2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H15" s="11">
        <v>1</v>
      </c>
      <c r="BI15" s="11">
        <f t="shared" si="5"/>
        <v>2</v>
      </c>
      <c r="BK15" s="11">
        <f t="shared" si="5"/>
        <v>0</v>
      </c>
      <c r="BM15" s="11">
        <f t="shared" si="5"/>
        <v>0</v>
      </c>
      <c r="BN15" s="16">
        <f ca="1">SUMIF(D$2:$BM14,BN$2,D15:BM15)</f>
        <v>18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D16" s="11">
        <v>3</v>
      </c>
      <c r="E16" s="11">
        <f t="shared" si="2"/>
        <v>3</v>
      </c>
      <c r="G16" s="11">
        <f t="shared" si="2"/>
        <v>0</v>
      </c>
      <c r="H16" s="11">
        <v>1</v>
      </c>
      <c r="I16" s="11">
        <f t="shared" si="2"/>
        <v>1</v>
      </c>
      <c r="K16" s="11">
        <f t="shared" si="2"/>
        <v>0</v>
      </c>
      <c r="M16" s="11">
        <f t="shared" si="29"/>
        <v>0</v>
      </c>
      <c r="O16" s="11">
        <f t="shared" si="29"/>
        <v>0</v>
      </c>
      <c r="P16" s="11">
        <v>2</v>
      </c>
      <c r="Q16" s="11">
        <f t="shared" si="29"/>
        <v>2</v>
      </c>
      <c r="S16" s="11">
        <f t="shared" si="29"/>
        <v>0</v>
      </c>
      <c r="U16" s="11">
        <f t="shared" si="29"/>
        <v>0</v>
      </c>
      <c r="W16" s="11">
        <f t="shared" si="3"/>
        <v>0</v>
      </c>
      <c r="X16" s="11">
        <v>1</v>
      </c>
      <c r="Y16" s="11">
        <f t="shared" si="3"/>
        <v>1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G16" s="11">
        <f t="shared" si="3"/>
        <v>0</v>
      </c>
      <c r="AI16" s="11">
        <f t="shared" si="3"/>
        <v>0</v>
      </c>
      <c r="AK16" s="11">
        <f t="shared" si="3"/>
        <v>0</v>
      </c>
      <c r="AM16" s="11">
        <f t="shared" si="3"/>
        <v>0</v>
      </c>
      <c r="AO16" s="11">
        <f t="shared" si="3"/>
        <v>0</v>
      </c>
      <c r="AP16" s="11">
        <v>1</v>
      </c>
      <c r="AQ16" s="11">
        <f t="shared" si="3"/>
        <v>1</v>
      </c>
      <c r="AS16" s="11">
        <f t="shared" si="3"/>
        <v>0</v>
      </c>
      <c r="AT16" s="11">
        <v>1</v>
      </c>
      <c r="AU16" s="11">
        <f t="shared" si="3"/>
        <v>1</v>
      </c>
      <c r="AW16" s="11">
        <f t="shared" si="3"/>
        <v>0</v>
      </c>
      <c r="AX16" s="11">
        <v>2</v>
      </c>
      <c r="AY16" s="11">
        <f t="shared" si="3"/>
        <v>2</v>
      </c>
      <c r="AZ16" s="11">
        <v>1</v>
      </c>
      <c r="BA16" s="11">
        <f t="shared" si="5"/>
        <v>1</v>
      </c>
      <c r="BC16" s="11">
        <f t="shared" si="5"/>
        <v>0</v>
      </c>
      <c r="BD16" s="11">
        <v>3</v>
      </c>
      <c r="BE16" s="11">
        <f t="shared" si="5"/>
        <v>3</v>
      </c>
      <c r="BG16" s="11">
        <f t="shared" si="5"/>
        <v>0</v>
      </c>
      <c r="BH16" s="11">
        <v>1</v>
      </c>
      <c r="BI16" s="11">
        <f t="shared" si="5"/>
        <v>1</v>
      </c>
      <c r="BK16" s="11">
        <f t="shared" si="5"/>
        <v>0</v>
      </c>
      <c r="BM16" s="11">
        <f t="shared" si="5"/>
        <v>0</v>
      </c>
      <c r="BN16" s="16">
        <f ca="1">SUMIF(D$2:$BM15,BN$2,D16:BM16)</f>
        <v>16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2</v>
      </c>
      <c r="E17" s="11">
        <f t="shared" si="2"/>
        <v>8</v>
      </c>
      <c r="F17" s="11">
        <v>2</v>
      </c>
      <c r="G17" s="11">
        <f t="shared" si="2"/>
        <v>8</v>
      </c>
      <c r="H17" s="11">
        <v>3</v>
      </c>
      <c r="I17" s="11">
        <f t="shared" si="2"/>
        <v>12</v>
      </c>
      <c r="J17" s="11">
        <v>2</v>
      </c>
      <c r="K17" s="11">
        <f t="shared" si="2"/>
        <v>8</v>
      </c>
      <c r="M17" s="11">
        <f t="shared" si="29"/>
        <v>0</v>
      </c>
      <c r="N17" s="11">
        <v>1</v>
      </c>
      <c r="O17" s="11">
        <f t="shared" si="29"/>
        <v>4</v>
      </c>
      <c r="P17" s="11">
        <v>2</v>
      </c>
      <c r="Q17" s="11">
        <f t="shared" si="29"/>
        <v>8</v>
      </c>
      <c r="S17" s="11">
        <f t="shared" si="29"/>
        <v>0</v>
      </c>
      <c r="T17" s="11">
        <v>3</v>
      </c>
      <c r="U17" s="11">
        <f t="shared" si="29"/>
        <v>12</v>
      </c>
      <c r="V17" s="11">
        <v>3</v>
      </c>
      <c r="W17" s="11">
        <f t="shared" si="3"/>
        <v>12</v>
      </c>
      <c r="X17" s="11">
        <v>3</v>
      </c>
      <c r="Y17" s="11">
        <f t="shared" si="3"/>
        <v>12</v>
      </c>
      <c r="Z17" s="11">
        <v>2</v>
      </c>
      <c r="AA17" s="11">
        <f t="shared" si="3"/>
        <v>8</v>
      </c>
      <c r="AB17" s="11">
        <v>1</v>
      </c>
      <c r="AC17" s="11">
        <f t="shared" si="3"/>
        <v>4</v>
      </c>
      <c r="AD17" s="11">
        <v>2</v>
      </c>
      <c r="AE17" s="11">
        <f t="shared" si="3"/>
        <v>8</v>
      </c>
      <c r="AF17" s="11">
        <v>3</v>
      </c>
      <c r="AG17" s="11">
        <f t="shared" si="3"/>
        <v>12</v>
      </c>
      <c r="AH17" s="11">
        <v>1</v>
      </c>
      <c r="AI17" s="11">
        <f t="shared" si="3"/>
        <v>4</v>
      </c>
      <c r="AJ17" s="11">
        <v>4</v>
      </c>
      <c r="AK17" s="11">
        <f t="shared" si="3"/>
        <v>16</v>
      </c>
      <c r="AL17" s="11">
        <v>2</v>
      </c>
      <c r="AM17" s="11">
        <f t="shared" si="3"/>
        <v>8</v>
      </c>
      <c r="AO17" s="11">
        <f t="shared" si="3"/>
        <v>0</v>
      </c>
      <c r="AQ17" s="11">
        <f t="shared" si="3"/>
        <v>0</v>
      </c>
      <c r="AS17" s="11">
        <f t="shared" si="3"/>
        <v>0</v>
      </c>
      <c r="AU17" s="11">
        <f t="shared" si="3"/>
        <v>0</v>
      </c>
      <c r="AV17" s="11">
        <v>1</v>
      </c>
      <c r="AW17" s="11">
        <f t="shared" si="3"/>
        <v>4</v>
      </c>
      <c r="AX17" s="11">
        <v>1</v>
      </c>
      <c r="AY17" s="11">
        <f t="shared" si="3"/>
        <v>4</v>
      </c>
      <c r="BA17" s="11">
        <f t="shared" si="5"/>
        <v>0</v>
      </c>
      <c r="BC17" s="11">
        <f t="shared" si="5"/>
        <v>0</v>
      </c>
      <c r="BD17" s="11">
        <v>2</v>
      </c>
      <c r="BE17" s="11">
        <f t="shared" si="5"/>
        <v>8</v>
      </c>
      <c r="BF17" s="11">
        <v>2</v>
      </c>
      <c r="BG17" s="11">
        <f t="shared" si="5"/>
        <v>8</v>
      </c>
      <c r="BH17" s="11">
        <v>1</v>
      </c>
      <c r="BI17" s="11">
        <f t="shared" si="5"/>
        <v>4</v>
      </c>
      <c r="BJ17" s="11">
        <v>2</v>
      </c>
      <c r="BK17" s="11">
        <f t="shared" si="5"/>
        <v>8</v>
      </c>
      <c r="BM17" s="11">
        <f t="shared" si="5"/>
        <v>0</v>
      </c>
      <c r="BN17" s="16">
        <f ca="1">SUMIF(D$2:$BM16,BN$2,D17:BM17)</f>
        <v>180</v>
      </c>
      <c r="BO17" s="16">
        <f t="shared" ref="BO17:BO28" ca="1" si="30">BN17/4</f>
        <v>45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4</v>
      </c>
      <c r="E18" s="11">
        <f t="shared" si="2"/>
        <v>8</v>
      </c>
      <c r="F18" s="11">
        <v>4</v>
      </c>
      <c r="G18" s="11">
        <f t="shared" si="2"/>
        <v>8</v>
      </c>
      <c r="H18" s="11">
        <v>5</v>
      </c>
      <c r="I18" s="11">
        <f t="shared" si="2"/>
        <v>10</v>
      </c>
      <c r="J18" s="11">
        <v>1</v>
      </c>
      <c r="K18" s="11">
        <f t="shared" si="2"/>
        <v>2</v>
      </c>
      <c r="L18" s="11">
        <v>4</v>
      </c>
      <c r="M18" s="11">
        <f t="shared" si="29"/>
        <v>8</v>
      </c>
      <c r="O18" s="11">
        <f t="shared" si="29"/>
        <v>0</v>
      </c>
      <c r="P18" s="11">
        <v>2</v>
      </c>
      <c r="Q18" s="11">
        <f t="shared" si="29"/>
        <v>4</v>
      </c>
      <c r="R18" s="11">
        <v>1</v>
      </c>
      <c r="S18" s="11">
        <f t="shared" si="29"/>
        <v>2</v>
      </c>
      <c r="T18" s="11">
        <v>5</v>
      </c>
      <c r="U18" s="11">
        <f t="shared" si="29"/>
        <v>10</v>
      </c>
      <c r="V18" s="11">
        <v>3</v>
      </c>
      <c r="W18" s="11">
        <f t="shared" si="3"/>
        <v>6</v>
      </c>
      <c r="X18" s="11">
        <v>3</v>
      </c>
      <c r="Y18" s="11">
        <f t="shared" si="3"/>
        <v>6</v>
      </c>
      <c r="Z18" s="11">
        <v>3</v>
      </c>
      <c r="AA18" s="11">
        <f t="shared" si="3"/>
        <v>6</v>
      </c>
      <c r="AB18" s="11">
        <v>1</v>
      </c>
      <c r="AC18" s="11">
        <f t="shared" si="3"/>
        <v>2</v>
      </c>
      <c r="AD18" s="11">
        <v>2</v>
      </c>
      <c r="AE18" s="11">
        <f t="shared" si="3"/>
        <v>4</v>
      </c>
      <c r="AF18" s="11">
        <v>1</v>
      </c>
      <c r="AG18" s="11">
        <f t="shared" si="3"/>
        <v>2</v>
      </c>
      <c r="AI18" s="11">
        <f t="shared" si="3"/>
        <v>0</v>
      </c>
      <c r="AJ18" s="11">
        <v>4</v>
      </c>
      <c r="AK18" s="11">
        <f t="shared" si="3"/>
        <v>8</v>
      </c>
      <c r="AL18" s="11">
        <v>3</v>
      </c>
      <c r="AM18" s="11">
        <f t="shared" si="3"/>
        <v>6</v>
      </c>
      <c r="AN18" s="11">
        <v>1</v>
      </c>
      <c r="AO18" s="11">
        <f t="shared" si="3"/>
        <v>2</v>
      </c>
      <c r="AP18" s="11">
        <v>1</v>
      </c>
      <c r="AQ18" s="11">
        <f t="shared" si="3"/>
        <v>2</v>
      </c>
      <c r="AR18" s="11">
        <v>1</v>
      </c>
      <c r="AS18" s="11">
        <f t="shared" si="3"/>
        <v>2</v>
      </c>
      <c r="AT18" s="11">
        <v>2</v>
      </c>
      <c r="AU18" s="11">
        <f t="shared" si="3"/>
        <v>4</v>
      </c>
      <c r="AV18" s="11">
        <v>2</v>
      </c>
      <c r="AW18" s="11">
        <f t="shared" si="3"/>
        <v>4</v>
      </c>
      <c r="AX18" s="11">
        <v>3</v>
      </c>
      <c r="AY18" s="11">
        <f t="shared" si="3"/>
        <v>6</v>
      </c>
      <c r="AZ18" s="11">
        <v>2</v>
      </c>
      <c r="BA18" s="11">
        <f t="shared" si="5"/>
        <v>4</v>
      </c>
      <c r="BB18" s="11">
        <v>1</v>
      </c>
      <c r="BC18" s="11">
        <f t="shared" si="5"/>
        <v>2</v>
      </c>
      <c r="BD18" s="11">
        <v>1</v>
      </c>
      <c r="BE18" s="11">
        <f t="shared" si="5"/>
        <v>2</v>
      </c>
      <c r="BF18" s="11">
        <v>2</v>
      </c>
      <c r="BG18" s="11">
        <f t="shared" si="5"/>
        <v>4</v>
      </c>
      <c r="BH18" s="11">
        <v>6</v>
      </c>
      <c r="BI18" s="11">
        <f t="shared" si="5"/>
        <v>12</v>
      </c>
      <c r="BJ18" s="11">
        <v>1</v>
      </c>
      <c r="BK18" s="11">
        <f t="shared" si="5"/>
        <v>2</v>
      </c>
      <c r="BM18" s="11">
        <f t="shared" si="5"/>
        <v>0</v>
      </c>
      <c r="BN18" s="16">
        <f ca="1">SUMIF(D$2:$BM17,BN$2,D18:BM18)</f>
        <v>138</v>
      </c>
      <c r="BO18" s="16">
        <f t="shared" ca="1" si="30"/>
        <v>34.5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2</v>
      </c>
      <c r="E19" s="11">
        <f t="shared" si="2"/>
        <v>2</v>
      </c>
      <c r="F19" s="11">
        <v>2</v>
      </c>
      <c r="G19" s="11">
        <f t="shared" si="2"/>
        <v>2</v>
      </c>
      <c r="I19" s="11">
        <f t="shared" si="2"/>
        <v>0</v>
      </c>
      <c r="J19" s="11">
        <v>3</v>
      </c>
      <c r="K19" s="11">
        <f t="shared" si="2"/>
        <v>3</v>
      </c>
      <c r="L19" s="11">
        <v>1</v>
      </c>
      <c r="M19" s="11">
        <f t="shared" si="29"/>
        <v>1</v>
      </c>
      <c r="N19" s="11">
        <v>1</v>
      </c>
      <c r="O19" s="11">
        <f t="shared" si="29"/>
        <v>1</v>
      </c>
      <c r="Q19" s="11">
        <f t="shared" si="29"/>
        <v>0</v>
      </c>
      <c r="R19" s="11">
        <v>1</v>
      </c>
      <c r="S19" s="11">
        <f t="shared" si="29"/>
        <v>1</v>
      </c>
      <c r="T19" s="11">
        <v>1</v>
      </c>
      <c r="U19" s="11">
        <f t="shared" si="29"/>
        <v>1</v>
      </c>
      <c r="W19" s="11">
        <f t="shared" si="3"/>
        <v>0</v>
      </c>
      <c r="X19" s="11">
        <v>1</v>
      </c>
      <c r="Y19" s="11">
        <f t="shared" si="3"/>
        <v>1</v>
      </c>
      <c r="AA19" s="11">
        <f t="shared" si="3"/>
        <v>0</v>
      </c>
      <c r="AB19" s="11">
        <v>2</v>
      </c>
      <c r="AC19" s="11">
        <f t="shared" si="3"/>
        <v>2</v>
      </c>
      <c r="AE19" s="11">
        <f t="shared" si="3"/>
        <v>0</v>
      </c>
      <c r="AF19" s="11">
        <v>1</v>
      </c>
      <c r="AG19" s="11">
        <f t="shared" si="3"/>
        <v>1</v>
      </c>
      <c r="AH19" s="11">
        <v>2</v>
      </c>
      <c r="AI19" s="11">
        <f t="shared" si="3"/>
        <v>2</v>
      </c>
      <c r="AJ19" s="11">
        <v>2</v>
      </c>
      <c r="AK19" s="11">
        <f t="shared" si="3"/>
        <v>2</v>
      </c>
      <c r="AM19" s="11">
        <f t="shared" si="3"/>
        <v>0</v>
      </c>
      <c r="AN19" s="11">
        <v>1</v>
      </c>
      <c r="AO19" s="11">
        <f t="shared" si="3"/>
        <v>1</v>
      </c>
      <c r="AP19" s="11">
        <v>3</v>
      </c>
      <c r="AQ19" s="11">
        <f t="shared" si="3"/>
        <v>3</v>
      </c>
      <c r="AR19" s="11">
        <v>1</v>
      </c>
      <c r="AS19" s="11">
        <f t="shared" si="3"/>
        <v>1</v>
      </c>
      <c r="AT19" s="11">
        <v>1</v>
      </c>
      <c r="AU19" s="11">
        <f t="shared" si="3"/>
        <v>1</v>
      </c>
      <c r="AV19" s="11">
        <v>5</v>
      </c>
      <c r="AW19" s="11">
        <f t="shared" si="3"/>
        <v>5</v>
      </c>
      <c r="AY19" s="11">
        <f t="shared" si="3"/>
        <v>0</v>
      </c>
      <c r="AZ19" s="11">
        <v>1</v>
      </c>
      <c r="BA19" s="11">
        <f t="shared" si="5"/>
        <v>1</v>
      </c>
      <c r="BC19" s="11">
        <f t="shared" si="5"/>
        <v>0</v>
      </c>
      <c r="BD19" s="11">
        <v>2</v>
      </c>
      <c r="BE19" s="11">
        <f t="shared" si="5"/>
        <v>2</v>
      </c>
      <c r="BF19" s="11">
        <v>1</v>
      </c>
      <c r="BG19" s="11">
        <f t="shared" si="5"/>
        <v>1</v>
      </c>
      <c r="BH19" s="11">
        <v>1</v>
      </c>
      <c r="BI19" s="11">
        <f t="shared" si="5"/>
        <v>1</v>
      </c>
      <c r="BJ19" s="11">
        <v>2</v>
      </c>
      <c r="BK19" s="11">
        <f t="shared" si="5"/>
        <v>2</v>
      </c>
      <c r="BM19" s="11">
        <f t="shared" si="5"/>
        <v>0</v>
      </c>
      <c r="BN19" s="16">
        <f ca="1">SUMIF(D$2:$BM18,BN$2,D19:BM19)</f>
        <v>37</v>
      </c>
      <c r="BO19" s="16">
        <f t="shared" ca="1" si="30"/>
        <v>9.25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1</v>
      </c>
      <c r="E20" s="11">
        <f t="shared" si="2"/>
        <v>4</v>
      </c>
      <c r="G20" s="11">
        <f t="shared" si="2"/>
        <v>0</v>
      </c>
      <c r="H20" s="11">
        <v>2</v>
      </c>
      <c r="I20" s="11">
        <f t="shared" si="2"/>
        <v>8</v>
      </c>
      <c r="K20" s="11">
        <f t="shared" si="2"/>
        <v>0</v>
      </c>
      <c r="L20" s="11">
        <v>2</v>
      </c>
      <c r="M20" s="11">
        <f t="shared" si="29"/>
        <v>8</v>
      </c>
      <c r="N20" s="11">
        <v>1</v>
      </c>
      <c r="O20" s="11">
        <f t="shared" si="29"/>
        <v>4</v>
      </c>
      <c r="Q20" s="11">
        <f t="shared" si="29"/>
        <v>0</v>
      </c>
      <c r="S20" s="11">
        <f t="shared" si="29"/>
        <v>0</v>
      </c>
      <c r="T20" s="11">
        <v>2</v>
      </c>
      <c r="U20" s="11">
        <f t="shared" si="29"/>
        <v>8</v>
      </c>
      <c r="V20" s="11">
        <v>3</v>
      </c>
      <c r="W20" s="11">
        <f t="shared" si="3"/>
        <v>12</v>
      </c>
      <c r="X20" s="11">
        <v>2</v>
      </c>
      <c r="Y20" s="11">
        <f t="shared" si="3"/>
        <v>8</v>
      </c>
      <c r="AA20" s="11">
        <f t="shared" si="3"/>
        <v>0</v>
      </c>
      <c r="AC20" s="11">
        <f t="shared" si="3"/>
        <v>0</v>
      </c>
      <c r="AD20" s="11">
        <v>1</v>
      </c>
      <c r="AE20" s="11">
        <f t="shared" si="3"/>
        <v>4</v>
      </c>
      <c r="AF20" s="11">
        <v>2</v>
      </c>
      <c r="AG20" s="11">
        <f t="shared" si="3"/>
        <v>8</v>
      </c>
      <c r="AH20" s="11">
        <v>1</v>
      </c>
      <c r="AI20" s="11">
        <f t="shared" si="3"/>
        <v>4</v>
      </c>
      <c r="AJ20" s="11">
        <v>1</v>
      </c>
      <c r="AK20" s="11">
        <f t="shared" si="3"/>
        <v>4</v>
      </c>
      <c r="AL20" s="11">
        <v>1</v>
      </c>
      <c r="AM20" s="11">
        <f t="shared" si="3"/>
        <v>4</v>
      </c>
      <c r="AO20" s="11">
        <f t="shared" si="3"/>
        <v>0</v>
      </c>
      <c r="AP20" s="11">
        <v>5</v>
      </c>
      <c r="AQ20" s="11">
        <f t="shared" si="3"/>
        <v>20</v>
      </c>
      <c r="AS20" s="11">
        <f t="shared" si="3"/>
        <v>0</v>
      </c>
      <c r="AU20" s="11">
        <f t="shared" si="3"/>
        <v>0</v>
      </c>
      <c r="AW20" s="11">
        <f t="shared" si="3"/>
        <v>0</v>
      </c>
      <c r="AX20" s="11">
        <v>2</v>
      </c>
      <c r="AY20" s="11">
        <f t="shared" si="3"/>
        <v>8</v>
      </c>
      <c r="AZ20" s="11">
        <v>1</v>
      </c>
      <c r="BA20" s="11">
        <f t="shared" si="5"/>
        <v>4</v>
      </c>
      <c r="BB20" s="11">
        <v>2</v>
      </c>
      <c r="BC20" s="11">
        <f t="shared" si="5"/>
        <v>8</v>
      </c>
      <c r="BD20" s="11">
        <v>4</v>
      </c>
      <c r="BE20" s="11">
        <f t="shared" si="5"/>
        <v>16</v>
      </c>
      <c r="BF20" s="11">
        <v>1</v>
      </c>
      <c r="BG20" s="11">
        <f t="shared" si="5"/>
        <v>4</v>
      </c>
      <c r="BI20" s="11">
        <f t="shared" si="5"/>
        <v>0</v>
      </c>
      <c r="BK20" s="11">
        <f t="shared" si="5"/>
        <v>0</v>
      </c>
      <c r="BM20" s="11">
        <f t="shared" si="5"/>
        <v>0</v>
      </c>
      <c r="BN20" s="16">
        <f ca="1">SUMIF(D$2:$BM19,BN$2,D20:BM20)</f>
        <v>136</v>
      </c>
      <c r="BO20" s="16">
        <f t="shared" ca="1" si="30"/>
        <v>34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2</v>
      </c>
      <c r="E21" s="11">
        <f t="shared" si="2"/>
        <v>4</v>
      </c>
      <c r="F21" s="11">
        <v>3</v>
      </c>
      <c r="G21" s="11">
        <f t="shared" si="2"/>
        <v>6</v>
      </c>
      <c r="H21" s="11">
        <v>4</v>
      </c>
      <c r="I21" s="11">
        <f t="shared" si="2"/>
        <v>8</v>
      </c>
      <c r="J21" s="11">
        <v>4</v>
      </c>
      <c r="K21" s="11">
        <f t="shared" si="2"/>
        <v>8</v>
      </c>
      <c r="L21" s="11">
        <v>3</v>
      </c>
      <c r="M21" s="11">
        <f t="shared" si="29"/>
        <v>6</v>
      </c>
      <c r="N21" s="11">
        <v>1</v>
      </c>
      <c r="O21" s="11">
        <f t="shared" si="29"/>
        <v>2</v>
      </c>
      <c r="Q21" s="11">
        <f t="shared" si="29"/>
        <v>0</v>
      </c>
      <c r="R21" s="11">
        <v>3</v>
      </c>
      <c r="S21" s="11">
        <f t="shared" si="29"/>
        <v>6</v>
      </c>
      <c r="U21" s="11">
        <f t="shared" si="29"/>
        <v>0</v>
      </c>
      <c r="W21" s="11">
        <f t="shared" si="3"/>
        <v>0</v>
      </c>
      <c r="X21" s="11">
        <v>2</v>
      </c>
      <c r="Y21" s="11">
        <f t="shared" si="3"/>
        <v>4</v>
      </c>
      <c r="AA21" s="11">
        <f t="shared" si="3"/>
        <v>0</v>
      </c>
      <c r="AC21" s="11">
        <f t="shared" si="3"/>
        <v>0</v>
      </c>
      <c r="AE21" s="11">
        <f t="shared" si="3"/>
        <v>0</v>
      </c>
      <c r="AF21" s="11">
        <v>1</v>
      </c>
      <c r="AG21" s="11">
        <f t="shared" si="3"/>
        <v>2</v>
      </c>
      <c r="AH21" s="11">
        <v>1</v>
      </c>
      <c r="AI21" s="11">
        <f t="shared" si="3"/>
        <v>2</v>
      </c>
      <c r="AJ21" s="11">
        <v>1</v>
      </c>
      <c r="AK21" s="11">
        <f t="shared" si="3"/>
        <v>2</v>
      </c>
      <c r="AM21" s="11">
        <f t="shared" si="3"/>
        <v>0</v>
      </c>
      <c r="AN21" s="11">
        <v>1</v>
      </c>
      <c r="AO21" s="11">
        <f t="shared" si="3"/>
        <v>2</v>
      </c>
      <c r="AQ21" s="11">
        <f t="shared" si="3"/>
        <v>0</v>
      </c>
      <c r="AR21" s="11">
        <v>1</v>
      </c>
      <c r="AS21" s="11">
        <f t="shared" si="3"/>
        <v>2</v>
      </c>
      <c r="AT21" s="11">
        <v>1</v>
      </c>
      <c r="AU21" s="11">
        <f t="shared" si="3"/>
        <v>2</v>
      </c>
      <c r="AV21" s="11">
        <v>2</v>
      </c>
      <c r="AW21" s="11">
        <f t="shared" si="3"/>
        <v>4</v>
      </c>
      <c r="AX21" s="11">
        <v>2</v>
      </c>
      <c r="AY21" s="11">
        <f t="shared" si="3"/>
        <v>4</v>
      </c>
      <c r="AZ21" s="11">
        <v>1</v>
      </c>
      <c r="BA21" s="11">
        <f t="shared" si="5"/>
        <v>2</v>
      </c>
      <c r="BB21" s="11">
        <v>4</v>
      </c>
      <c r="BC21" s="11">
        <f t="shared" si="5"/>
        <v>8</v>
      </c>
      <c r="BD21" s="11">
        <v>1</v>
      </c>
      <c r="BE21" s="11">
        <f t="shared" si="5"/>
        <v>2</v>
      </c>
      <c r="BF21" s="11">
        <v>2</v>
      </c>
      <c r="BG21" s="11">
        <f t="shared" si="5"/>
        <v>4</v>
      </c>
      <c r="BH21" s="11">
        <v>2</v>
      </c>
      <c r="BI21" s="11">
        <f t="shared" si="5"/>
        <v>4</v>
      </c>
      <c r="BJ21" s="11">
        <v>1</v>
      </c>
      <c r="BK21" s="11">
        <f t="shared" si="5"/>
        <v>2</v>
      </c>
      <c r="BM21" s="11">
        <f t="shared" si="5"/>
        <v>0</v>
      </c>
      <c r="BN21" s="16">
        <f ca="1">SUMIF(D$2:$BM20,BN$2,D21:BM21)</f>
        <v>86</v>
      </c>
      <c r="BO21" s="16">
        <f t="shared" ca="1" si="30"/>
        <v>21.5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1</v>
      </c>
      <c r="E22" s="11">
        <f t="shared" si="2"/>
        <v>1</v>
      </c>
      <c r="G22" s="11">
        <f t="shared" si="2"/>
        <v>0</v>
      </c>
      <c r="H22" s="11">
        <v>1</v>
      </c>
      <c r="I22" s="11">
        <f t="shared" si="2"/>
        <v>1</v>
      </c>
      <c r="J22" s="11">
        <v>1</v>
      </c>
      <c r="K22" s="11">
        <f t="shared" si="2"/>
        <v>1</v>
      </c>
      <c r="L22" s="11">
        <v>3</v>
      </c>
      <c r="M22" s="11">
        <f t="shared" si="29"/>
        <v>3</v>
      </c>
      <c r="N22" s="11">
        <v>2</v>
      </c>
      <c r="O22" s="11">
        <f t="shared" si="29"/>
        <v>2</v>
      </c>
      <c r="P22" s="11">
        <v>1</v>
      </c>
      <c r="Q22" s="11">
        <f t="shared" si="29"/>
        <v>1</v>
      </c>
      <c r="R22" s="11">
        <v>1</v>
      </c>
      <c r="S22" s="11">
        <f t="shared" si="29"/>
        <v>1</v>
      </c>
      <c r="T22" s="11">
        <v>2</v>
      </c>
      <c r="U22" s="11">
        <f t="shared" si="29"/>
        <v>2</v>
      </c>
      <c r="V22" s="11">
        <v>3</v>
      </c>
      <c r="W22" s="11">
        <f t="shared" si="3"/>
        <v>3</v>
      </c>
      <c r="Y22" s="11">
        <f t="shared" si="3"/>
        <v>0</v>
      </c>
      <c r="AA22" s="11">
        <f t="shared" si="3"/>
        <v>0</v>
      </c>
      <c r="AB22" s="11">
        <v>1</v>
      </c>
      <c r="AC22" s="11">
        <f t="shared" si="3"/>
        <v>1</v>
      </c>
      <c r="AD22" s="11">
        <v>1</v>
      </c>
      <c r="AE22" s="11">
        <f t="shared" si="3"/>
        <v>1</v>
      </c>
      <c r="AF22" s="11">
        <v>1</v>
      </c>
      <c r="AG22" s="11">
        <f t="shared" si="3"/>
        <v>1</v>
      </c>
      <c r="AH22" s="11">
        <v>3</v>
      </c>
      <c r="AI22" s="11">
        <f t="shared" si="3"/>
        <v>3</v>
      </c>
      <c r="AJ22" s="11">
        <v>1</v>
      </c>
      <c r="AK22" s="11">
        <f t="shared" si="3"/>
        <v>1</v>
      </c>
      <c r="AL22" s="11">
        <v>3</v>
      </c>
      <c r="AM22" s="11">
        <f t="shared" si="3"/>
        <v>3</v>
      </c>
      <c r="AN22" s="11">
        <v>3</v>
      </c>
      <c r="AO22" s="11">
        <f t="shared" si="3"/>
        <v>3</v>
      </c>
      <c r="AP22" s="11">
        <v>4</v>
      </c>
      <c r="AQ22" s="11">
        <f t="shared" si="3"/>
        <v>4</v>
      </c>
      <c r="AR22" s="11">
        <v>1</v>
      </c>
      <c r="AS22" s="11">
        <f t="shared" si="3"/>
        <v>1</v>
      </c>
      <c r="AT22" s="11">
        <v>2</v>
      </c>
      <c r="AU22" s="11">
        <f t="shared" si="3"/>
        <v>2</v>
      </c>
      <c r="AV22" s="11">
        <v>1</v>
      </c>
      <c r="AW22" s="11">
        <f t="shared" si="3"/>
        <v>1</v>
      </c>
      <c r="AX22" s="11">
        <v>5</v>
      </c>
      <c r="AY22" s="11">
        <f t="shared" si="3"/>
        <v>5</v>
      </c>
      <c r="BA22" s="11">
        <f t="shared" si="5"/>
        <v>0</v>
      </c>
      <c r="BB22" s="11">
        <v>2</v>
      </c>
      <c r="BC22" s="11">
        <f t="shared" si="5"/>
        <v>2</v>
      </c>
      <c r="BD22" s="11">
        <v>2</v>
      </c>
      <c r="BE22" s="11">
        <f t="shared" si="5"/>
        <v>2</v>
      </c>
      <c r="BG22" s="11">
        <f t="shared" si="5"/>
        <v>0</v>
      </c>
      <c r="BH22" s="11">
        <v>7</v>
      </c>
      <c r="BI22" s="11">
        <f t="shared" si="5"/>
        <v>7</v>
      </c>
      <c r="BJ22" s="11">
        <v>2</v>
      </c>
      <c r="BK22" s="11">
        <f t="shared" si="5"/>
        <v>2</v>
      </c>
      <c r="BM22" s="11">
        <f t="shared" si="5"/>
        <v>0</v>
      </c>
      <c r="BN22" s="16">
        <f ca="1">SUMIF(D$2:$BM21,BN$2,D22:BM22)</f>
        <v>54</v>
      </c>
      <c r="BO22" s="16">
        <f t="shared" ca="1" si="30"/>
        <v>13.5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F23" s="11">
        <v>2</v>
      </c>
      <c r="G23" s="11">
        <f t="shared" si="2"/>
        <v>8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N23" s="11">
        <v>1</v>
      </c>
      <c r="AO23" s="11">
        <f t="shared" si="31"/>
        <v>4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V23" s="11">
        <v>1</v>
      </c>
      <c r="AW23" s="11">
        <f t="shared" si="32"/>
        <v>4</v>
      </c>
      <c r="AY23" s="11">
        <f t="shared" si="32"/>
        <v>0</v>
      </c>
      <c r="AZ23" s="11">
        <v>1</v>
      </c>
      <c r="BA23" s="11">
        <f t="shared" si="32"/>
        <v>4</v>
      </c>
      <c r="BC23" s="11">
        <f t="shared" si="32"/>
        <v>0</v>
      </c>
      <c r="BD23" s="11">
        <v>1</v>
      </c>
      <c r="BE23" s="11">
        <f t="shared" si="32"/>
        <v>4</v>
      </c>
      <c r="BG23" s="11">
        <f t="shared" si="32"/>
        <v>0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24</v>
      </c>
      <c r="BO23" s="16">
        <f t="shared" ca="1" si="30"/>
        <v>6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D24" s="11">
        <v>3</v>
      </c>
      <c r="E24" s="11">
        <f t="shared" si="2"/>
        <v>6</v>
      </c>
      <c r="G24" s="11">
        <f t="shared" si="2"/>
        <v>0</v>
      </c>
      <c r="I24" s="11">
        <f t="shared" si="2"/>
        <v>0</v>
      </c>
      <c r="K24" s="11">
        <f t="shared" si="2"/>
        <v>0</v>
      </c>
      <c r="L24" s="11">
        <v>1</v>
      </c>
      <c r="M24" s="11">
        <f t="shared" si="29"/>
        <v>2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C24" s="11">
        <f t="shared" si="31"/>
        <v>0</v>
      </c>
      <c r="AE24" s="11">
        <f t="shared" si="31"/>
        <v>0</v>
      </c>
      <c r="AG24" s="11">
        <f t="shared" si="31"/>
        <v>0</v>
      </c>
      <c r="AI24" s="11">
        <f t="shared" si="31"/>
        <v>0</v>
      </c>
      <c r="AJ24" s="11">
        <v>2</v>
      </c>
      <c r="AK24" s="11">
        <f t="shared" si="31"/>
        <v>4</v>
      </c>
      <c r="AM24" s="11">
        <f t="shared" si="31"/>
        <v>0</v>
      </c>
      <c r="AO24" s="11">
        <f t="shared" si="31"/>
        <v>0</v>
      </c>
      <c r="AQ24" s="11">
        <f t="shared" si="32"/>
        <v>0</v>
      </c>
      <c r="AR24" s="11">
        <v>1</v>
      </c>
      <c r="AS24" s="11">
        <f t="shared" si="32"/>
        <v>2</v>
      </c>
      <c r="AU24" s="11">
        <f t="shared" si="32"/>
        <v>0</v>
      </c>
      <c r="AW24" s="11">
        <f t="shared" si="32"/>
        <v>0</v>
      </c>
      <c r="AX24" s="11">
        <v>1</v>
      </c>
      <c r="AY24" s="11">
        <f t="shared" si="32"/>
        <v>2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16</v>
      </c>
      <c r="BO24" s="16">
        <f t="shared" ca="1" si="30"/>
        <v>4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D25" s="11">
        <v>1</v>
      </c>
      <c r="E25" s="11">
        <f t="shared" si="2"/>
        <v>1</v>
      </c>
      <c r="G25" s="11">
        <f t="shared" si="2"/>
        <v>0</v>
      </c>
      <c r="H25" s="11">
        <v>1</v>
      </c>
      <c r="I25" s="11">
        <f t="shared" si="2"/>
        <v>1</v>
      </c>
      <c r="K25" s="11">
        <f t="shared" si="2"/>
        <v>0</v>
      </c>
      <c r="M25" s="11">
        <f t="shared" si="29"/>
        <v>0</v>
      </c>
      <c r="N25" s="11">
        <v>1</v>
      </c>
      <c r="O25" s="11">
        <f t="shared" si="29"/>
        <v>1</v>
      </c>
      <c r="Q25" s="11">
        <f t="shared" si="29"/>
        <v>0</v>
      </c>
      <c r="S25" s="11">
        <f t="shared" si="29"/>
        <v>0</v>
      </c>
      <c r="T25" s="11">
        <v>2</v>
      </c>
      <c r="U25" s="11">
        <f t="shared" si="29"/>
        <v>2</v>
      </c>
      <c r="V25" s="11">
        <v>1</v>
      </c>
      <c r="W25" s="11">
        <f t="shared" si="31"/>
        <v>1</v>
      </c>
      <c r="Y25" s="11">
        <f t="shared" si="31"/>
        <v>0</v>
      </c>
      <c r="AA25" s="11">
        <f t="shared" si="31"/>
        <v>0</v>
      </c>
      <c r="AB25" s="11">
        <v>1</v>
      </c>
      <c r="AC25" s="11">
        <f t="shared" si="31"/>
        <v>1</v>
      </c>
      <c r="AD25" s="11">
        <v>3</v>
      </c>
      <c r="AE25" s="11">
        <f t="shared" si="31"/>
        <v>3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O25" s="11">
        <f t="shared" si="31"/>
        <v>0</v>
      </c>
      <c r="AQ25" s="11">
        <f t="shared" si="32"/>
        <v>0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F25" s="11">
        <v>1</v>
      </c>
      <c r="BG25" s="11">
        <f t="shared" si="32"/>
        <v>1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11</v>
      </c>
      <c r="BO25" s="16">
        <f t="shared" ca="1" si="30"/>
        <v>2.75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N26" s="11">
        <v>1</v>
      </c>
      <c r="AO26" s="11">
        <f t="shared" si="31"/>
        <v>4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T27" s="11">
        <v>1</v>
      </c>
      <c r="U27" s="11">
        <f t="shared" si="29"/>
        <v>2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F27" s="11">
        <v>1</v>
      </c>
      <c r="BG27" s="11">
        <f t="shared" si="32"/>
        <v>2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4</v>
      </c>
      <c r="BO27" s="16">
        <f t="shared" ca="1" si="30"/>
        <v>1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H28" s="11">
        <v>1</v>
      </c>
      <c r="I28" s="11">
        <f t="shared" si="2"/>
        <v>1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R28" s="11">
        <v>1</v>
      </c>
      <c r="S28" s="11">
        <f t="shared" si="29"/>
        <v>1</v>
      </c>
      <c r="U28" s="11">
        <f t="shared" si="29"/>
        <v>0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D28" s="11">
        <v>1</v>
      </c>
      <c r="AE28" s="11">
        <f t="shared" si="31"/>
        <v>1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Q28" s="11">
        <f t="shared" si="32"/>
        <v>0</v>
      </c>
      <c r="AR28" s="11">
        <v>1</v>
      </c>
      <c r="AS28" s="11">
        <f t="shared" si="32"/>
        <v>1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B28" s="11">
        <v>1</v>
      </c>
      <c r="BC28" s="11">
        <f t="shared" si="32"/>
        <v>1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5</v>
      </c>
      <c r="BO28" s="16">
        <f t="shared" ca="1" si="30"/>
        <v>1.25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Q29" s="11">
        <f t="shared" si="33"/>
        <v>0</v>
      </c>
      <c r="R29" s="11">
        <v>1</v>
      </c>
      <c r="S29" s="11">
        <f t="shared" si="33"/>
        <v>1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L29" s="11">
        <v>1</v>
      </c>
      <c r="AM29" s="11">
        <f t="shared" si="33"/>
        <v>1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AZ29" s="11">
        <v>1</v>
      </c>
      <c r="BA29" s="11">
        <f t="shared" si="33"/>
        <v>1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3</v>
      </c>
      <c r="BO29" s="16">
        <f t="shared" ref="BO29" ca="1" si="34">BN29/4</f>
        <v>0.75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1</v>
      </c>
      <c r="E36" s="11">
        <f t="shared" si="2"/>
        <v>0.5</v>
      </c>
      <c r="G36" s="11">
        <f t="shared" si="2"/>
        <v>0</v>
      </c>
      <c r="H36" s="11">
        <v>2</v>
      </c>
      <c r="I36" s="11">
        <f t="shared" si="2"/>
        <v>1</v>
      </c>
      <c r="K36" s="11">
        <f t="shared" si="2"/>
        <v>0</v>
      </c>
      <c r="M36" s="11">
        <f t="shared" si="29"/>
        <v>0</v>
      </c>
      <c r="O36" s="11">
        <f t="shared" si="29"/>
        <v>0</v>
      </c>
      <c r="Q36" s="11">
        <f t="shared" si="29"/>
        <v>0</v>
      </c>
      <c r="R36" s="11">
        <v>3</v>
      </c>
      <c r="S36" s="11">
        <f t="shared" si="29"/>
        <v>1.5</v>
      </c>
      <c r="T36" s="11">
        <v>1</v>
      </c>
      <c r="U36" s="11">
        <f t="shared" si="29"/>
        <v>0.5</v>
      </c>
      <c r="V36" s="11">
        <v>1</v>
      </c>
      <c r="W36" s="11">
        <f t="shared" si="31"/>
        <v>0.5</v>
      </c>
      <c r="Y36" s="11">
        <f t="shared" si="31"/>
        <v>0</v>
      </c>
      <c r="AA36" s="11">
        <f t="shared" si="31"/>
        <v>0</v>
      </c>
      <c r="AB36" s="11">
        <v>1</v>
      </c>
      <c r="AC36" s="11">
        <f t="shared" si="31"/>
        <v>0.5</v>
      </c>
      <c r="AE36" s="11">
        <f t="shared" si="31"/>
        <v>0</v>
      </c>
      <c r="AG36" s="11">
        <f t="shared" si="31"/>
        <v>0</v>
      </c>
      <c r="AH36" s="11">
        <v>6</v>
      </c>
      <c r="AI36" s="11">
        <f t="shared" si="31"/>
        <v>3</v>
      </c>
      <c r="AK36" s="11">
        <f t="shared" si="31"/>
        <v>0</v>
      </c>
      <c r="AM36" s="11">
        <f t="shared" si="31"/>
        <v>0</v>
      </c>
      <c r="AN36" s="11">
        <v>1</v>
      </c>
      <c r="AO36" s="11">
        <f t="shared" ref="AO36:BM52" si="35">AN36*$C36</f>
        <v>0.5</v>
      </c>
      <c r="AP36" s="11">
        <v>3</v>
      </c>
      <c r="AQ36" s="11">
        <f t="shared" si="35"/>
        <v>1.5</v>
      </c>
      <c r="AR36" s="11">
        <v>1</v>
      </c>
      <c r="AS36" s="11">
        <f t="shared" si="35"/>
        <v>0.5</v>
      </c>
      <c r="AU36" s="11">
        <f t="shared" si="35"/>
        <v>0</v>
      </c>
      <c r="AW36" s="11">
        <f t="shared" si="35"/>
        <v>0</v>
      </c>
      <c r="AX36" s="11">
        <v>1</v>
      </c>
      <c r="AY36" s="11">
        <f t="shared" si="35"/>
        <v>0.5</v>
      </c>
      <c r="BA36" s="11">
        <f t="shared" si="35"/>
        <v>0</v>
      </c>
      <c r="BC36" s="11">
        <f t="shared" si="35"/>
        <v>0</v>
      </c>
      <c r="BE36" s="11">
        <f t="shared" si="35"/>
        <v>0</v>
      </c>
      <c r="BF36" s="11">
        <v>2</v>
      </c>
      <c r="BG36" s="11">
        <f t="shared" si="35"/>
        <v>1</v>
      </c>
      <c r="BH36" s="11">
        <v>1</v>
      </c>
      <c r="BI36" s="11">
        <f t="shared" si="35"/>
        <v>0.5</v>
      </c>
      <c r="BJ36" s="11">
        <v>3</v>
      </c>
      <c r="BK36" s="11">
        <f t="shared" si="35"/>
        <v>1.5</v>
      </c>
      <c r="BM36" s="11">
        <f t="shared" si="35"/>
        <v>0</v>
      </c>
      <c r="BN36" s="16">
        <f ca="1">SUMIF(D$2:$BM35,BN$2,D36:BM36)</f>
        <v>13.5</v>
      </c>
      <c r="BO36" s="16">
        <f ca="1">BN36/4</f>
        <v>3.375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D38" s="11">
        <v>1</v>
      </c>
      <c r="E38" s="11">
        <f t="shared" si="2"/>
        <v>0.5</v>
      </c>
      <c r="F38" s="11">
        <v>1</v>
      </c>
      <c r="G38" s="11">
        <f t="shared" si="2"/>
        <v>0.5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R38" s="11">
        <v>1</v>
      </c>
      <c r="S38" s="11">
        <f t="shared" si="29"/>
        <v>0.5</v>
      </c>
      <c r="T38" s="11">
        <v>2</v>
      </c>
      <c r="U38" s="11">
        <f t="shared" si="29"/>
        <v>1</v>
      </c>
      <c r="W38" s="11">
        <f t="shared" si="31"/>
        <v>0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E38" s="11">
        <f t="shared" si="31"/>
        <v>0</v>
      </c>
      <c r="AG38" s="11">
        <f t="shared" si="31"/>
        <v>0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U38" s="11">
        <f t="shared" si="35"/>
        <v>0</v>
      </c>
      <c r="AV38" s="11">
        <v>1</v>
      </c>
      <c r="AW38" s="11">
        <f t="shared" si="35"/>
        <v>0.5</v>
      </c>
      <c r="AY38" s="11">
        <f t="shared" si="35"/>
        <v>0</v>
      </c>
      <c r="BA38" s="11">
        <f t="shared" si="35"/>
        <v>0</v>
      </c>
      <c r="BC38" s="11">
        <f t="shared" si="35"/>
        <v>0</v>
      </c>
      <c r="BD38" s="11">
        <v>2</v>
      </c>
      <c r="BE38" s="11">
        <f t="shared" si="35"/>
        <v>1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M38" s="11">
        <f t="shared" si="35"/>
        <v>0</v>
      </c>
      <c r="BN38" s="16">
        <f ca="1">SUMIF(D$2:$BM37,BN$2,D38:BM38)</f>
        <v>4</v>
      </c>
      <c r="BO38" s="16">
        <f t="shared" ref="BO38:BO48" ca="1" si="36">BN38/4</f>
        <v>1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16</v>
      </c>
      <c r="E39" s="11">
        <f t="shared" si="2"/>
        <v>16</v>
      </c>
      <c r="F39" s="11">
        <v>7</v>
      </c>
      <c r="G39" s="11">
        <f t="shared" si="2"/>
        <v>7</v>
      </c>
      <c r="H39" s="11">
        <v>10</v>
      </c>
      <c r="I39" s="11">
        <f t="shared" si="2"/>
        <v>10</v>
      </c>
      <c r="J39" s="11">
        <v>1</v>
      </c>
      <c r="K39" s="11">
        <f t="shared" si="2"/>
        <v>1</v>
      </c>
      <c r="L39" s="11">
        <v>10</v>
      </c>
      <c r="M39" s="11">
        <f t="shared" si="29"/>
        <v>10</v>
      </c>
      <c r="N39" s="11">
        <v>3</v>
      </c>
      <c r="O39" s="11">
        <f t="shared" si="29"/>
        <v>3</v>
      </c>
      <c r="P39" s="11">
        <v>14</v>
      </c>
      <c r="Q39" s="11">
        <f t="shared" si="29"/>
        <v>14</v>
      </c>
      <c r="R39" s="11">
        <v>11</v>
      </c>
      <c r="S39" s="11">
        <f t="shared" si="29"/>
        <v>11</v>
      </c>
      <c r="T39" s="11">
        <v>5</v>
      </c>
      <c r="U39" s="11">
        <f t="shared" si="29"/>
        <v>5</v>
      </c>
      <c r="V39" s="11">
        <v>4</v>
      </c>
      <c r="W39" s="11">
        <f t="shared" si="31"/>
        <v>4</v>
      </c>
      <c r="X39" s="11">
        <v>4</v>
      </c>
      <c r="Y39" s="11">
        <f t="shared" si="31"/>
        <v>4</v>
      </c>
      <c r="Z39" s="11">
        <v>7</v>
      </c>
      <c r="AA39" s="11">
        <f t="shared" si="31"/>
        <v>7</v>
      </c>
      <c r="AB39" s="11">
        <v>6</v>
      </c>
      <c r="AC39" s="11">
        <f t="shared" si="31"/>
        <v>6</v>
      </c>
      <c r="AD39" s="11">
        <v>6</v>
      </c>
      <c r="AE39" s="11">
        <f t="shared" si="31"/>
        <v>6</v>
      </c>
      <c r="AF39" s="11">
        <v>13</v>
      </c>
      <c r="AG39" s="11">
        <f t="shared" si="31"/>
        <v>13</v>
      </c>
      <c r="AH39" s="11">
        <v>12</v>
      </c>
      <c r="AI39" s="11">
        <f t="shared" si="31"/>
        <v>12</v>
      </c>
      <c r="AJ39" s="11">
        <v>9</v>
      </c>
      <c r="AK39" s="11">
        <f t="shared" si="31"/>
        <v>9</v>
      </c>
      <c r="AL39" s="11">
        <v>10</v>
      </c>
      <c r="AM39" s="11">
        <f t="shared" si="31"/>
        <v>10</v>
      </c>
      <c r="AN39" s="11">
        <v>1</v>
      </c>
      <c r="AO39" s="11">
        <f t="shared" si="35"/>
        <v>1</v>
      </c>
      <c r="AP39" s="11">
        <v>5</v>
      </c>
      <c r="AQ39" s="11">
        <f t="shared" si="35"/>
        <v>5</v>
      </c>
      <c r="AR39" s="11">
        <v>6</v>
      </c>
      <c r="AS39" s="11">
        <f t="shared" si="35"/>
        <v>6</v>
      </c>
      <c r="AT39" s="11">
        <v>8</v>
      </c>
      <c r="AU39" s="11">
        <f t="shared" si="35"/>
        <v>8</v>
      </c>
      <c r="AV39" s="11">
        <v>11</v>
      </c>
      <c r="AW39" s="11">
        <f t="shared" si="35"/>
        <v>11</v>
      </c>
      <c r="AX39" s="11">
        <v>11</v>
      </c>
      <c r="AY39" s="11">
        <f t="shared" si="35"/>
        <v>11</v>
      </c>
      <c r="AZ39" s="11">
        <v>3</v>
      </c>
      <c r="BA39" s="11">
        <f t="shared" si="35"/>
        <v>3</v>
      </c>
      <c r="BB39" s="11">
        <v>16</v>
      </c>
      <c r="BC39" s="11">
        <f t="shared" si="35"/>
        <v>16</v>
      </c>
      <c r="BD39" s="11">
        <v>4</v>
      </c>
      <c r="BE39" s="11">
        <f t="shared" si="35"/>
        <v>4</v>
      </c>
      <c r="BF39" s="11">
        <v>5</v>
      </c>
      <c r="BG39" s="11">
        <f t="shared" si="35"/>
        <v>5</v>
      </c>
      <c r="BH39" s="11">
        <v>8</v>
      </c>
      <c r="BI39" s="11">
        <f t="shared" si="35"/>
        <v>8</v>
      </c>
      <c r="BJ39" s="11">
        <v>15</v>
      </c>
      <c r="BK39" s="11">
        <f t="shared" si="35"/>
        <v>15</v>
      </c>
      <c r="BM39" s="11">
        <f t="shared" si="35"/>
        <v>0</v>
      </c>
      <c r="BN39" s="16">
        <f ca="1">SUMIF(D$2:$BM38,BN$2,D39:BM39)</f>
        <v>241</v>
      </c>
      <c r="BO39" s="16">
        <f t="shared" ca="1" si="36"/>
        <v>60.25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3</v>
      </c>
      <c r="E40" s="11">
        <f t="shared" si="2"/>
        <v>3</v>
      </c>
      <c r="F40" s="11">
        <v>7</v>
      </c>
      <c r="G40" s="11">
        <f t="shared" si="2"/>
        <v>7</v>
      </c>
      <c r="H40" s="11">
        <v>3</v>
      </c>
      <c r="I40" s="11">
        <f t="shared" si="2"/>
        <v>3</v>
      </c>
      <c r="J40" s="11">
        <v>4</v>
      </c>
      <c r="K40" s="11">
        <f t="shared" si="2"/>
        <v>4</v>
      </c>
      <c r="L40" s="11">
        <v>21</v>
      </c>
      <c r="M40" s="11">
        <f t="shared" si="29"/>
        <v>21</v>
      </c>
      <c r="N40" s="11">
        <v>14</v>
      </c>
      <c r="O40" s="11">
        <f t="shared" si="29"/>
        <v>14</v>
      </c>
      <c r="P40" s="11">
        <v>4</v>
      </c>
      <c r="Q40" s="11">
        <f t="shared" si="29"/>
        <v>4</v>
      </c>
      <c r="R40" s="11">
        <v>9</v>
      </c>
      <c r="S40" s="11">
        <f t="shared" si="29"/>
        <v>9</v>
      </c>
      <c r="T40" s="11">
        <v>3</v>
      </c>
      <c r="U40" s="11">
        <f t="shared" si="29"/>
        <v>3</v>
      </c>
      <c r="V40" s="11">
        <v>9</v>
      </c>
      <c r="W40" s="11">
        <f t="shared" si="31"/>
        <v>9</v>
      </c>
      <c r="X40" s="11">
        <v>4</v>
      </c>
      <c r="Y40" s="11">
        <f t="shared" si="31"/>
        <v>4</v>
      </c>
      <c r="Z40" s="11">
        <v>8</v>
      </c>
      <c r="AA40" s="11">
        <f t="shared" si="31"/>
        <v>8</v>
      </c>
      <c r="AB40" s="11">
        <v>4</v>
      </c>
      <c r="AC40" s="11">
        <f t="shared" si="31"/>
        <v>4</v>
      </c>
      <c r="AD40" s="11">
        <v>7</v>
      </c>
      <c r="AE40" s="11">
        <f t="shared" si="31"/>
        <v>7</v>
      </c>
      <c r="AF40" s="11">
        <v>8</v>
      </c>
      <c r="AG40" s="11">
        <f t="shared" si="31"/>
        <v>8</v>
      </c>
      <c r="AH40" s="11">
        <v>3</v>
      </c>
      <c r="AI40" s="11">
        <f t="shared" si="31"/>
        <v>3</v>
      </c>
      <c r="AJ40" s="11">
        <v>8</v>
      </c>
      <c r="AK40" s="11">
        <f t="shared" si="31"/>
        <v>8</v>
      </c>
      <c r="AL40" s="11">
        <v>10</v>
      </c>
      <c r="AM40" s="11">
        <f t="shared" si="31"/>
        <v>10</v>
      </c>
      <c r="AN40" s="11">
        <v>4</v>
      </c>
      <c r="AO40" s="11">
        <f t="shared" si="35"/>
        <v>4</v>
      </c>
      <c r="AP40" s="11">
        <v>4</v>
      </c>
      <c r="AQ40" s="11">
        <f t="shared" si="35"/>
        <v>4</v>
      </c>
      <c r="AR40" s="11">
        <v>10</v>
      </c>
      <c r="AS40" s="11">
        <f t="shared" si="35"/>
        <v>10</v>
      </c>
      <c r="AT40" s="11">
        <v>7</v>
      </c>
      <c r="AU40" s="11">
        <f t="shared" si="35"/>
        <v>7</v>
      </c>
      <c r="AV40" s="11">
        <v>11</v>
      </c>
      <c r="AW40" s="11">
        <f t="shared" si="35"/>
        <v>11</v>
      </c>
      <c r="AX40" s="11">
        <v>6</v>
      </c>
      <c r="AY40" s="11">
        <f t="shared" si="35"/>
        <v>6</v>
      </c>
      <c r="AZ40" s="11">
        <v>6</v>
      </c>
      <c r="BA40" s="11">
        <f t="shared" si="35"/>
        <v>6</v>
      </c>
      <c r="BB40" s="11">
        <v>12</v>
      </c>
      <c r="BC40" s="11">
        <f t="shared" si="35"/>
        <v>12</v>
      </c>
      <c r="BD40" s="11">
        <v>7</v>
      </c>
      <c r="BE40" s="11">
        <f t="shared" si="35"/>
        <v>7</v>
      </c>
      <c r="BF40" s="11">
        <v>4</v>
      </c>
      <c r="BG40" s="11">
        <f t="shared" si="35"/>
        <v>4</v>
      </c>
      <c r="BH40" s="11">
        <v>13</v>
      </c>
      <c r="BI40" s="11">
        <f t="shared" si="35"/>
        <v>13</v>
      </c>
      <c r="BJ40" s="11">
        <v>15</v>
      </c>
      <c r="BK40" s="11">
        <f t="shared" si="35"/>
        <v>15</v>
      </c>
      <c r="BM40" s="11">
        <f t="shared" si="35"/>
        <v>0</v>
      </c>
      <c r="BN40" s="16">
        <f ca="1">SUMIF(D$2:$BM39,BN$2,D40:BM40)</f>
        <v>228</v>
      </c>
      <c r="BO40" s="16">
        <f t="shared" ca="1" si="36"/>
        <v>57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1</v>
      </c>
      <c r="E41" s="11">
        <f t="shared" si="2"/>
        <v>1</v>
      </c>
      <c r="F41" s="11">
        <v>2</v>
      </c>
      <c r="G41" s="11">
        <f t="shared" si="2"/>
        <v>2</v>
      </c>
      <c r="H41" s="11">
        <v>4</v>
      </c>
      <c r="I41" s="11">
        <f t="shared" si="2"/>
        <v>4</v>
      </c>
      <c r="J41" s="11">
        <v>4</v>
      </c>
      <c r="K41" s="11">
        <f t="shared" si="2"/>
        <v>4</v>
      </c>
      <c r="L41" s="11">
        <v>5</v>
      </c>
      <c r="M41" s="11">
        <f t="shared" si="29"/>
        <v>5</v>
      </c>
      <c r="N41" s="11">
        <v>3</v>
      </c>
      <c r="O41" s="11">
        <f t="shared" si="29"/>
        <v>3</v>
      </c>
      <c r="P41" s="11">
        <v>5</v>
      </c>
      <c r="Q41" s="11">
        <f t="shared" si="29"/>
        <v>5</v>
      </c>
      <c r="R41" s="11">
        <v>6</v>
      </c>
      <c r="S41" s="11">
        <f t="shared" si="29"/>
        <v>6</v>
      </c>
      <c r="T41" s="11">
        <v>1</v>
      </c>
      <c r="U41" s="11">
        <f t="shared" si="29"/>
        <v>1</v>
      </c>
      <c r="V41" s="11">
        <v>3</v>
      </c>
      <c r="W41" s="11">
        <f t="shared" si="31"/>
        <v>3</v>
      </c>
      <c r="X41" s="11">
        <v>5</v>
      </c>
      <c r="Y41" s="11">
        <f t="shared" si="31"/>
        <v>5</v>
      </c>
      <c r="AA41" s="11">
        <f t="shared" si="31"/>
        <v>0</v>
      </c>
      <c r="AB41" s="11">
        <v>5</v>
      </c>
      <c r="AC41" s="11">
        <f t="shared" si="31"/>
        <v>5</v>
      </c>
      <c r="AD41" s="11">
        <v>8</v>
      </c>
      <c r="AE41" s="11">
        <f t="shared" si="31"/>
        <v>8</v>
      </c>
      <c r="AF41" s="11">
        <v>8</v>
      </c>
      <c r="AG41" s="11">
        <f t="shared" si="31"/>
        <v>8</v>
      </c>
      <c r="AI41" s="11">
        <f t="shared" si="31"/>
        <v>0</v>
      </c>
      <c r="AJ41" s="11">
        <v>4</v>
      </c>
      <c r="AK41" s="11">
        <f t="shared" si="31"/>
        <v>4</v>
      </c>
      <c r="AL41" s="11">
        <v>1</v>
      </c>
      <c r="AM41" s="11">
        <f t="shared" si="31"/>
        <v>1</v>
      </c>
      <c r="AN41" s="11">
        <v>7</v>
      </c>
      <c r="AO41" s="11">
        <f t="shared" si="35"/>
        <v>7</v>
      </c>
      <c r="AP41" s="11">
        <v>2</v>
      </c>
      <c r="AQ41" s="11">
        <f t="shared" si="35"/>
        <v>2</v>
      </c>
      <c r="AR41" s="11">
        <v>3</v>
      </c>
      <c r="AS41" s="11">
        <f t="shared" si="35"/>
        <v>3</v>
      </c>
      <c r="AT41" s="11">
        <v>3</v>
      </c>
      <c r="AU41" s="11">
        <f t="shared" si="35"/>
        <v>3</v>
      </c>
      <c r="AV41" s="11">
        <v>3</v>
      </c>
      <c r="AW41" s="11">
        <f t="shared" si="35"/>
        <v>3</v>
      </c>
      <c r="AX41" s="11">
        <v>4</v>
      </c>
      <c r="AY41" s="11">
        <f t="shared" si="35"/>
        <v>4</v>
      </c>
      <c r="AZ41" s="11">
        <v>1</v>
      </c>
      <c r="BA41" s="11">
        <f t="shared" si="35"/>
        <v>1</v>
      </c>
      <c r="BB41" s="11">
        <v>5</v>
      </c>
      <c r="BC41" s="11">
        <f t="shared" si="35"/>
        <v>5</v>
      </c>
      <c r="BD41" s="11">
        <v>1</v>
      </c>
      <c r="BE41" s="11">
        <f t="shared" si="35"/>
        <v>1</v>
      </c>
      <c r="BG41" s="11">
        <f t="shared" si="35"/>
        <v>0</v>
      </c>
      <c r="BH41" s="11">
        <v>1</v>
      </c>
      <c r="BI41" s="11">
        <f t="shared" si="35"/>
        <v>1</v>
      </c>
      <c r="BJ41" s="11">
        <v>2</v>
      </c>
      <c r="BK41" s="11">
        <f t="shared" si="35"/>
        <v>2</v>
      </c>
      <c r="BM41" s="11">
        <f t="shared" si="35"/>
        <v>0</v>
      </c>
      <c r="BN41" s="16">
        <f ca="1">SUMIF(D$2:$BM40,BN$2,D41:BM41)</f>
        <v>97</v>
      </c>
      <c r="BO41" s="16">
        <f t="shared" ca="1" si="36"/>
        <v>24.25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J42" s="11">
        <v>1</v>
      </c>
      <c r="K42" s="11">
        <f t="shared" si="2"/>
        <v>1</v>
      </c>
      <c r="L42" s="11">
        <v>3</v>
      </c>
      <c r="M42" s="11">
        <f t="shared" si="29"/>
        <v>3</v>
      </c>
      <c r="O42" s="11">
        <f t="shared" si="29"/>
        <v>0</v>
      </c>
      <c r="Q42" s="11">
        <f t="shared" si="29"/>
        <v>0</v>
      </c>
      <c r="R42" s="11">
        <v>1</v>
      </c>
      <c r="S42" s="11">
        <f t="shared" si="29"/>
        <v>1</v>
      </c>
      <c r="T42" s="11">
        <v>1</v>
      </c>
      <c r="U42" s="11">
        <f t="shared" si="29"/>
        <v>1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D42" s="11">
        <v>1</v>
      </c>
      <c r="AE42" s="11">
        <f t="shared" si="31"/>
        <v>1</v>
      </c>
      <c r="AF42" s="11">
        <v>1</v>
      </c>
      <c r="AG42" s="11">
        <f t="shared" si="31"/>
        <v>1</v>
      </c>
      <c r="AI42" s="11">
        <f t="shared" si="31"/>
        <v>0</v>
      </c>
      <c r="AJ42" s="11">
        <v>1</v>
      </c>
      <c r="AK42" s="11">
        <f t="shared" si="31"/>
        <v>1</v>
      </c>
      <c r="AM42" s="11">
        <f t="shared" si="31"/>
        <v>0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V42" s="11">
        <v>1</v>
      </c>
      <c r="AW42" s="11">
        <f t="shared" si="35"/>
        <v>1</v>
      </c>
      <c r="AY42" s="11">
        <f t="shared" si="35"/>
        <v>0</v>
      </c>
      <c r="BA42" s="11">
        <f t="shared" si="35"/>
        <v>0</v>
      </c>
      <c r="BB42" s="11">
        <v>1</v>
      </c>
      <c r="BC42" s="11">
        <f t="shared" si="35"/>
        <v>1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11</v>
      </c>
      <c r="BO42" s="16">
        <f t="shared" ca="1" si="36"/>
        <v>2.75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H43" s="11">
        <v>1</v>
      </c>
      <c r="I43" s="11">
        <f t="shared" si="37"/>
        <v>1</v>
      </c>
      <c r="K43" s="11">
        <f t="shared" si="37"/>
        <v>0</v>
      </c>
      <c r="L43" s="11">
        <v>1</v>
      </c>
      <c r="M43" s="11">
        <f t="shared" si="37"/>
        <v>1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T43" s="11">
        <v>1</v>
      </c>
      <c r="U43" s="11">
        <f t="shared" si="37"/>
        <v>1</v>
      </c>
      <c r="V43" s="11">
        <v>1</v>
      </c>
      <c r="W43" s="11">
        <f t="shared" si="37"/>
        <v>1</v>
      </c>
      <c r="Y43" s="11">
        <f t="shared" si="37"/>
        <v>0</v>
      </c>
      <c r="AA43" s="11">
        <f t="shared" si="37"/>
        <v>0</v>
      </c>
      <c r="AB43" s="11">
        <v>1</v>
      </c>
      <c r="AC43" s="11">
        <f t="shared" si="37"/>
        <v>1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L43" s="11">
        <v>1</v>
      </c>
      <c r="AM43" s="11">
        <f t="shared" si="37"/>
        <v>1</v>
      </c>
      <c r="AN43" s="11">
        <v>1</v>
      </c>
      <c r="AO43" s="11">
        <f t="shared" si="37"/>
        <v>1</v>
      </c>
      <c r="AQ43" s="11">
        <f t="shared" si="37"/>
        <v>0</v>
      </c>
      <c r="AS43" s="11">
        <f t="shared" si="37"/>
        <v>0</v>
      </c>
      <c r="AU43" s="11">
        <f t="shared" si="37"/>
        <v>0</v>
      </c>
      <c r="AW43" s="11">
        <f t="shared" si="37"/>
        <v>0</v>
      </c>
      <c r="AX43" s="11">
        <v>1</v>
      </c>
      <c r="AY43" s="11">
        <f t="shared" si="37"/>
        <v>1</v>
      </c>
      <c r="AZ43" s="11">
        <v>1</v>
      </c>
      <c r="BA43" s="11">
        <f t="shared" si="37"/>
        <v>1</v>
      </c>
      <c r="BC43" s="11">
        <f t="shared" si="37"/>
        <v>0</v>
      </c>
      <c r="BD43" s="11">
        <v>1</v>
      </c>
      <c r="BE43" s="11">
        <f t="shared" si="37"/>
        <v>1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10</v>
      </c>
      <c r="BO43" s="16">
        <f t="shared" ref="BO43" ca="1" si="38">BN43/4</f>
        <v>2.5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F44" s="11">
        <v>1</v>
      </c>
      <c r="G44" s="11">
        <f t="shared" si="39"/>
        <v>1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N44" s="11">
        <v>1</v>
      </c>
      <c r="O44" s="11">
        <f t="shared" si="39"/>
        <v>1</v>
      </c>
      <c r="Q44" s="11">
        <f t="shared" si="39"/>
        <v>0</v>
      </c>
      <c r="S44" s="11">
        <f t="shared" si="39"/>
        <v>0</v>
      </c>
      <c r="T44" s="11">
        <v>2</v>
      </c>
      <c r="U44" s="11">
        <f t="shared" si="39"/>
        <v>2</v>
      </c>
      <c r="V44" s="11">
        <v>5</v>
      </c>
      <c r="W44" s="11">
        <f t="shared" si="39"/>
        <v>5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P44" s="11">
        <v>1</v>
      </c>
      <c r="AQ44" s="11">
        <f t="shared" si="39"/>
        <v>1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AZ44" s="11">
        <v>1</v>
      </c>
      <c r="BA44" s="11">
        <f t="shared" si="39"/>
        <v>1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11</v>
      </c>
      <c r="BO44" s="16">
        <f t="shared" ref="BO44" ca="1" si="40">BN44/4</f>
        <v>2.75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D45" s="11">
        <v>1</v>
      </c>
      <c r="E45" s="11">
        <f t="shared" si="2"/>
        <v>1</v>
      </c>
      <c r="F45" s="11">
        <v>1</v>
      </c>
      <c r="G45" s="11">
        <f t="shared" si="2"/>
        <v>1</v>
      </c>
      <c r="H45" s="11">
        <v>1</v>
      </c>
      <c r="I45" s="11">
        <f t="shared" si="2"/>
        <v>1</v>
      </c>
      <c r="J45" s="11">
        <v>1</v>
      </c>
      <c r="K45" s="11">
        <f t="shared" si="2"/>
        <v>1</v>
      </c>
      <c r="L45" s="11">
        <v>5</v>
      </c>
      <c r="M45" s="11">
        <f t="shared" si="29"/>
        <v>5</v>
      </c>
      <c r="N45" s="11">
        <v>2</v>
      </c>
      <c r="O45" s="11">
        <f t="shared" si="29"/>
        <v>2</v>
      </c>
      <c r="Q45" s="11">
        <f t="shared" si="29"/>
        <v>0</v>
      </c>
      <c r="R45" s="11">
        <v>4</v>
      </c>
      <c r="S45" s="11">
        <f t="shared" si="29"/>
        <v>4</v>
      </c>
      <c r="T45" s="11">
        <v>1</v>
      </c>
      <c r="U45" s="11">
        <f t="shared" si="29"/>
        <v>1</v>
      </c>
      <c r="W45" s="11">
        <f t="shared" si="31"/>
        <v>0</v>
      </c>
      <c r="Y45" s="11">
        <f t="shared" si="31"/>
        <v>0</v>
      </c>
      <c r="AA45" s="11">
        <f t="shared" si="31"/>
        <v>0</v>
      </c>
      <c r="AB45" s="11">
        <v>2</v>
      </c>
      <c r="AC45" s="11">
        <f t="shared" si="31"/>
        <v>2</v>
      </c>
      <c r="AD45" s="11">
        <v>1</v>
      </c>
      <c r="AE45" s="11">
        <f t="shared" si="31"/>
        <v>1</v>
      </c>
      <c r="AF45" s="11">
        <v>2</v>
      </c>
      <c r="AG45" s="11">
        <f t="shared" si="31"/>
        <v>2</v>
      </c>
      <c r="AH45" s="11">
        <v>3</v>
      </c>
      <c r="AI45" s="11">
        <f t="shared" si="31"/>
        <v>3</v>
      </c>
      <c r="AJ45" s="11">
        <v>1</v>
      </c>
      <c r="AK45" s="11">
        <f t="shared" si="31"/>
        <v>1</v>
      </c>
      <c r="AM45" s="11">
        <f t="shared" si="31"/>
        <v>0</v>
      </c>
      <c r="AO45" s="11">
        <f t="shared" si="35"/>
        <v>0</v>
      </c>
      <c r="AQ45" s="11">
        <f t="shared" si="35"/>
        <v>0</v>
      </c>
      <c r="AR45" s="11">
        <v>2</v>
      </c>
      <c r="AS45" s="11">
        <f t="shared" si="35"/>
        <v>2</v>
      </c>
      <c r="AU45" s="11">
        <f t="shared" si="35"/>
        <v>0</v>
      </c>
      <c r="AV45" s="11">
        <v>3</v>
      </c>
      <c r="AW45" s="11">
        <f t="shared" si="35"/>
        <v>3</v>
      </c>
      <c r="AY45" s="11">
        <f t="shared" si="35"/>
        <v>0</v>
      </c>
      <c r="AZ45" s="11">
        <v>1</v>
      </c>
      <c r="BA45" s="11">
        <f t="shared" si="35"/>
        <v>1</v>
      </c>
      <c r="BB45" s="11">
        <v>3</v>
      </c>
      <c r="BC45" s="11">
        <f t="shared" si="35"/>
        <v>3</v>
      </c>
      <c r="BE45" s="11">
        <f t="shared" si="35"/>
        <v>0</v>
      </c>
      <c r="BG45" s="11">
        <f t="shared" si="35"/>
        <v>0</v>
      </c>
      <c r="BH45" s="11">
        <v>1</v>
      </c>
      <c r="BI45" s="11">
        <f t="shared" si="35"/>
        <v>1</v>
      </c>
      <c r="BJ45" s="11">
        <v>2</v>
      </c>
      <c r="BK45" s="11">
        <f t="shared" si="35"/>
        <v>2</v>
      </c>
      <c r="BM45" s="11">
        <f t="shared" si="35"/>
        <v>0</v>
      </c>
      <c r="BN45" s="16">
        <f ca="1">SUMIF(D$2:$BM42,BN$2,D45:BM45)</f>
        <v>37</v>
      </c>
      <c r="BO45" s="16">
        <f t="shared" ca="1" si="36"/>
        <v>9.25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3</v>
      </c>
      <c r="E46" s="11">
        <f t="shared" si="2"/>
        <v>3</v>
      </c>
      <c r="F46" s="11">
        <v>1</v>
      </c>
      <c r="G46" s="11">
        <f t="shared" si="2"/>
        <v>1</v>
      </c>
      <c r="H46" s="11">
        <v>1</v>
      </c>
      <c r="I46" s="11">
        <f t="shared" si="2"/>
        <v>1</v>
      </c>
      <c r="J46" s="11">
        <v>2</v>
      </c>
      <c r="K46" s="11">
        <f t="shared" si="2"/>
        <v>2</v>
      </c>
      <c r="M46" s="11">
        <f t="shared" si="29"/>
        <v>0</v>
      </c>
      <c r="N46" s="11">
        <v>2</v>
      </c>
      <c r="O46" s="11">
        <f t="shared" si="29"/>
        <v>2</v>
      </c>
      <c r="Q46" s="11">
        <f t="shared" si="29"/>
        <v>0</v>
      </c>
      <c r="R46" s="11">
        <v>2</v>
      </c>
      <c r="S46" s="11">
        <f t="shared" si="29"/>
        <v>2</v>
      </c>
      <c r="U46" s="11">
        <f t="shared" si="29"/>
        <v>0</v>
      </c>
      <c r="W46" s="11">
        <f t="shared" si="31"/>
        <v>0</v>
      </c>
      <c r="Y46" s="11">
        <f t="shared" si="31"/>
        <v>0</v>
      </c>
      <c r="Z46" s="11">
        <v>1</v>
      </c>
      <c r="AA46" s="11">
        <f t="shared" si="31"/>
        <v>1</v>
      </c>
      <c r="AB46" s="11">
        <v>8</v>
      </c>
      <c r="AC46" s="11">
        <f t="shared" si="31"/>
        <v>8</v>
      </c>
      <c r="AD46" s="11">
        <v>2</v>
      </c>
      <c r="AE46" s="11">
        <f t="shared" si="31"/>
        <v>2</v>
      </c>
      <c r="AG46" s="11">
        <f t="shared" si="31"/>
        <v>0</v>
      </c>
      <c r="AH46" s="11">
        <v>5</v>
      </c>
      <c r="AI46" s="11">
        <f t="shared" si="31"/>
        <v>5</v>
      </c>
      <c r="AK46" s="11">
        <f t="shared" si="31"/>
        <v>0</v>
      </c>
      <c r="AL46" s="11">
        <v>8</v>
      </c>
      <c r="AM46" s="11">
        <f t="shared" si="31"/>
        <v>8</v>
      </c>
      <c r="AN46" s="11">
        <v>2</v>
      </c>
      <c r="AO46" s="11">
        <f t="shared" si="35"/>
        <v>2</v>
      </c>
      <c r="AP46" s="11">
        <v>1</v>
      </c>
      <c r="AQ46" s="11">
        <f t="shared" si="35"/>
        <v>1</v>
      </c>
      <c r="AR46" s="11">
        <v>3</v>
      </c>
      <c r="AS46" s="11">
        <f t="shared" si="35"/>
        <v>3</v>
      </c>
      <c r="AU46" s="11">
        <f t="shared" si="35"/>
        <v>0</v>
      </c>
      <c r="AV46" s="11">
        <v>2</v>
      </c>
      <c r="AW46" s="11">
        <f t="shared" si="35"/>
        <v>2</v>
      </c>
      <c r="AX46" s="11">
        <v>1</v>
      </c>
      <c r="AY46" s="11">
        <f t="shared" si="35"/>
        <v>1</v>
      </c>
      <c r="BA46" s="11">
        <f t="shared" si="35"/>
        <v>0</v>
      </c>
      <c r="BB46" s="11">
        <v>2</v>
      </c>
      <c r="BC46" s="11">
        <f t="shared" si="35"/>
        <v>2</v>
      </c>
      <c r="BE46" s="11">
        <f t="shared" si="35"/>
        <v>0</v>
      </c>
      <c r="BF46" s="11">
        <v>3</v>
      </c>
      <c r="BG46" s="11">
        <f t="shared" si="35"/>
        <v>3</v>
      </c>
      <c r="BH46" s="11">
        <v>1</v>
      </c>
      <c r="BI46" s="11">
        <f t="shared" si="35"/>
        <v>1</v>
      </c>
      <c r="BJ46" s="11">
        <v>1</v>
      </c>
      <c r="BK46" s="11">
        <f t="shared" si="35"/>
        <v>1</v>
      </c>
      <c r="BM46" s="11">
        <f t="shared" si="35"/>
        <v>0</v>
      </c>
      <c r="BN46" s="16">
        <f ca="1">SUMIF(D$2:$BM45,BN$2,D46:BM46)</f>
        <v>51</v>
      </c>
      <c r="BO46" s="16">
        <f t="shared" ca="1" si="36"/>
        <v>12.75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D47" s="11">
        <v>2</v>
      </c>
      <c r="E47" s="11">
        <f t="shared" si="2"/>
        <v>2</v>
      </c>
      <c r="G47" s="11">
        <f t="shared" si="2"/>
        <v>0</v>
      </c>
      <c r="I47" s="11">
        <f t="shared" si="2"/>
        <v>0</v>
      </c>
      <c r="J47" s="11">
        <v>4</v>
      </c>
      <c r="K47" s="11">
        <f t="shared" si="2"/>
        <v>4</v>
      </c>
      <c r="L47" s="11">
        <v>1</v>
      </c>
      <c r="M47" s="11">
        <f t="shared" si="29"/>
        <v>1</v>
      </c>
      <c r="N47" s="11">
        <v>1</v>
      </c>
      <c r="O47" s="11">
        <f t="shared" si="29"/>
        <v>1</v>
      </c>
      <c r="Q47" s="11">
        <f t="shared" si="29"/>
        <v>0</v>
      </c>
      <c r="R47" s="11">
        <v>1</v>
      </c>
      <c r="S47" s="11">
        <f t="shared" si="29"/>
        <v>1</v>
      </c>
      <c r="U47" s="11">
        <f t="shared" si="29"/>
        <v>0</v>
      </c>
      <c r="W47" s="11">
        <f t="shared" si="31"/>
        <v>0</v>
      </c>
      <c r="X47" s="11">
        <v>2</v>
      </c>
      <c r="Y47" s="11">
        <f t="shared" si="31"/>
        <v>2</v>
      </c>
      <c r="AA47" s="11">
        <f t="shared" si="31"/>
        <v>0</v>
      </c>
      <c r="AB47" s="11">
        <v>1</v>
      </c>
      <c r="AC47" s="11">
        <f t="shared" si="31"/>
        <v>1</v>
      </c>
      <c r="AD47" s="11">
        <v>1</v>
      </c>
      <c r="AE47" s="11">
        <f t="shared" si="31"/>
        <v>1</v>
      </c>
      <c r="AF47" s="11">
        <v>1</v>
      </c>
      <c r="AG47" s="11">
        <f t="shared" si="31"/>
        <v>1</v>
      </c>
      <c r="AI47" s="11">
        <f t="shared" si="31"/>
        <v>0</v>
      </c>
      <c r="AK47" s="11">
        <f t="shared" si="31"/>
        <v>0</v>
      </c>
      <c r="AL47" s="11">
        <v>1</v>
      </c>
      <c r="AM47" s="11">
        <f t="shared" si="31"/>
        <v>1</v>
      </c>
      <c r="AO47" s="11">
        <f t="shared" si="35"/>
        <v>0</v>
      </c>
      <c r="AQ47" s="11">
        <f t="shared" si="35"/>
        <v>0</v>
      </c>
      <c r="AS47" s="11">
        <f t="shared" si="35"/>
        <v>0</v>
      </c>
      <c r="AU47" s="11">
        <f t="shared" si="35"/>
        <v>0</v>
      </c>
      <c r="AV47" s="11">
        <v>1</v>
      </c>
      <c r="AW47" s="11">
        <f t="shared" si="35"/>
        <v>1</v>
      </c>
      <c r="AY47" s="11">
        <f t="shared" si="35"/>
        <v>0</v>
      </c>
      <c r="AZ47" s="11">
        <v>1</v>
      </c>
      <c r="BA47" s="11">
        <f t="shared" si="35"/>
        <v>1</v>
      </c>
      <c r="BC47" s="11">
        <f t="shared" si="35"/>
        <v>0</v>
      </c>
      <c r="BE47" s="11">
        <f t="shared" si="35"/>
        <v>0</v>
      </c>
      <c r="BG47" s="11">
        <f t="shared" si="35"/>
        <v>0</v>
      </c>
      <c r="BI47" s="11">
        <f t="shared" si="35"/>
        <v>0</v>
      </c>
      <c r="BJ47" s="11">
        <v>4</v>
      </c>
      <c r="BK47" s="11">
        <f t="shared" si="35"/>
        <v>4</v>
      </c>
      <c r="BM47" s="11">
        <f t="shared" si="35"/>
        <v>0</v>
      </c>
      <c r="BN47" s="16">
        <f ca="1">SUMIF(D$2:$BM46,BN$2,D47:BM47)</f>
        <v>21</v>
      </c>
      <c r="BO47" s="16">
        <f t="shared" ca="1" si="36"/>
        <v>5.25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L48" s="11">
        <v>1</v>
      </c>
      <c r="M48" s="11">
        <f t="shared" si="29"/>
        <v>1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L48" s="11">
        <v>1</v>
      </c>
      <c r="AM48" s="11">
        <f t="shared" si="31"/>
        <v>1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V48" s="11">
        <v>1</v>
      </c>
      <c r="AW48" s="11">
        <f t="shared" si="35"/>
        <v>1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3</v>
      </c>
      <c r="BO48" s="16">
        <f t="shared" ca="1" si="36"/>
        <v>0.75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7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1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6</v>
      </c>
      <c r="E61" s="11">
        <f t="shared" si="2"/>
        <v>3</v>
      </c>
      <c r="G61" s="11">
        <f t="shared" si="2"/>
        <v>0</v>
      </c>
      <c r="I61" s="11">
        <f t="shared" si="2"/>
        <v>0</v>
      </c>
      <c r="K61" s="11">
        <f t="shared" si="2"/>
        <v>0</v>
      </c>
      <c r="M61" s="11">
        <f t="shared" si="29"/>
        <v>0</v>
      </c>
      <c r="O61" s="11">
        <f t="shared" si="29"/>
        <v>0</v>
      </c>
      <c r="Q61" s="11">
        <f t="shared" si="29"/>
        <v>0</v>
      </c>
      <c r="R61" s="11">
        <v>2</v>
      </c>
      <c r="S61" s="11">
        <f t="shared" si="29"/>
        <v>1</v>
      </c>
      <c r="T61" s="11">
        <v>1</v>
      </c>
      <c r="U61" s="11">
        <f t="shared" si="42"/>
        <v>0.5</v>
      </c>
      <c r="W61" s="11">
        <f t="shared" si="42"/>
        <v>0</v>
      </c>
      <c r="X61" s="11">
        <v>2</v>
      </c>
      <c r="Y61" s="11">
        <f t="shared" si="42"/>
        <v>1</v>
      </c>
      <c r="AA61" s="11">
        <f t="shared" si="42"/>
        <v>0</v>
      </c>
      <c r="AB61" s="11">
        <v>1</v>
      </c>
      <c r="AC61" s="11">
        <f t="shared" si="42"/>
        <v>0.5</v>
      </c>
      <c r="AD61" s="11">
        <v>1</v>
      </c>
      <c r="AE61" s="11">
        <f t="shared" si="42"/>
        <v>0.5</v>
      </c>
      <c r="AG61" s="11">
        <f t="shared" si="42"/>
        <v>0</v>
      </c>
      <c r="AH61" s="11">
        <v>1</v>
      </c>
      <c r="AI61" s="11">
        <f t="shared" si="42"/>
        <v>0.5</v>
      </c>
      <c r="AK61" s="11">
        <f t="shared" si="42"/>
        <v>0</v>
      </c>
      <c r="AM61" s="11">
        <f t="shared" si="42"/>
        <v>0</v>
      </c>
      <c r="AN61" s="11">
        <v>1</v>
      </c>
      <c r="AO61" s="11">
        <f t="shared" si="42"/>
        <v>0.5</v>
      </c>
      <c r="AP61" s="11">
        <v>2</v>
      </c>
      <c r="AQ61" s="11">
        <f t="shared" si="42"/>
        <v>1</v>
      </c>
      <c r="AR61" s="11">
        <v>1</v>
      </c>
      <c r="AS61" s="11">
        <f t="shared" si="42"/>
        <v>0.5</v>
      </c>
      <c r="AU61" s="11">
        <f t="shared" si="43"/>
        <v>0</v>
      </c>
      <c r="AW61" s="11">
        <f t="shared" si="43"/>
        <v>0</v>
      </c>
      <c r="AX61" s="11">
        <v>2</v>
      </c>
      <c r="AY61" s="11">
        <f t="shared" si="43"/>
        <v>1</v>
      </c>
      <c r="BA61" s="11">
        <f t="shared" si="43"/>
        <v>0</v>
      </c>
      <c r="BB61" s="11">
        <v>1</v>
      </c>
      <c r="BC61" s="11">
        <f t="shared" si="43"/>
        <v>0.5</v>
      </c>
      <c r="BD61" s="11">
        <v>1</v>
      </c>
      <c r="BE61" s="11">
        <f t="shared" si="43"/>
        <v>0.5</v>
      </c>
      <c r="BG61" s="11">
        <f t="shared" si="43"/>
        <v>0</v>
      </c>
      <c r="BI61" s="11">
        <f t="shared" si="43"/>
        <v>0</v>
      </c>
      <c r="BK61" s="11">
        <f t="shared" si="43"/>
        <v>0</v>
      </c>
      <c r="BM61" s="11">
        <f t="shared" si="43"/>
        <v>0</v>
      </c>
      <c r="BN61" s="16">
        <f ca="1">SUMIF(D$2:$BM60,BN$2,D61:BM61)</f>
        <v>11</v>
      </c>
      <c r="BO61" s="16">
        <f ca="1">BN61/4</f>
        <v>2.75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H62" s="11">
        <v>1</v>
      </c>
      <c r="I62" s="11">
        <f t="shared" si="2"/>
        <v>0.5</v>
      </c>
      <c r="K62" s="11">
        <f t="shared" si="2"/>
        <v>0</v>
      </c>
      <c r="M62" s="11">
        <f t="shared" si="29"/>
        <v>0</v>
      </c>
      <c r="O62" s="11">
        <f t="shared" si="29"/>
        <v>0</v>
      </c>
      <c r="Q62" s="11">
        <f t="shared" si="29"/>
        <v>0</v>
      </c>
      <c r="R62" s="11">
        <v>2</v>
      </c>
      <c r="S62" s="11">
        <f t="shared" si="29"/>
        <v>1</v>
      </c>
      <c r="T62" s="11">
        <v>1</v>
      </c>
      <c r="U62" s="11">
        <f t="shared" si="42"/>
        <v>0.5</v>
      </c>
      <c r="V62" s="11">
        <v>1</v>
      </c>
      <c r="W62" s="11">
        <f t="shared" si="42"/>
        <v>0.5</v>
      </c>
      <c r="X62" s="11">
        <v>1</v>
      </c>
      <c r="Y62" s="11">
        <f t="shared" si="42"/>
        <v>0.5</v>
      </c>
      <c r="AA62" s="11">
        <f t="shared" si="42"/>
        <v>0</v>
      </c>
      <c r="AB62" s="11">
        <v>1</v>
      </c>
      <c r="AC62" s="11">
        <f t="shared" si="42"/>
        <v>0.5</v>
      </c>
      <c r="AE62" s="11">
        <f t="shared" si="42"/>
        <v>0</v>
      </c>
      <c r="AF62" s="11">
        <v>1</v>
      </c>
      <c r="AG62" s="11">
        <f t="shared" si="42"/>
        <v>0.5</v>
      </c>
      <c r="AH62" s="11">
        <v>1</v>
      </c>
      <c r="AI62" s="11">
        <f t="shared" si="42"/>
        <v>0.5</v>
      </c>
      <c r="AJ62" s="11">
        <v>1</v>
      </c>
      <c r="AK62" s="11">
        <f t="shared" si="42"/>
        <v>0.5</v>
      </c>
      <c r="AM62" s="11">
        <f t="shared" si="42"/>
        <v>0</v>
      </c>
      <c r="AO62" s="11">
        <f t="shared" si="42"/>
        <v>0</v>
      </c>
      <c r="AQ62" s="11">
        <f t="shared" si="42"/>
        <v>0</v>
      </c>
      <c r="AR62" s="11">
        <v>1</v>
      </c>
      <c r="AS62" s="11">
        <f t="shared" si="42"/>
        <v>0.5</v>
      </c>
      <c r="AT62" s="11">
        <v>1</v>
      </c>
      <c r="AU62" s="11">
        <f t="shared" si="43"/>
        <v>0.5</v>
      </c>
      <c r="AW62" s="11">
        <f t="shared" si="43"/>
        <v>0</v>
      </c>
      <c r="AX62" s="11">
        <v>1</v>
      </c>
      <c r="AY62" s="11">
        <f t="shared" si="43"/>
        <v>0.5</v>
      </c>
      <c r="BA62" s="11">
        <f t="shared" si="43"/>
        <v>0</v>
      </c>
      <c r="BC62" s="11">
        <f t="shared" si="43"/>
        <v>0</v>
      </c>
      <c r="BE62" s="11">
        <f t="shared" si="43"/>
        <v>0</v>
      </c>
      <c r="BF62" s="11">
        <v>1</v>
      </c>
      <c r="BG62" s="11">
        <f t="shared" si="43"/>
        <v>0.5</v>
      </c>
      <c r="BH62" s="11">
        <v>1</v>
      </c>
      <c r="BI62" s="11">
        <f t="shared" si="43"/>
        <v>0.5</v>
      </c>
      <c r="BJ62" s="11">
        <v>1</v>
      </c>
      <c r="BK62" s="11">
        <f t="shared" si="43"/>
        <v>0.5</v>
      </c>
      <c r="BM62" s="11">
        <f t="shared" si="43"/>
        <v>0</v>
      </c>
      <c r="BN62" s="16">
        <f ca="1">SUMIF(D$2:$BM61,BN$2,D62:BM62)</f>
        <v>8</v>
      </c>
      <c r="BO62" s="16">
        <f ca="1">BN62/4</f>
        <v>2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6" t="s">
        <v>62</v>
      </c>
      <c r="C64" s="107">
        <v>0.5</v>
      </c>
      <c r="D64" s="108">
        <v>7</v>
      </c>
      <c r="E64" s="108">
        <f t="shared" si="2"/>
        <v>3.5</v>
      </c>
      <c r="F64" s="108">
        <v>3</v>
      </c>
      <c r="G64" s="108">
        <f t="shared" si="2"/>
        <v>1.5</v>
      </c>
      <c r="H64" s="108">
        <v>6</v>
      </c>
      <c r="I64" s="108">
        <f t="shared" si="2"/>
        <v>3</v>
      </c>
      <c r="J64" s="108"/>
      <c r="K64" s="108">
        <f t="shared" si="2"/>
        <v>0</v>
      </c>
      <c r="L64" s="108">
        <v>5</v>
      </c>
      <c r="M64" s="108">
        <f t="shared" si="29"/>
        <v>2.5</v>
      </c>
      <c r="N64" s="108">
        <v>1</v>
      </c>
      <c r="O64" s="108">
        <f t="shared" si="29"/>
        <v>0.5</v>
      </c>
      <c r="P64" s="108"/>
      <c r="Q64" s="108">
        <f t="shared" si="29"/>
        <v>0</v>
      </c>
      <c r="R64" s="108"/>
      <c r="S64" s="108">
        <f t="shared" si="29"/>
        <v>0</v>
      </c>
      <c r="T64" s="108"/>
      <c r="U64" s="108">
        <f t="shared" si="42"/>
        <v>0</v>
      </c>
      <c r="V64" s="108">
        <v>3</v>
      </c>
      <c r="W64" s="108">
        <f t="shared" si="42"/>
        <v>1.5</v>
      </c>
      <c r="X64" s="108"/>
      <c r="Y64" s="108">
        <f t="shared" si="42"/>
        <v>0</v>
      </c>
      <c r="Z64" s="108">
        <v>1</v>
      </c>
      <c r="AA64" s="108">
        <f t="shared" si="42"/>
        <v>0.5</v>
      </c>
      <c r="AB64" s="108"/>
      <c r="AC64" s="108">
        <f t="shared" si="42"/>
        <v>0</v>
      </c>
      <c r="AD64" s="108"/>
      <c r="AE64" s="108">
        <f t="shared" si="42"/>
        <v>0</v>
      </c>
      <c r="AF64" s="108">
        <v>1</v>
      </c>
      <c r="AG64" s="108">
        <f t="shared" si="42"/>
        <v>0.5</v>
      </c>
      <c r="AH64" s="108">
        <v>2</v>
      </c>
      <c r="AI64" s="108">
        <f t="shared" si="42"/>
        <v>1</v>
      </c>
      <c r="AJ64" s="108">
        <v>4</v>
      </c>
      <c r="AK64" s="108">
        <f t="shared" si="42"/>
        <v>2</v>
      </c>
      <c r="AL64" s="108">
        <v>1</v>
      </c>
      <c r="AM64" s="108">
        <f t="shared" si="42"/>
        <v>0.5</v>
      </c>
      <c r="AN64" s="108"/>
      <c r="AO64" s="108">
        <f t="shared" si="42"/>
        <v>0</v>
      </c>
      <c r="AP64" s="108">
        <v>3</v>
      </c>
      <c r="AQ64" s="108">
        <f t="shared" si="42"/>
        <v>1.5</v>
      </c>
      <c r="AR64" s="108"/>
      <c r="AS64" s="108">
        <f t="shared" si="42"/>
        <v>0</v>
      </c>
      <c r="AT64" s="108"/>
      <c r="AU64" s="108">
        <f t="shared" si="43"/>
        <v>0</v>
      </c>
      <c r="AV64" s="108"/>
      <c r="AW64" s="108">
        <f t="shared" si="43"/>
        <v>0</v>
      </c>
      <c r="AX64" s="108">
        <v>1</v>
      </c>
      <c r="AY64" s="108">
        <f t="shared" si="43"/>
        <v>0.5</v>
      </c>
      <c r="AZ64" s="108"/>
      <c r="BA64" s="108">
        <f t="shared" si="43"/>
        <v>0</v>
      </c>
      <c r="BB64" s="108"/>
      <c r="BC64" s="108">
        <f t="shared" si="43"/>
        <v>0</v>
      </c>
      <c r="BD64" s="108"/>
      <c r="BE64" s="108">
        <f t="shared" si="43"/>
        <v>0</v>
      </c>
      <c r="BF64" s="108">
        <v>2</v>
      </c>
      <c r="BG64" s="108">
        <f t="shared" si="43"/>
        <v>1</v>
      </c>
      <c r="BH64" s="108"/>
      <c r="BI64" s="108">
        <f t="shared" si="43"/>
        <v>0</v>
      </c>
      <c r="BJ64" s="108"/>
      <c r="BK64" s="108">
        <f t="shared" si="43"/>
        <v>0</v>
      </c>
      <c r="BL64" s="108"/>
      <c r="BM64" s="108">
        <f t="shared" si="43"/>
        <v>0</v>
      </c>
      <c r="BN64" s="109">
        <f ca="1">SUMIF(D$2:$BM63,BN$2,D64:BM64)</f>
        <v>20</v>
      </c>
      <c r="BO64" s="109">
        <f ca="1">BN64/4</f>
        <v>5</v>
      </c>
    </row>
    <row r="65" spans="1:67" ht="15" customHeight="1" x14ac:dyDescent="0.25">
      <c r="A65" s="14" t="s">
        <v>15</v>
      </c>
      <c r="B65" s="106" t="s">
        <v>151</v>
      </c>
      <c r="C65" s="107">
        <v>0.5</v>
      </c>
      <c r="D65" s="108"/>
      <c r="E65" s="108">
        <f t="shared" ref="E65" si="44">D65*$C65</f>
        <v>0</v>
      </c>
      <c r="F65" s="108">
        <v>1</v>
      </c>
      <c r="G65" s="108">
        <f t="shared" ref="G65" si="45">F65*$C65</f>
        <v>0.5</v>
      </c>
      <c r="H65" s="108">
        <v>2</v>
      </c>
      <c r="I65" s="108">
        <f t="shared" ref="I65" si="46">H65*$C65</f>
        <v>1</v>
      </c>
      <c r="J65" s="108"/>
      <c r="K65" s="108">
        <f t="shared" ref="K65" si="47">J65*$C65</f>
        <v>0</v>
      </c>
      <c r="L65" s="108"/>
      <c r="M65" s="108">
        <f t="shared" ref="M65" si="48">L65*$C65</f>
        <v>0</v>
      </c>
      <c r="N65" s="108"/>
      <c r="O65" s="108">
        <f t="shared" ref="O65" si="49">N65*$C65</f>
        <v>0</v>
      </c>
      <c r="P65" s="108"/>
      <c r="Q65" s="108">
        <f t="shared" ref="Q65" si="50">P65*$C65</f>
        <v>0</v>
      </c>
      <c r="R65" s="108"/>
      <c r="S65" s="108">
        <f t="shared" ref="S65" si="51">R65*$C65</f>
        <v>0</v>
      </c>
      <c r="T65" s="108"/>
      <c r="U65" s="108">
        <f t="shared" ref="U65" si="52">T65*$C65</f>
        <v>0</v>
      </c>
      <c r="V65" s="108">
        <v>1</v>
      </c>
      <c r="W65" s="108">
        <f t="shared" ref="W65" si="53">V65*$C65</f>
        <v>0.5</v>
      </c>
      <c r="X65" s="108"/>
      <c r="Y65" s="108">
        <f t="shared" ref="Y65" si="54">X65*$C65</f>
        <v>0</v>
      </c>
      <c r="Z65" s="108"/>
      <c r="AA65" s="108">
        <f t="shared" ref="AA65" si="55">Z65*$C65</f>
        <v>0</v>
      </c>
      <c r="AB65" s="108"/>
      <c r="AC65" s="108">
        <f t="shared" ref="AC65" si="56">AB65*$C65</f>
        <v>0</v>
      </c>
      <c r="AD65" s="108"/>
      <c r="AE65" s="108">
        <f t="shared" ref="AE65" si="57">AD65*$C65</f>
        <v>0</v>
      </c>
      <c r="AF65" s="108"/>
      <c r="AG65" s="108">
        <f t="shared" ref="AG65" si="58">AF65*$C65</f>
        <v>0</v>
      </c>
      <c r="AH65" s="108"/>
      <c r="AI65" s="108">
        <f t="shared" ref="AI65" si="59">AH65*$C65</f>
        <v>0</v>
      </c>
      <c r="AJ65" s="108"/>
      <c r="AK65" s="108">
        <f t="shared" ref="AK65" si="60">AJ65*$C65</f>
        <v>0</v>
      </c>
      <c r="AL65" s="108">
        <v>2</v>
      </c>
      <c r="AM65" s="108">
        <f t="shared" ref="AM65" si="61">AL65*$C65</f>
        <v>1</v>
      </c>
      <c r="AN65" s="108"/>
      <c r="AO65" s="108">
        <f t="shared" ref="AO65" si="62">AN65*$C65</f>
        <v>0</v>
      </c>
      <c r="AP65" s="108"/>
      <c r="AQ65" s="108">
        <f t="shared" ref="AQ65" si="63">AP65*$C65</f>
        <v>0</v>
      </c>
      <c r="AR65" s="108"/>
      <c r="AS65" s="108">
        <f t="shared" ref="AS65" si="64">AR65*$C65</f>
        <v>0</v>
      </c>
      <c r="AT65" s="108"/>
      <c r="AU65" s="108">
        <f t="shared" si="43"/>
        <v>0</v>
      </c>
      <c r="AV65" s="108"/>
      <c r="AW65" s="108">
        <f t="shared" si="43"/>
        <v>0</v>
      </c>
      <c r="AX65" s="108"/>
      <c r="AY65" s="108">
        <f t="shared" si="43"/>
        <v>0</v>
      </c>
      <c r="AZ65" s="108"/>
      <c r="BA65" s="108">
        <f t="shared" si="43"/>
        <v>0</v>
      </c>
      <c r="BB65" s="108"/>
      <c r="BC65" s="108">
        <f t="shared" si="43"/>
        <v>0</v>
      </c>
      <c r="BD65" s="108"/>
      <c r="BE65" s="108">
        <f t="shared" si="43"/>
        <v>0</v>
      </c>
      <c r="BF65" s="108"/>
      <c r="BG65" s="108">
        <f t="shared" si="43"/>
        <v>0</v>
      </c>
      <c r="BH65" s="108"/>
      <c r="BI65" s="108">
        <f t="shared" si="43"/>
        <v>0</v>
      </c>
      <c r="BJ65" s="108"/>
      <c r="BK65" s="108">
        <f>BJ65*$C65</f>
        <v>0</v>
      </c>
      <c r="BL65" s="108"/>
      <c r="BM65" s="108">
        <f t="shared" si="43"/>
        <v>0</v>
      </c>
      <c r="BN65" s="109"/>
      <c r="BO65" s="109"/>
    </row>
    <row r="66" spans="1:67" ht="15" customHeight="1" x14ac:dyDescent="0.25">
      <c r="A66" s="14" t="s">
        <v>15</v>
      </c>
      <c r="B66" s="106" t="s">
        <v>150</v>
      </c>
      <c r="C66" s="107">
        <v>0.5</v>
      </c>
      <c r="D66" s="108"/>
      <c r="E66" s="108">
        <f t="shared" ref="E66:E67" si="65">D66*$C66</f>
        <v>0</v>
      </c>
      <c r="F66" s="108"/>
      <c r="G66" s="108">
        <f t="shared" ref="G66:G67" si="66">F66*$C66</f>
        <v>0</v>
      </c>
      <c r="H66" s="108"/>
      <c r="I66" s="108">
        <f t="shared" ref="I66:I67" si="67">H66*$C66</f>
        <v>0</v>
      </c>
      <c r="J66" s="108"/>
      <c r="K66" s="108">
        <f t="shared" ref="K66:K67" si="68">J66*$C66</f>
        <v>0</v>
      </c>
      <c r="L66" s="108"/>
      <c r="M66" s="108">
        <f t="shared" ref="M66:S67" si="69">L66*$C66</f>
        <v>0</v>
      </c>
      <c r="N66" s="108"/>
      <c r="O66" s="108">
        <f t="shared" si="69"/>
        <v>0</v>
      </c>
      <c r="P66" s="108"/>
      <c r="Q66" s="108">
        <f t="shared" si="69"/>
        <v>0</v>
      </c>
      <c r="R66" s="108"/>
      <c r="S66" s="108">
        <f t="shared" si="69"/>
        <v>0</v>
      </c>
      <c r="T66" s="108">
        <v>5</v>
      </c>
      <c r="U66" s="108">
        <f t="shared" ref="U66:AS67" si="70">T66*$C66</f>
        <v>2.5</v>
      </c>
      <c r="V66" s="108">
        <v>1</v>
      </c>
      <c r="W66" s="108">
        <f t="shared" si="70"/>
        <v>0.5</v>
      </c>
      <c r="X66" s="108">
        <v>1</v>
      </c>
      <c r="Y66" s="108">
        <f t="shared" si="70"/>
        <v>0.5</v>
      </c>
      <c r="Z66" s="108"/>
      <c r="AA66" s="108">
        <f t="shared" si="70"/>
        <v>0</v>
      </c>
      <c r="AB66" s="108"/>
      <c r="AC66" s="108">
        <f t="shared" si="70"/>
        <v>0</v>
      </c>
      <c r="AD66" s="108"/>
      <c r="AE66" s="108">
        <f t="shared" si="70"/>
        <v>0</v>
      </c>
      <c r="AF66" s="108"/>
      <c r="AG66" s="108">
        <f t="shared" si="70"/>
        <v>0</v>
      </c>
      <c r="AH66" s="108"/>
      <c r="AI66" s="108">
        <f t="shared" si="70"/>
        <v>0</v>
      </c>
      <c r="AJ66" s="108"/>
      <c r="AK66" s="108">
        <f t="shared" si="70"/>
        <v>0</v>
      </c>
      <c r="AL66" s="108"/>
      <c r="AM66" s="108">
        <f t="shared" si="70"/>
        <v>0</v>
      </c>
      <c r="AN66" s="108"/>
      <c r="AO66" s="108">
        <f t="shared" si="70"/>
        <v>0</v>
      </c>
      <c r="AP66" s="108"/>
      <c r="AQ66" s="108">
        <f t="shared" si="70"/>
        <v>0</v>
      </c>
      <c r="AR66" s="108"/>
      <c r="AS66" s="108">
        <f t="shared" si="70"/>
        <v>0</v>
      </c>
      <c r="AT66" s="108"/>
      <c r="AU66" s="108">
        <f t="shared" ref="AU66:AU67" si="71">AT66*$C66</f>
        <v>0</v>
      </c>
      <c r="AV66" s="108"/>
      <c r="AW66" s="108">
        <f t="shared" ref="AW66:AW67" si="72">AV66*$C66</f>
        <v>0</v>
      </c>
      <c r="AX66" s="108"/>
      <c r="AY66" s="108">
        <f t="shared" ref="AY66:AY67" si="73">AX66*$C66</f>
        <v>0</v>
      </c>
      <c r="AZ66" s="108">
        <v>7</v>
      </c>
      <c r="BA66" s="108">
        <f t="shared" ref="BA66:BA67" si="74">AZ66*$C66</f>
        <v>3.5</v>
      </c>
      <c r="BB66" s="108"/>
      <c r="BC66" s="108">
        <f t="shared" ref="BC66:BC67" si="75">BB66*$C66</f>
        <v>0</v>
      </c>
      <c r="BD66" s="108"/>
      <c r="BE66" s="108">
        <f t="shared" ref="BE66:BE67" si="76">BD66*$C66</f>
        <v>0</v>
      </c>
      <c r="BF66" s="108"/>
      <c r="BG66" s="108">
        <f t="shared" ref="BG66:BG67" si="77">BF66*$C66</f>
        <v>0</v>
      </c>
      <c r="BH66" s="108"/>
      <c r="BI66" s="108">
        <f t="shared" ref="BI66:BI67" si="78">BH66*$C66</f>
        <v>0</v>
      </c>
      <c r="BJ66" s="108"/>
      <c r="BK66" s="108">
        <f t="shared" ref="BK66:BK67" si="79">BJ66*$C66</f>
        <v>0</v>
      </c>
      <c r="BL66" s="108"/>
      <c r="BM66" s="108">
        <f t="shared" ref="BM66:BM67" si="80">BL66*$C66</f>
        <v>0</v>
      </c>
      <c r="BN66" s="109">
        <f ca="1">SUMIF(D$2:$BM64,BN$2,D66:BM66)</f>
        <v>7</v>
      </c>
      <c r="BO66" s="109">
        <f ca="1">BN66/4</f>
        <v>1.75</v>
      </c>
    </row>
    <row r="67" spans="1:67" ht="15" customHeight="1" x14ac:dyDescent="0.25">
      <c r="A67" s="18" t="s">
        <v>5</v>
      </c>
      <c r="B67" s="106" t="s">
        <v>162</v>
      </c>
      <c r="C67" s="107">
        <v>0.5</v>
      </c>
      <c r="D67" s="108"/>
      <c r="E67" s="108">
        <f t="shared" si="65"/>
        <v>0</v>
      </c>
      <c r="F67" s="108"/>
      <c r="G67" s="108">
        <f t="shared" si="66"/>
        <v>0</v>
      </c>
      <c r="H67" s="108"/>
      <c r="I67" s="108">
        <f t="shared" si="67"/>
        <v>0</v>
      </c>
      <c r="J67" s="108"/>
      <c r="K67" s="108">
        <f t="shared" si="68"/>
        <v>0</v>
      </c>
      <c r="L67" s="108">
        <v>1</v>
      </c>
      <c r="M67" s="108">
        <f t="shared" si="69"/>
        <v>0.5</v>
      </c>
      <c r="N67" s="108"/>
      <c r="O67" s="108">
        <f t="shared" si="69"/>
        <v>0</v>
      </c>
      <c r="P67" s="108"/>
      <c r="Q67" s="108">
        <f t="shared" si="69"/>
        <v>0</v>
      </c>
      <c r="R67" s="108">
        <v>1</v>
      </c>
      <c r="S67" s="108">
        <f t="shared" si="69"/>
        <v>0.5</v>
      </c>
      <c r="T67" s="108">
        <v>1</v>
      </c>
      <c r="U67" s="108">
        <f t="shared" si="70"/>
        <v>0.5</v>
      </c>
      <c r="V67" s="108"/>
      <c r="W67" s="108">
        <f t="shared" si="70"/>
        <v>0</v>
      </c>
      <c r="X67" s="108"/>
      <c r="Y67" s="108">
        <f t="shared" si="70"/>
        <v>0</v>
      </c>
      <c r="Z67" s="108">
        <v>1</v>
      </c>
      <c r="AA67" s="108">
        <f t="shared" si="70"/>
        <v>0.5</v>
      </c>
      <c r="AB67" s="108"/>
      <c r="AC67" s="108">
        <f t="shared" si="70"/>
        <v>0</v>
      </c>
      <c r="AD67" s="108"/>
      <c r="AE67" s="108">
        <f t="shared" si="70"/>
        <v>0</v>
      </c>
      <c r="AF67" s="108">
        <v>3</v>
      </c>
      <c r="AG67" s="108">
        <f t="shared" si="70"/>
        <v>1.5</v>
      </c>
      <c r="AH67" s="108"/>
      <c r="AI67" s="108">
        <f t="shared" si="70"/>
        <v>0</v>
      </c>
      <c r="AJ67" s="108">
        <v>1</v>
      </c>
      <c r="AK67" s="108">
        <f t="shared" si="70"/>
        <v>0.5</v>
      </c>
      <c r="AL67" s="108"/>
      <c r="AM67" s="108">
        <f t="shared" si="70"/>
        <v>0</v>
      </c>
      <c r="AN67" s="108"/>
      <c r="AO67" s="108">
        <f t="shared" si="70"/>
        <v>0</v>
      </c>
      <c r="AP67" s="108"/>
      <c r="AQ67" s="108">
        <f t="shared" si="70"/>
        <v>0</v>
      </c>
      <c r="AR67" s="108"/>
      <c r="AS67" s="108">
        <f t="shared" si="70"/>
        <v>0</v>
      </c>
      <c r="AT67" s="108"/>
      <c r="AU67" s="108">
        <f t="shared" si="71"/>
        <v>0</v>
      </c>
      <c r="AV67" s="108"/>
      <c r="AW67" s="108">
        <f t="shared" si="72"/>
        <v>0</v>
      </c>
      <c r="AX67" s="108"/>
      <c r="AY67" s="108">
        <f t="shared" si="73"/>
        <v>0</v>
      </c>
      <c r="AZ67" s="108"/>
      <c r="BA67" s="108">
        <f t="shared" si="74"/>
        <v>0</v>
      </c>
      <c r="BB67" s="108"/>
      <c r="BC67" s="108">
        <f t="shared" si="75"/>
        <v>0</v>
      </c>
      <c r="BD67" s="108"/>
      <c r="BE67" s="108">
        <f t="shared" si="76"/>
        <v>0</v>
      </c>
      <c r="BF67" s="108"/>
      <c r="BG67" s="108">
        <f t="shared" si="77"/>
        <v>0</v>
      </c>
      <c r="BH67" s="108"/>
      <c r="BI67" s="108">
        <f t="shared" si="78"/>
        <v>0</v>
      </c>
      <c r="BJ67" s="108"/>
      <c r="BK67" s="108">
        <f t="shared" si="79"/>
        <v>0</v>
      </c>
      <c r="BL67" s="108"/>
      <c r="BM67" s="108">
        <f t="shared" si="80"/>
        <v>0</v>
      </c>
      <c r="BN67" s="109"/>
      <c r="BO67" s="109"/>
    </row>
    <row r="68" spans="1:67" ht="15" customHeight="1" x14ac:dyDescent="0.25">
      <c r="A68" s="18" t="s">
        <v>5</v>
      </c>
      <c r="B68" s="106" t="s">
        <v>63</v>
      </c>
      <c r="C68" s="107">
        <v>0.5</v>
      </c>
      <c r="D68" s="108"/>
      <c r="E68" s="108">
        <f t="shared" si="2"/>
        <v>0</v>
      </c>
      <c r="F68" s="108"/>
      <c r="G68" s="108">
        <f t="shared" si="2"/>
        <v>0</v>
      </c>
      <c r="H68" s="108"/>
      <c r="I68" s="108">
        <f t="shared" si="2"/>
        <v>0</v>
      </c>
      <c r="J68" s="108"/>
      <c r="K68" s="108">
        <f t="shared" si="2"/>
        <v>0</v>
      </c>
      <c r="L68" s="108"/>
      <c r="M68" s="108">
        <f t="shared" si="29"/>
        <v>0</v>
      </c>
      <c r="N68" s="108">
        <v>2</v>
      </c>
      <c r="O68" s="108">
        <f t="shared" si="29"/>
        <v>1</v>
      </c>
      <c r="P68" s="108">
        <v>2</v>
      </c>
      <c r="Q68" s="108">
        <f t="shared" si="29"/>
        <v>1</v>
      </c>
      <c r="R68" s="108">
        <v>5</v>
      </c>
      <c r="S68" s="108">
        <f t="shared" si="29"/>
        <v>2.5</v>
      </c>
      <c r="T68" s="108">
        <v>7</v>
      </c>
      <c r="U68" s="108">
        <f t="shared" si="42"/>
        <v>3.5</v>
      </c>
      <c r="V68" s="108">
        <v>5</v>
      </c>
      <c r="W68" s="108">
        <f t="shared" si="42"/>
        <v>2.5</v>
      </c>
      <c r="X68" s="108">
        <v>5</v>
      </c>
      <c r="Y68" s="108">
        <f t="shared" si="42"/>
        <v>2.5</v>
      </c>
      <c r="Z68" s="108">
        <v>1</v>
      </c>
      <c r="AA68" s="108">
        <f t="shared" si="42"/>
        <v>0.5</v>
      </c>
      <c r="AB68" s="108">
        <v>3</v>
      </c>
      <c r="AC68" s="108">
        <f t="shared" si="42"/>
        <v>1.5</v>
      </c>
      <c r="AD68" s="108">
        <v>7</v>
      </c>
      <c r="AE68" s="108">
        <f t="shared" si="42"/>
        <v>3.5</v>
      </c>
      <c r="AF68" s="108">
        <v>6</v>
      </c>
      <c r="AG68" s="108">
        <f t="shared" si="42"/>
        <v>3</v>
      </c>
      <c r="AH68" s="108">
        <v>1</v>
      </c>
      <c r="AI68" s="108">
        <f t="shared" si="42"/>
        <v>0.5</v>
      </c>
      <c r="AJ68" s="108">
        <v>10</v>
      </c>
      <c r="AK68" s="108">
        <f t="shared" si="42"/>
        <v>5</v>
      </c>
      <c r="AL68" s="108"/>
      <c r="AM68" s="108">
        <f t="shared" si="42"/>
        <v>0</v>
      </c>
      <c r="AN68" s="108">
        <v>2</v>
      </c>
      <c r="AO68" s="108">
        <f t="shared" si="42"/>
        <v>1</v>
      </c>
      <c r="AP68" s="108"/>
      <c r="AQ68" s="108">
        <f t="shared" si="42"/>
        <v>0</v>
      </c>
      <c r="AR68" s="108">
        <v>1</v>
      </c>
      <c r="AS68" s="108">
        <f t="shared" si="42"/>
        <v>0.5</v>
      </c>
      <c r="AT68" s="108">
        <v>1</v>
      </c>
      <c r="AU68" s="108">
        <f t="shared" si="43"/>
        <v>0.5</v>
      </c>
      <c r="AV68" s="108">
        <v>2</v>
      </c>
      <c r="AW68" s="108">
        <f t="shared" si="43"/>
        <v>1</v>
      </c>
      <c r="AX68" s="108">
        <v>3</v>
      </c>
      <c r="AY68" s="108">
        <f t="shared" si="43"/>
        <v>1.5</v>
      </c>
      <c r="AZ68" s="108">
        <v>7</v>
      </c>
      <c r="BA68" s="108">
        <f t="shared" si="43"/>
        <v>3.5</v>
      </c>
      <c r="BB68" s="108">
        <v>5</v>
      </c>
      <c r="BC68" s="108">
        <f t="shared" si="43"/>
        <v>2.5</v>
      </c>
      <c r="BD68" s="108">
        <v>3</v>
      </c>
      <c r="BE68" s="108">
        <f t="shared" si="43"/>
        <v>1.5</v>
      </c>
      <c r="BF68" s="108"/>
      <c r="BG68" s="108">
        <f t="shared" si="43"/>
        <v>0</v>
      </c>
      <c r="BH68" s="108"/>
      <c r="BI68" s="108">
        <f t="shared" si="43"/>
        <v>0</v>
      </c>
      <c r="BJ68" s="108"/>
      <c r="BK68" s="108">
        <f t="shared" si="43"/>
        <v>0</v>
      </c>
      <c r="BL68" s="108"/>
      <c r="BM68" s="108">
        <f t="shared" si="43"/>
        <v>0</v>
      </c>
      <c r="BN68" s="109">
        <f ca="1">SUMIF(D$2:$BM64,BN$2,D68:BM68)</f>
        <v>39</v>
      </c>
      <c r="BO68" s="109">
        <f ca="1">BN68/4</f>
        <v>9.75</v>
      </c>
    </row>
    <row r="69" spans="1:67" ht="15" customHeight="1" x14ac:dyDescent="0.25">
      <c r="A69" s="14" t="s">
        <v>15</v>
      </c>
      <c r="B69" s="17" t="s">
        <v>154</v>
      </c>
      <c r="C69" s="15">
        <v>0.5</v>
      </c>
      <c r="E69" s="11">
        <f t="shared" ref="E69" si="81">D69*$C69</f>
        <v>0</v>
      </c>
      <c r="G69" s="11">
        <f t="shared" ref="G69" si="82">F69*$C69</f>
        <v>0</v>
      </c>
      <c r="I69" s="11">
        <f t="shared" ref="I69" si="83">H69*$C69</f>
        <v>0</v>
      </c>
      <c r="K69" s="11">
        <f>J69*$C69</f>
        <v>0</v>
      </c>
      <c r="M69" s="11">
        <f t="shared" ref="M69" si="84">L69*$C69</f>
        <v>0</v>
      </c>
      <c r="O69" s="11">
        <f t="shared" ref="O69" si="85">N69*$C69</f>
        <v>0</v>
      </c>
      <c r="Q69" s="11">
        <f t="shared" ref="Q69" si="86">P69*$C69</f>
        <v>0</v>
      </c>
      <c r="S69" s="11">
        <f t="shared" ref="S69:S70" si="87">R69*$C69</f>
        <v>0</v>
      </c>
      <c r="U69" s="11">
        <f t="shared" ref="U69:U71" si="88">T69*$C69</f>
        <v>0</v>
      </c>
      <c r="W69" s="11">
        <f t="shared" ref="W69:W71" si="89">V69*$C69</f>
        <v>0</v>
      </c>
      <c r="Y69" s="11">
        <f t="shared" ref="Y69" si="90">X69*$C69</f>
        <v>0</v>
      </c>
      <c r="AA69" s="11">
        <f t="shared" ref="AA69" si="91">Z69*$C69</f>
        <v>0</v>
      </c>
      <c r="AC69" s="11">
        <f t="shared" ref="AC69" si="92">AB69*$C69</f>
        <v>0</v>
      </c>
      <c r="AE69" s="11">
        <f t="shared" ref="AE69" si="93">AD69*$C69</f>
        <v>0</v>
      </c>
      <c r="AG69" s="11">
        <f t="shared" ref="AG69" si="94">AF69*$C69</f>
        <v>0</v>
      </c>
      <c r="AI69" s="11">
        <f t="shared" ref="AI69" si="95">AH69*$C69</f>
        <v>0</v>
      </c>
      <c r="AK69" s="11">
        <f t="shared" ref="AK69" si="96">AJ69*$C69</f>
        <v>0</v>
      </c>
      <c r="AM69" s="11">
        <f t="shared" ref="AM69" si="97">AL69*$C69</f>
        <v>0</v>
      </c>
      <c r="AO69" s="11">
        <f t="shared" ref="AO69" si="98">AN69*$C69</f>
        <v>0</v>
      </c>
      <c r="AQ69" s="11">
        <f t="shared" ref="AQ69" si="99">AP69*$C69</f>
        <v>0</v>
      </c>
      <c r="AS69" s="11">
        <f t="shared" ref="AS69" si="100">AR69*$C69</f>
        <v>0</v>
      </c>
      <c r="AU69" s="11">
        <f t="shared" si="43"/>
        <v>0</v>
      </c>
      <c r="AW69" s="11">
        <f t="shared" si="43"/>
        <v>0</v>
      </c>
      <c r="AY69" s="11">
        <f t="shared" si="43"/>
        <v>0</v>
      </c>
      <c r="BA69" s="11">
        <f t="shared" si="43"/>
        <v>0</v>
      </c>
      <c r="BC69" s="11">
        <f t="shared" si="43"/>
        <v>0</v>
      </c>
      <c r="BE69" s="11">
        <f t="shared" si="43"/>
        <v>0</v>
      </c>
      <c r="BG69" s="11">
        <f t="shared" si="43"/>
        <v>0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/>
      <c r="BO69" s="16"/>
    </row>
    <row r="70" spans="1:67" ht="15" customHeight="1" x14ac:dyDescent="0.25">
      <c r="A70" s="18" t="s">
        <v>5</v>
      </c>
      <c r="B70" s="17" t="s">
        <v>64</v>
      </c>
      <c r="C70" s="15">
        <v>0.5</v>
      </c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P70" s="11">
        <v>1</v>
      </c>
      <c r="Q70" s="11">
        <f t="shared" si="29"/>
        <v>0.5</v>
      </c>
      <c r="R70" s="11">
        <v>1</v>
      </c>
      <c r="S70" s="11">
        <f t="shared" si="87"/>
        <v>0.5</v>
      </c>
      <c r="T70" s="11">
        <v>2</v>
      </c>
      <c r="U70" s="11">
        <f t="shared" si="88"/>
        <v>1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D70" s="11">
        <v>1</v>
      </c>
      <c r="AE70" s="11">
        <f t="shared" si="42"/>
        <v>0.5</v>
      </c>
      <c r="AG70" s="11">
        <f t="shared" si="42"/>
        <v>0</v>
      </c>
      <c r="AH70" s="11">
        <v>1</v>
      </c>
      <c r="AI70" s="11">
        <f t="shared" si="42"/>
        <v>0.5</v>
      </c>
      <c r="AJ70" s="11">
        <v>1</v>
      </c>
      <c r="AK70" s="11">
        <f t="shared" si="42"/>
        <v>0.5</v>
      </c>
      <c r="AM70" s="11">
        <f t="shared" si="42"/>
        <v>0</v>
      </c>
      <c r="AO70" s="11">
        <f t="shared" si="42"/>
        <v>0</v>
      </c>
      <c r="AP70" s="11">
        <v>1</v>
      </c>
      <c r="AQ70" s="11">
        <f t="shared" si="42"/>
        <v>0.5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AZ70" s="11">
        <v>1</v>
      </c>
      <c r="BA70" s="11">
        <f t="shared" si="43"/>
        <v>0.5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H70" s="11">
        <v>1</v>
      </c>
      <c r="BI70" s="11">
        <f t="shared" si="43"/>
        <v>0.5</v>
      </c>
      <c r="BJ70" s="11">
        <v>1</v>
      </c>
      <c r="BK70" s="11">
        <f t="shared" si="43"/>
        <v>0.5</v>
      </c>
      <c r="BM70" s="11">
        <f t="shared" si="43"/>
        <v>0</v>
      </c>
      <c r="BN70" s="16">
        <f ca="1">SUMIF(D$2:$BM68,BN$2,D70:BM70)</f>
        <v>5.5</v>
      </c>
      <c r="BO70" s="16">
        <f ca="1">BN70/4</f>
        <v>1.375</v>
      </c>
    </row>
    <row r="71" spans="1:67" ht="15" customHeight="1" x14ac:dyDescent="0.25">
      <c r="A71" s="14"/>
      <c r="B71" s="17" t="s">
        <v>65</v>
      </c>
      <c r="C71" s="15"/>
      <c r="E71" s="11">
        <f t="shared" si="2"/>
        <v>0</v>
      </c>
      <c r="G71" s="11">
        <f t="shared" si="2"/>
        <v>0</v>
      </c>
      <c r="I71" s="11">
        <f t="shared" si="2"/>
        <v>0</v>
      </c>
      <c r="K71" s="11">
        <f t="shared" si="2"/>
        <v>0</v>
      </c>
      <c r="M71" s="11">
        <f t="shared" si="29"/>
        <v>0</v>
      </c>
      <c r="O71" s="11">
        <f t="shared" si="29"/>
        <v>0</v>
      </c>
      <c r="Q71" s="11">
        <f t="shared" si="29"/>
        <v>0</v>
      </c>
      <c r="S71" s="11">
        <f t="shared" si="29"/>
        <v>0</v>
      </c>
      <c r="U71" s="11">
        <f t="shared" si="88"/>
        <v>0</v>
      </c>
      <c r="W71" s="11">
        <f t="shared" si="89"/>
        <v>0</v>
      </c>
      <c r="Y71" s="11">
        <f t="shared" si="42"/>
        <v>0</v>
      </c>
      <c r="AA71" s="11">
        <f t="shared" si="42"/>
        <v>0</v>
      </c>
      <c r="AC71" s="11">
        <f t="shared" si="42"/>
        <v>0</v>
      </c>
      <c r="AE71" s="11">
        <f t="shared" si="42"/>
        <v>0</v>
      </c>
      <c r="AG71" s="11">
        <f t="shared" si="42"/>
        <v>0</v>
      </c>
      <c r="AI71" s="11">
        <f t="shared" si="42"/>
        <v>0</v>
      </c>
      <c r="AK71" s="11">
        <f t="shared" si="42"/>
        <v>0</v>
      </c>
      <c r="AM71" s="11">
        <f t="shared" si="42"/>
        <v>0</v>
      </c>
      <c r="AO71" s="11">
        <f t="shared" si="42"/>
        <v>0</v>
      </c>
      <c r="AQ71" s="11">
        <f t="shared" si="42"/>
        <v>0</v>
      </c>
      <c r="AS71" s="11">
        <f t="shared" si="42"/>
        <v>0</v>
      </c>
      <c r="AU71" s="11">
        <f t="shared" si="43"/>
        <v>0</v>
      </c>
      <c r="AW71" s="11">
        <f t="shared" si="43"/>
        <v>0</v>
      </c>
      <c r="AY71" s="11">
        <f t="shared" si="43"/>
        <v>0</v>
      </c>
      <c r="BA71" s="11">
        <f t="shared" si="43"/>
        <v>0</v>
      </c>
      <c r="BC71" s="11">
        <f t="shared" si="43"/>
        <v>0</v>
      </c>
      <c r="BE71" s="11">
        <f t="shared" si="43"/>
        <v>0</v>
      </c>
      <c r="BG71" s="11">
        <f t="shared" si="43"/>
        <v>0</v>
      </c>
      <c r="BI71" s="11">
        <f t="shared" si="43"/>
        <v>0</v>
      </c>
      <c r="BK71" s="11">
        <f t="shared" si="43"/>
        <v>0</v>
      </c>
      <c r="BM71" s="11">
        <f t="shared" si="43"/>
        <v>0</v>
      </c>
      <c r="BN71" s="16">
        <f ca="1">SUMIF(D$2:$BM70,BN$2,D71:BM71)</f>
        <v>0</v>
      </c>
      <c r="BO71" s="16">
        <f>SUMIF(D$2:BM$2,BO$2,D71:BM71)</f>
        <v>0</v>
      </c>
    </row>
    <row r="72" spans="1:67" ht="15" customHeight="1" x14ac:dyDescent="0.25">
      <c r="A72" s="14" t="s">
        <v>15</v>
      </c>
      <c r="B72" s="17" t="s">
        <v>153</v>
      </c>
      <c r="C72" s="15">
        <v>0.5</v>
      </c>
      <c r="E72" s="11">
        <f t="shared" ref="E72:K72" si="101">D72*$C72</f>
        <v>0</v>
      </c>
      <c r="G72" s="11">
        <f t="shared" si="101"/>
        <v>0</v>
      </c>
      <c r="I72" s="11">
        <f t="shared" si="101"/>
        <v>0</v>
      </c>
      <c r="K72" s="11">
        <f t="shared" si="101"/>
        <v>0</v>
      </c>
      <c r="M72" s="11">
        <f t="shared" ref="M72:S72" si="102">L72*$C72</f>
        <v>0</v>
      </c>
      <c r="N72" s="11">
        <v>1</v>
      </c>
      <c r="O72" s="11">
        <f t="shared" si="102"/>
        <v>0.5</v>
      </c>
      <c r="Q72" s="11">
        <f t="shared" si="102"/>
        <v>0</v>
      </c>
      <c r="S72" s="11">
        <f t="shared" si="102"/>
        <v>0</v>
      </c>
      <c r="U72" s="11">
        <f t="shared" ref="U72:AS72" si="103">T72*$C72</f>
        <v>0</v>
      </c>
      <c r="W72" s="11">
        <f t="shared" si="103"/>
        <v>0</v>
      </c>
      <c r="Y72" s="11">
        <f t="shared" si="103"/>
        <v>0</v>
      </c>
      <c r="AA72" s="11">
        <f t="shared" si="103"/>
        <v>0</v>
      </c>
      <c r="AC72" s="11">
        <f t="shared" si="103"/>
        <v>0</v>
      </c>
      <c r="AE72" s="11">
        <f t="shared" si="103"/>
        <v>0</v>
      </c>
      <c r="AG72" s="11">
        <f t="shared" si="103"/>
        <v>0</v>
      </c>
      <c r="AI72" s="11">
        <f t="shared" si="103"/>
        <v>0</v>
      </c>
      <c r="AJ72" s="11">
        <v>3</v>
      </c>
      <c r="AK72" s="11">
        <f t="shared" si="103"/>
        <v>1.5</v>
      </c>
      <c r="AL72" s="11">
        <v>1</v>
      </c>
      <c r="AM72" s="11">
        <f t="shared" si="103"/>
        <v>0.5</v>
      </c>
      <c r="AO72" s="11">
        <f t="shared" si="103"/>
        <v>0</v>
      </c>
      <c r="AQ72" s="11">
        <f t="shared" si="103"/>
        <v>0</v>
      </c>
      <c r="AR72" s="11">
        <v>1</v>
      </c>
      <c r="AS72" s="11">
        <f t="shared" si="103"/>
        <v>0.5</v>
      </c>
      <c r="AU72" s="11">
        <f t="shared" ref="AU72" si="104">AT72*$C72</f>
        <v>0</v>
      </c>
      <c r="AW72" s="11">
        <f t="shared" ref="AW72" si="105">AV72*$C72</f>
        <v>0</v>
      </c>
      <c r="AY72" s="11">
        <f t="shared" ref="AY72" si="106">AX72*$C72</f>
        <v>0</v>
      </c>
      <c r="BA72" s="11">
        <f t="shared" ref="BA72" si="107">AZ72*$C72</f>
        <v>0</v>
      </c>
      <c r="BC72" s="11">
        <f t="shared" ref="BC72" si="108">BB72*$C72</f>
        <v>0</v>
      </c>
      <c r="BE72" s="11">
        <f t="shared" ref="BE72" si="109">BD72*$C72</f>
        <v>0</v>
      </c>
      <c r="BG72" s="11">
        <f t="shared" ref="BG72" si="110">BF72*$C72</f>
        <v>0</v>
      </c>
      <c r="BI72" s="11">
        <f t="shared" ref="BI72" si="111">BH72*$C72</f>
        <v>0</v>
      </c>
      <c r="BK72" s="11">
        <f t="shared" ref="BK72" si="112">BJ72*$C72</f>
        <v>0</v>
      </c>
      <c r="BM72" s="11">
        <f t="shared" ref="BM72" si="113">BL72*$C72</f>
        <v>0</v>
      </c>
      <c r="BN72" s="16">
        <f ca="1">SUMIF(D$2:$BM71,BN$2,D72:BM72)</f>
        <v>3</v>
      </c>
      <c r="BO72" s="16">
        <f>SUMIF(D$2:BM$2,BO$2,D72:BM72)</f>
        <v>0</v>
      </c>
    </row>
    <row r="73" spans="1:67" ht="15" customHeight="1" x14ac:dyDescent="0.25">
      <c r="A73" s="14" t="s">
        <v>5</v>
      </c>
      <c r="B73" s="17" t="s">
        <v>66</v>
      </c>
      <c r="C73" s="15">
        <v>0.5</v>
      </c>
      <c r="E73" s="11">
        <f t="shared" si="2"/>
        <v>0</v>
      </c>
      <c r="F73" s="11">
        <v>2</v>
      </c>
      <c r="G73" s="11">
        <f t="shared" si="2"/>
        <v>1</v>
      </c>
      <c r="I73" s="11">
        <f t="shared" si="2"/>
        <v>0</v>
      </c>
      <c r="K73" s="11">
        <f t="shared" si="2"/>
        <v>0</v>
      </c>
      <c r="M73" s="11">
        <f t="shared" si="29"/>
        <v>0</v>
      </c>
      <c r="O73" s="11">
        <f t="shared" si="29"/>
        <v>0</v>
      </c>
      <c r="Q73" s="11">
        <f t="shared" si="29"/>
        <v>0</v>
      </c>
      <c r="S73" s="11">
        <f t="shared" si="29"/>
        <v>0</v>
      </c>
      <c r="U73" s="11">
        <f t="shared" si="42"/>
        <v>0</v>
      </c>
      <c r="V73" s="11">
        <v>1</v>
      </c>
      <c r="W73" s="11">
        <f t="shared" si="42"/>
        <v>0.5</v>
      </c>
      <c r="Y73" s="11">
        <f t="shared" si="42"/>
        <v>0</v>
      </c>
      <c r="AA73" s="11">
        <f t="shared" si="42"/>
        <v>0</v>
      </c>
      <c r="AC73" s="11">
        <f t="shared" si="42"/>
        <v>0</v>
      </c>
      <c r="AE73" s="11">
        <f t="shared" si="42"/>
        <v>0</v>
      </c>
      <c r="AG73" s="11">
        <f t="shared" si="42"/>
        <v>0</v>
      </c>
      <c r="AI73" s="11">
        <f t="shared" si="42"/>
        <v>0</v>
      </c>
      <c r="AK73" s="11">
        <f t="shared" si="42"/>
        <v>0</v>
      </c>
      <c r="AL73" s="11">
        <v>2</v>
      </c>
      <c r="AM73" s="11">
        <f t="shared" si="42"/>
        <v>1</v>
      </c>
      <c r="AO73" s="11">
        <f t="shared" si="42"/>
        <v>0</v>
      </c>
      <c r="AQ73" s="11">
        <f t="shared" si="42"/>
        <v>0</v>
      </c>
      <c r="AS73" s="11">
        <f t="shared" ref="AS73:BM77" si="114">AR73*$C73</f>
        <v>0</v>
      </c>
      <c r="AU73" s="11">
        <f t="shared" si="114"/>
        <v>0</v>
      </c>
      <c r="AW73" s="11">
        <f t="shared" si="114"/>
        <v>0</v>
      </c>
      <c r="AX73" s="11">
        <v>1</v>
      </c>
      <c r="AY73" s="11">
        <f t="shared" si="114"/>
        <v>0.5</v>
      </c>
      <c r="AZ73" s="11">
        <v>1</v>
      </c>
      <c r="BA73" s="11">
        <f t="shared" si="114"/>
        <v>0.5</v>
      </c>
      <c r="BC73" s="11">
        <f t="shared" si="114"/>
        <v>0</v>
      </c>
      <c r="BE73" s="11">
        <f t="shared" si="114"/>
        <v>0</v>
      </c>
      <c r="BG73" s="11">
        <f t="shared" si="114"/>
        <v>0</v>
      </c>
      <c r="BI73" s="11">
        <f t="shared" si="114"/>
        <v>0</v>
      </c>
      <c r="BJ73" s="11">
        <v>1</v>
      </c>
      <c r="BK73" s="11">
        <f t="shared" si="114"/>
        <v>0.5</v>
      </c>
      <c r="BM73" s="11">
        <f t="shared" si="114"/>
        <v>0</v>
      </c>
      <c r="BN73" s="16">
        <f ca="1">SUMIF(D$2:$BM71,BN$2,D73:BM73)</f>
        <v>4</v>
      </c>
      <c r="BO73" s="16">
        <f ca="1">BN73/4</f>
        <v>1</v>
      </c>
    </row>
    <row r="74" spans="1:67" ht="15" customHeight="1" x14ac:dyDescent="0.25">
      <c r="A74" s="14" t="s">
        <v>5</v>
      </c>
      <c r="B74" s="17" t="s">
        <v>67</v>
      </c>
      <c r="C74" s="15">
        <v>0.5</v>
      </c>
      <c r="E74" s="11">
        <f t="shared" si="2"/>
        <v>0</v>
      </c>
      <c r="F74" s="11">
        <v>1</v>
      </c>
      <c r="G74" s="11">
        <f t="shared" si="2"/>
        <v>0.5</v>
      </c>
      <c r="H74" s="11">
        <v>1</v>
      </c>
      <c r="I74" s="11">
        <f t="shared" si="2"/>
        <v>0.5</v>
      </c>
      <c r="K74" s="11">
        <f t="shared" si="2"/>
        <v>0</v>
      </c>
      <c r="L74" s="11">
        <v>1</v>
      </c>
      <c r="M74" s="11">
        <f t="shared" si="29"/>
        <v>0.5</v>
      </c>
      <c r="O74" s="11">
        <f t="shared" si="29"/>
        <v>0</v>
      </c>
      <c r="Q74" s="11">
        <f t="shared" si="29"/>
        <v>0</v>
      </c>
      <c r="R74" s="11">
        <v>1</v>
      </c>
      <c r="S74" s="11">
        <f t="shared" si="29"/>
        <v>0.5</v>
      </c>
      <c r="T74" s="11">
        <v>1</v>
      </c>
      <c r="U74" s="11">
        <f t="shared" si="42"/>
        <v>0.5</v>
      </c>
      <c r="V74" s="11">
        <v>1</v>
      </c>
      <c r="W74" s="11">
        <f t="shared" si="42"/>
        <v>0.5</v>
      </c>
      <c r="Y74" s="11">
        <f t="shared" si="42"/>
        <v>0</v>
      </c>
      <c r="AA74" s="11">
        <f t="shared" si="42"/>
        <v>0</v>
      </c>
      <c r="AB74" s="11">
        <v>1</v>
      </c>
      <c r="AC74" s="11">
        <f t="shared" si="42"/>
        <v>0.5</v>
      </c>
      <c r="AE74" s="11">
        <f t="shared" si="42"/>
        <v>0</v>
      </c>
      <c r="AF74" s="11">
        <v>1</v>
      </c>
      <c r="AG74" s="11">
        <f t="shared" si="42"/>
        <v>0.5</v>
      </c>
      <c r="AH74" s="11">
        <v>1</v>
      </c>
      <c r="AI74" s="11">
        <f t="shared" si="42"/>
        <v>0.5</v>
      </c>
      <c r="AJ74" s="11">
        <v>2</v>
      </c>
      <c r="AK74" s="11">
        <f t="shared" si="42"/>
        <v>1</v>
      </c>
      <c r="AM74" s="11">
        <f t="shared" si="42"/>
        <v>0</v>
      </c>
      <c r="AO74" s="11">
        <f t="shared" si="42"/>
        <v>0</v>
      </c>
      <c r="AP74" s="11">
        <v>2</v>
      </c>
      <c r="AQ74" s="11">
        <f t="shared" si="42"/>
        <v>1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X74" s="11">
        <v>1</v>
      </c>
      <c r="AY74" s="11">
        <f t="shared" si="114"/>
        <v>0.5</v>
      </c>
      <c r="BA74" s="11">
        <f t="shared" si="114"/>
        <v>0</v>
      </c>
      <c r="BC74" s="11">
        <f t="shared" si="114"/>
        <v>0</v>
      </c>
      <c r="BD74" s="11">
        <v>1</v>
      </c>
      <c r="BE74" s="11">
        <f t="shared" si="114"/>
        <v>0.5</v>
      </c>
      <c r="BG74" s="11">
        <f t="shared" si="114"/>
        <v>0</v>
      </c>
      <c r="BH74" s="11">
        <v>3</v>
      </c>
      <c r="BI74" s="11">
        <f t="shared" si="114"/>
        <v>1.5</v>
      </c>
      <c r="BJ74" s="11">
        <v>1</v>
      </c>
      <c r="BK74" s="11">
        <f t="shared" si="114"/>
        <v>0.5</v>
      </c>
      <c r="BM74" s="11">
        <f t="shared" si="114"/>
        <v>0</v>
      </c>
      <c r="BN74" s="16">
        <f ca="1">SUMIF(D$2:$BM73,BN$2,D74:BM74)</f>
        <v>9.5</v>
      </c>
      <c r="BO74" s="16">
        <f ca="1">BN74/4</f>
        <v>2.375</v>
      </c>
    </row>
    <row r="75" spans="1:67" ht="15" customHeight="1" x14ac:dyDescent="0.25">
      <c r="A75" s="18"/>
      <c r="B75" s="17" t="s">
        <v>68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ref="BO75:BO119" si="115">SUMIF(D$2:BM$2,BO$2,D75:BM75)</f>
        <v>0</v>
      </c>
    </row>
    <row r="76" spans="1:67" ht="15" customHeight="1" x14ac:dyDescent="0.25">
      <c r="A76" s="18"/>
      <c r="B76" s="17" t="s">
        <v>69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8"/>
      <c r="B77" s="17" t="s">
        <v>70</v>
      </c>
      <c r="C77" s="15"/>
      <c r="E77" s="11">
        <f t="shared" si="2"/>
        <v>0</v>
      </c>
      <c r="G77" s="11">
        <f t="shared" si="2"/>
        <v>0</v>
      </c>
      <c r="I77" s="11">
        <f t="shared" si="2"/>
        <v>0</v>
      </c>
      <c r="K77" s="11">
        <f t="shared" si="2"/>
        <v>0</v>
      </c>
      <c r="M77" s="11">
        <f t="shared" si="29"/>
        <v>0</v>
      </c>
      <c r="O77" s="11">
        <f t="shared" si="29"/>
        <v>0</v>
      </c>
      <c r="Q77" s="11">
        <f t="shared" si="29"/>
        <v>0</v>
      </c>
      <c r="S77" s="11">
        <f t="shared" si="29"/>
        <v>0</v>
      </c>
      <c r="U77" s="11">
        <f t="shared" si="42"/>
        <v>0</v>
      </c>
      <c r="W77" s="11">
        <f t="shared" si="42"/>
        <v>0</v>
      </c>
      <c r="Y77" s="11">
        <f t="shared" si="42"/>
        <v>0</v>
      </c>
      <c r="AA77" s="11">
        <f t="shared" si="42"/>
        <v>0</v>
      </c>
      <c r="AC77" s="11">
        <f t="shared" si="42"/>
        <v>0</v>
      </c>
      <c r="AE77" s="11">
        <f t="shared" si="42"/>
        <v>0</v>
      </c>
      <c r="AG77" s="11">
        <f t="shared" si="42"/>
        <v>0</v>
      </c>
      <c r="AI77" s="11">
        <f t="shared" si="42"/>
        <v>0</v>
      </c>
      <c r="AK77" s="11">
        <f t="shared" si="42"/>
        <v>0</v>
      </c>
      <c r="AM77" s="11">
        <f t="shared" si="42"/>
        <v>0</v>
      </c>
      <c r="AO77" s="11">
        <f t="shared" si="42"/>
        <v>0</v>
      </c>
      <c r="AQ77" s="11">
        <f t="shared" si="42"/>
        <v>0</v>
      </c>
      <c r="AS77" s="11">
        <f t="shared" si="114"/>
        <v>0</v>
      </c>
      <c r="AU77" s="11">
        <f t="shared" si="114"/>
        <v>0</v>
      </c>
      <c r="AW77" s="11">
        <f t="shared" si="114"/>
        <v>0</v>
      </c>
      <c r="AY77" s="11">
        <f t="shared" si="114"/>
        <v>0</v>
      </c>
      <c r="BA77" s="11">
        <f t="shared" si="114"/>
        <v>0</v>
      </c>
      <c r="BC77" s="11">
        <f t="shared" si="114"/>
        <v>0</v>
      </c>
      <c r="BE77" s="11">
        <f t="shared" si="114"/>
        <v>0</v>
      </c>
      <c r="BG77" s="11">
        <f t="shared" si="114"/>
        <v>0</v>
      </c>
      <c r="BI77" s="11">
        <f t="shared" si="114"/>
        <v>0</v>
      </c>
      <c r="BK77" s="11">
        <f t="shared" si="114"/>
        <v>0</v>
      </c>
      <c r="BM77" s="11">
        <f t="shared" si="114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71</v>
      </c>
      <c r="C78" s="15"/>
      <c r="E78" s="11">
        <f t="shared" ref="E78:M136" si="116">D78*$C78</f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ref="O78:AO96" si="117">N78*$C78</f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ref="AQ78:BM85" si="118">AP78*$C78</f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4"/>
      <c r="B79" s="17" t="s">
        <v>72</v>
      </c>
      <c r="C79" s="15"/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73</v>
      </c>
      <c r="C80" s="15">
        <f>C79-D64</f>
        <v>-7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74</v>
      </c>
      <c r="C81" s="15">
        <f>C80*0.05</f>
        <v>-0.35000000000000003</v>
      </c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75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76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77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78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si="117"/>
        <v>0</v>
      </c>
      <c r="AQ85" s="11">
        <f t="shared" si="118"/>
        <v>0</v>
      </c>
      <c r="AS85" s="11">
        <f t="shared" si="118"/>
        <v>0</v>
      </c>
      <c r="AU85" s="11">
        <f t="shared" si="118"/>
        <v>0</v>
      </c>
      <c r="AW85" s="11">
        <f t="shared" si="118"/>
        <v>0</v>
      </c>
      <c r="AY85" s="11">
        <f t="shared" si="118"/>
        <v>0</v>
      </c>
      <c r="BA85" s="11">
        <f t="shared" si="118"/>
        <v>0</v>
      </c>
      <c r="BC85" s="11">
        <f t="shared" si="118"/>
        <v>0</v>
      </c>
      <c r="BE85" s="11">
        <f t="shared" si="118"/>
        <v>0</v>
      </c>
      <c r="BG85" s="11">
        <f t="shared" si="118"/>
        <v>0</v>
      </c>
      <c r="BI85" s="11">
        <f t="shared" si="118"/>
        <v>0</v>
      </c>
      <c r="BK85" s="11">
        <f t="shared" si="118"/>
        <v>0</v>
      </c>
      <c r="BM85" s="11">
        <f t="shared" si="118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79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ref="AO86:BM101" si="119">AN86*$C86</f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80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81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82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83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84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85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86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87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88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89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si="116"/>
        <v>0</v>
      </c>
      <c r="O96" s="11">
        <f t="shared" si="117"/>
        <v>0</v>
      </c>
      <c r="Q96" s="11">
        <f t="shared" si="117"/>
        <v>0</v>
      </c>
      <c r="S96" s="11">
        <f t="shared" si="117"/>
        <v>0</v>
      </c>
      <c r="U96" s="11">
        <f t="shared" si="117"/>
        <v>0</v>
      </c>
      <c r="W96" s="11">
        <f t="shared" si="117"/>
        <v>0</v>
      </c>
      <c r="Y96" s="11">
        <f t="shared" si="117"/>
        <v>0</v>
      </c>
      <c r="AA96" s="11">
        <f t="shared" si="117"/>
        <v>0</v>
      </c>
      <c r="AC96" s="11">
        <f t="shared" si="117"/>
        <v>0</v>
      </c>
      <c r="AE96" s="11">
        <f t="shared" si="117"/>
        <v>0</v>
      </c>
      <c r="AG96" s="11">
        <f t="shared" si="117"/>
        <v>0</v>
      </c>
      <c r="AI96" s="11">
        <f t="shared" si="117"/>
        <v>0</v>
      </c>
      <c r="AK96" s="11">
        <f t="shared" si="117"/>
        <v>0</v>
      </c>
      <c r="AM96" s="11">
        <f t="shared" si="117"/>
        <v>0</v>
      </c>
      <c r="AO96" s="11">
        <f t="shared" si="119"/>
        <v>0</v>
      </c>
      <c r="AQ96" s="11">
        <f t="shared" si="119"/>
        <v>0</v>
      </c>
      <c r="AS96" s="11">
        <f t="shared" si="119"/>
        <v>0</v>
      </c>
      <c r="AU96" s="11">
        <f t="shared" si="119"/>
        <v>0</v>
      </c>
      <c r="AW96" s="11">
        <f t="shared" si="119"/>
        <v>0</v>
      </c>
      <c r="AY96" s="11">
        <f t="shared" si="119"/>
        <v>0</v>
      </c>
      <c r="BA96" s="11">
        <f t="shared" si="119"/>
        <v>0</v>
      </c>
      <c r="BC96" s="11">
        <f t="shared" si="119"/>
        <v>0</v>
      </c>
      <c r="BE96" s="11">
        <f t="shared" si="119"/>
        <v>0</v>
      </c>
      <c r="BG96" s="11">
        <f t="shared" si="119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90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ref="M97:Y136" si="120">L97*$C97</f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ref="AA97:BG112" si="121">Z97*$C97</f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91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92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93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94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si="119"/>
        <v>0</v>
      </c>
      <c r="BK101" s="11">
        <f t="shared" si="119"/>
        <v>0</v>
      </c>
      <c r="BM101" s="11">
        <f t="shared" si="119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95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ref="BI102:BM105" si="122">BH102*$C102</f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96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97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98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si="121"/>
        <v>0</v>
      </c>
      <c r="BI105" s="11">
        <f t="shared" si="122"/>
        <v>0</v>
      </c>
      <c r="BK105" s="11">
        <f t="shared" si="122"/>
        <v>0</v>
      </c>
      <c r="BM105" s="11">
        <f t="shared" si="122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99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ref="BG106:BM112" si="123">BF106*$C106</f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100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101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102</v>
      </c>
      <c r="C109" s="15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103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104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si="120"/>
        <v>0</v>
      </c>
      <c r="AA111" s="11">
        <f t="shared" si="121"/>
        <v>0</v>
      </c>
      <c r="AC111" s="11">
        <f t="shared" si="121"/>
        <v>0</v>
      </c>
      <c r="AE111" s="11">
        <f t="shared" si="121"/>
        <v>0</v>
      </c>
      <c r="AG111" s="11">
        <f t="shared" si="121"/>
        <v>0</v>
      </c>
      <c r="AI111" s="11">
        <f t="shared" si="121"/>
        <v>0</v>
      </c>
      <c r="AK111" s="11">
        <f t="shared" si="121"/>
        <v>0</v>
      </c>
      <c r="AM111" s="11">
        <f t="shared" si="121"/>
        <v>0</v>
      </c>
      <c r="AO111" s="11">
        <f t="shared" si="121"/>
        <v>0</v>
      </c>
      <c r="AQ111" s="11">
        <f t="shared" si="121"/>
        <v>0</v>
      </c>
      <c r="AS111" s="11">
        <f t="shared" si="121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105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ref="Y112:AS136" si="124">X112*$C112</f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si="121"/>
        <v>0</v>
      </c>
      <c r="AW112" s="11">
        <f t="shared" si="121"/>
        <v>0</v>
      </c>
      <c r="AY112" s="11">
        <f t="shared" si="121"/>
        <v>0</v>
      </c>
      <c r="BA112" s="11">
        <f t="shared" si="121"/>
        <v>0</v>
      </c>
      <c r="BC112" s="11">
        <f t="shared" si="121"/>
        <v>0</v>
      </c>
      <c r="BE112" s="11">
        <f t="shared" si="121"/>
        <v>0</v>
      </c>
      <c r="BG112" s="11">
        <f t="shared" si="123"/>
        <v>0</v>
      </c>
      <c r="BI112" s="11">
        <f t="shared" si="123"/>
        <v>0</v>
      </c>
      <c r="BK112" s="11">
        <f t="shared" si="123"/>
        <v>0</v>
      </c>
      <c r="BM112" s="11">
        <f t="shared" si="123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106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ref="AU113:BM116" si="125">AT113*$C113</f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107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108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A116" s="18"/>
      <c r="B116" s="17" t="s">
        <v>109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si="124"/>
        <v>0</v>
      </c>
      <c r="AU116" s="11">
        <f t="shared" si="125"/>
        <v>0</v>
      </c>
      <c r="AW116" s="11">
        <f t="shared" si="125"/>
        <v>0</v>
      </c>
      <c r="AY116" s="11">
        <f t="shared" si="125"/>
        <v>0</v>
      </c>
      <c r="BA116" s="11">
        <f t="shared" si="125"/>
        <v>0</v>
      </c>
      <c r="BC116" s="11">
        <f t="shared" si="125"/>
        <v>0</v>
      </c>
      <c r="BE116" s="11">
        <f t="shared" si="125"/>
        <v>0</v>
      </c>
      <c r="BG116" s="11">
        <f t="shared" si="125"/>
        <v>0</v>
      </c>
      <c r="BI116" s="11">
        <f t="shared" si="125"/>
        <v>0</v>
      </c>
      <c r="BK116" s="11">
        <f t="shared" si="125"/>
        <v>0</v>
      </c>
      <c r="BM116" s="11">
        <f t="shared" si="125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110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ref="AS117:BM136" si="126">AR117*$C117</f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111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112</v>
      </c>
      <c r="C119" s="19"/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>
        <f ca="1">SUMIF(D$2:$BM118,BN$2,D119:BM119)</f>
        <v>0</v>
      </c>
      <c r="BO119" s="16">
        <f t="shared" si="115"/>
        <v>0</v>
      </c>
    </row>
    <row r="120" spans="1:67" ht="15" customHeight="1" x14ac:dyDescent="0.25">
      <c r="B120" s="17" t="s">
        <v>113</v>
      </c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  <c r="BN120" s="16"/>
    </row>
    <row r="121" spans="1:67" ht="15" customHeight="1" x14ac:dyDescent="0.25">
      <c r="B121" s="17" t="s">
        <v>114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115</v>
      </c>
      <c r="C122" s="19"/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116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117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118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119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120</v>
      </c>
      <c r="C128" s="19"/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121</v>
      </c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B130" s="17" t="s">
        <v>122</v>
      </c>
      <c r="C130" s="19"/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</row>
    <row r="131" spans="1:68" ht="15" customHeight="1" x14ac:dyDescent="0.25">
      <c r="A131" s="11" t="s">
        <v>5</v>
      </c>
      <c r="B131" s="7" t="s">
        <v>130</v>
      </c>
      <c r="C131" s="77">
        <v>0.125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  <c r="BN131" s="16">
        <f ca="1">SUMIF(D$2:$BM130,BN$2,D131:BM131)</f>
        <v>0</v>
      </c>
      <c r="BO131" s="16">
        <f ca="1">BN131/4</f>
        <v>0</v>
      </c>
    </row>
    <row r="132" spans="1:68" ht="15" customHeight="1" x14ac:dyDescent="0.25">
      <c r="B132" s="17" t="s">
        <v>123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124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B134" s="17" t="s">
        <v>125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A135" s="14"/>
      <c r="B135" s="17" t="s">
        <v>126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6" spans="1:68" ht="15" customHeight="1" x14ac:dyDescent="0.25">
      <c r="B136" s="17" t="s">
        <v>127</v>
      </c>
      <c r="E136" s="11">
        <f t="shared" si="116"/>
        <v>0</v>
      </c>
      <c r="G136" s="11">
        <f t="shared" si="116"/>
        <v>0</v>
      </c>
      <c r="I136" s="11">
        <f t="shared" si="116"/>
        <v>0</v>
      </c>
      <c r="K136" s="11">
        <f t="shared" si="116"/>
        <v>0</v>
      </c>
      <c r="M136" s="11">
        <f t="shared" si="120"/>
        <v>0</v>
      </c>
      <c r="O136" s="11">
        <f t="shared" si="120"/>
        <v>0</v>
      </c>
      <c r="Q136" s="11">
        <f t="shared" si="120"/>
        <v>0</v>
      </c>
      <c r="S136" s="11">
        <f t="shared" si="120"/>
        <v>0</v>
      </c>
      <c r="U136" s="11">
        <f t="shared" si="120"/>
        <v>0</v>
      </c>
      <c r="W136" s="11">
        <f t="shared" si="120"/>
        <v>0</v>
      </c>
      <c r="Y136" s="11">
        <f t="shared" si="124"/>
        <v>0</v>
      </c>
      <c r="AA136" s="11">
        <f t="shared" si="124"/>
        <v>0</v>
      </c>
      <c r="AC136" s="11">
        <f t="shared" si="124"/>
        <v>0</v>
      </c>
      <c r="AE136" s="11">
        <f t="shared" si="124"/>
        <v>0</v>
      </c>
      <c r="AG136" s="11">
        <f t="shared" si="124"/>
        <v>0</v>
      </c>
      <c r="AI136" s="11">
        <f t="shared" si="124"/>
        <v>0</v>
      </c>
      <c r="AK136" s="11">
        <f t="shared" si="124"/>
        <v>0</v>
      </c>
      <c r="AM136" s="11">
        <f t="shared" si="124"/>
        <v>0</v>
      </c>
      <c r="AO136" s="11">
        <f t="shared" si="124"/>
        <v>0</v>
      </c>
      <c r="AQ136" s="11">
        <f t="shared" si="124"/>
        <v>0</v>
      </c>
      <c r="AS136" s="11">
        <f t="shared" si="126"/>
        <v>0</v>
      </c>
      <c r="AU136" s="11">
        <f t="shared" si="126"/>
        <v>0</v>
      </c>
      <c r="AW136" s="11">
        <f t="shared" si="126"/>
        <v>0</v>
      </c>
      <c r="AY136" s="11">
        <f t="shared" si="126"/>
        <v>0</v>
      </c>
      <c r="BA136" s="11">
        <f t="shared" si="126"/>
        <v>0</v>
      </c>
      <c r="BC136" s="11">
        <f t="shared" si="126"/>
        <v>0</v>
      </c>
      <c r="BE136" s="11">
        <f t="shared" si="126"/>
        <v>0</v>
      </c>
      <c r="BG136" s="11">
        <f t="shared" si="126"/>
        <v>0</v>
      </c>
      <c r="BI136" s="11">
        <f t="shared" si="126"/>
        <v>0</v>
      </c>
      <c r="BK136" s="11">
        <f t="shared" si="126"/>
        <v>0</v>
      </c>
      <c r="BM136" s="11">
        <f t="shared" si="126"/>
        <v>0</v>
      </c>
    </row>
    <row r="138" spans="1:68" ht="15" customHeight="1" x14ac:dyDescent="0.2">
      <c r="B138" s="14" t="s">
        <v>5</v>
      </c>
      <c r="E138" s="21">
        <f>SUMIF($A3:$A134,$B138,E3:E134)</f>
        <v>205</v>
      </c>
      <c r="F138" s="21"/>
      <c r="G138" s="21">
        <f>SUMIF($A3:$A134,$B138,G3:G134)</f>
        <v>212</v>
      </c>
      <c r="H138" s="21"/>
      <c r="I138" s="21">
        <f>SUMIF($A3:$A134,$B138,I3:I134)</f>
        <v>236.5</v>
      </c>
      <c r="J138" s="21"/>
      <c r="K138" s="21">
        <f>SUMIF($A3:$A134,$B138,K3:K134)</f>
        <v>144</v>
      </c>
      <c r="L138" s="21"/>
      <c r="M138" s="21">
        <f>SUMIF($A3:$A134,$B138,M3:M134)</f>
        <v>125.5</v>
      </c>
      <c r="O138" s="21">
        <f>SUMIF($A3:$A134,$B138,O3:O134)</f>
        <v>155.5</v>
      </c>
      <c r="P138" s="21"/>
      <c r="Q138" s="27">
        <f>SUMIF($A3:$A134,$B138,Q3:Q134)</f>
        <v>92.5</v>
      </c>
      <c r="S138" s="21">
        <f>SUMIF($A3:$A134,$B138,S3:S134)</f>
        <v>220.5</v>
      </c>
      <c r="T138" s="21"/>
      <c r="U138" s="21">
        <f>SUMIF($A3:$A134,$B138,U3:U134)</f>
        <v>166.5</v>
      </c>
      <c r="W138" s="21">
        <f>SUMIF($A3:$A134,$B138,W3:W134)</f>
        <v>237.5</v>
      </c>
      <c r="X138" s="21"/>
      <c r="Y138" s="21">
        <f>SUMIF($A3:$A134,$B138,Y3:Y134)</f>
        <v>207.5</v>
      </c>
      <c r="Z138" s="21"/>
      <c r="AA138" s="56">
        <f>SUMIF($A3:$A134,$B138,AA3:AA134)</f>
        <v>119.5</v>
      </c>
      <c r="AB138" s="21"/>
      <c r="AC138" s="21">
        <f>SUMIF($A3:$A134,$B138,AC3:AC134)</f>
        <v>83</v>
      </c>
      <c r="AD138" s="21"/>
      <c r="AE138" s="21">
        <f>(SUMIF($A3:$A134,$B138,AE3:AE134))</f>
        <v>84.5</v>
      </c>
      <c r="AF138" s="21"/>
      <c r="AG138" s="21">
        <f>SUMIF($A3:$A134,$B138,AG3:AG134)</f>
        <v>217.5</v>
      </c>
      <c r="AH138" s="21"/>
      <c r="AI138" s="21">
        <f>SUMIF($A3:$A134,$B138,AI3:AI134)</f>
        <v>162</v>
      </c>
      <c r="AJ138" s="21"/>
      <c r="AK138" s="21">
        <f>SUMIF($A3:$A134,$B138,AK3:AK134)</f>
        <v>244</v>
      </c>
      <c r="AL138" s="21"/>
      <c r="AM138" s="21">
        <f>SUMIF($A3:$A134,$B138,AM3:AM134)</f>
        <v>145.5</v>
      </c>
      <c r="AN138" s="21"/>
      <c r="AO138" s="21">
        <f>SUMIF($A3:$A134,$B138,AO3:AO134)</f>
        <v>91</v>
      </c>
      <c r="AP138" s="21"/>
      <c r="AQ138" s="21">
        <f>SUMIF($A3:$A134,$B138,AQ3:AQ134)</f>
        <v>86.5</v>
      </c>
      <c r="AR138" s="21"/>
      <c r="AS138" s="21">
        <f>SUMIF($A3:$A134,$B138,AS3:AS134)</f>
        <v>127.5</v>
      </c>
      <c r="AT138" s="21"/>
      <c r="AU138" s="21">
        <f>SUMIF($A3:$A134,$B138,AU3:AU136)</f>
        <v>181.5</v>
      </c>
      <c r="AV138" s="21"/>
      <c r="AW138" s="21">
        <f>SUMIF($A3:$A134,$B138,AW3:AW134)</f>
        <v>178</v>
      </c>
      <c r="AX138" s="21"/>
      <c r="AY138" s="21">
        <f>SUMIF($A3:$A134,$B138,AY3:AY134)</f>
        <v>244.5</v>
      </c>
      <c r="AZ138" s="21"/>
      <c r="BA138" s="21">
        <f>SUMIF($A3:$A134,$B138,BA3:BA134)</f>
        <v>112.5</v>
      </c>
      <c r="BB138" s="21"/>
      <c r="BC138" s="21">
        <f>SUMIF($A3:$A134,$B138,BC3:BC134)</f>
        <v>164</v>
      </c>
      <c r="BD138" s="21"/>
      <c r="BE138" s="21">
        <f>SUMIF($A3:$A134,$B138,BE3:BE134)</f>
        <v>148.5</v>
      </c>
      <c r="BF138" s="21"/>
      <c r="BG138" s="21">
        <f>SUMIF($A3:$A134,$B138,BG3:BG136)</f>
        <v>70</v>
      </c>
      <c r="BH138" s="21"/>
      <c r="BI138" s="21">
        <f>SUMIF($A3:$A134,$B138,BI3:BI134)</f>
        <v>231.83332999999999</v>
      </c>
      <c r="BJ138" s="21"/>
      <c r="BK138" s="21">
        <f>SUMIF($A3:$A134,$B138,BK3:BK134)</f>
        <v>241</v>
      </c>
      <c r="BM138" s="21">
        <f>SUMIF($A3:$A134,$B138,BM3:BM134)</f>
        <v>0</v>
      </c>
      <c r="BN138" s="22">
        <f>SUM(E138:BM138)</f>
        <v>4935.8333300000004</v>
      </c>
      <c r="BO138" s="22">
        <f>BN138/4</f>
        <v>1233.9583325000001</v>
      </c>
      <c r="BP138" s="11">
        <f>BO138/30</f>
        <v>41.13194441666667</v>
      </c>
    </row>
    <row r="139" spans="1:68" ht="15" customHeight="1" x14ac:dyDescent="0.2">
      <c r="B139" s="18" t="s">
        <v>15</v>
      </c>
      <c r="E139" s="21">
        <f>SUMIF($A3:$A119,$B139,E3:E134)</f>
        <v>40.5</v>
      </c>
      <c r="F139" s="21"/>
      <c r="G139" s="21">
        <f>SUMIF($A3:$A119,$B139,G3:G134)</f>
        <v>36</v>
      </c>
      <c r="H139" s="21"/>
      <c r="I139" s="21">
        <f>SUMIF($A3:$A119,$B139,I3:I134)</f>
        <v>44.5</v>
      </c>
      <c r="J139" s="21"/>
      <c r="K139" s="21">
        <f>SUMIF($A3:$A119,$B139,K3:K134)</f>
        <v>29</v>
      </c>
      <c r="L139" s="21"/>
      <c r="M139" s="21">
        <f>SUMIF($A3:$A119,$B139,M3:M134)</f>
        <v>35</v>
      </c>
      <c r="O139" s="21">
        <f>SUMIF($A3:$A119,$B139,O3:O134)</f>
        <v>20.5</v>
      </c>
      <c r="P139" s="21"/>
      <c r="Q139" s="27">
        <f>SUMIF($A3:$A119,$B139,Q3:Q134)</f>
        <v>13</v>
      </c>
      <c r="S139" s="21">
        <f>SUMIF($A3:$A119,$B139,S3:S134)</f>
        <v>20.5</v>
      </c>
      <c r="T139" s="21"/>
      <c r="U139" s="21">
        <f>SUMIF($A3:$A119,$B139,U3:U134)</f>
        <v>44</v>
      </c>
      <c r="W139" s="21">
        <f>SUMIF($A3:$A119,$B139,W3:W134)</f>
        <v>40.5</v>
      </c>
      <c r="X139" s="21"/>
      <c r="Y139" s="21">
        <f>SUMIF($A3:$A119,$B139,Y3:Y134)</f>
        <v>34</v>
      </c>
      <c r="Z139" s="21"/>
      <c r="AA139" s="21">
        <f>SUMIF($A3:$A119,$B139,AA3:AA134)</f>
        <v>15</v>
      </c>
      <c r="AB139" s="21"/>
      <c r="AC139" s="21">
        <f>SUMIF($A3:$A119,$B139,AC3:AC134)</f>
        <v>21.5</v>
      </c>
      <c r="AD139" s="21"/>
      <c r="AE139" s="21">
        <f>SUMIF($A3:$A119,$B139,AE3:AE134)</f>
        <v>25</v>
      </c>
      <c r="AF139" s="21"/>
      <c r="AG139" s="21">
        <f>SUMIF($A3:$A119,$B139,AG3:AG134)</f>
        <v>29.5</v>
      </c>
      <c r="AH139" s="21"/>
      <c r="AI139" s="21">
        <f>SUMIF($A3:$A119,$B139,AI3:AI134)</f>
        <v>23.5</v>
      </c>
      <c r="AJ139" s="21"/>
      <c r="AK139" s="21">
        <f>SUMIF($A3:$A119,$B139,AK3:AK134)</f>
        <v>40</v>
      </c>
      <c r="AL139" s="21"/>
      <c r="AM139" s="21">
        <f>SUMIF($A3:$A119,$B139,AM3:AM134)</f>
        <v>33.5</v>
      </c>
      <c r="AN139" s="21"/>
      <c r="AO139" s="21">
        <f>SUMIF($A3:$A119,$B139,AO3:AO134)</f>
        <v>18</v>
      </c>
      <c r="AP139" s="21"/>
      <c r="AQ139" s="21">
        <f>SUMIF($A3:$A119,$B139,AQ3:AQ134)</f>
        <v>31</v>
      </c>
      <c r="AR139" s="21"/>
      <c r="AS139" s="21">
        <f>SUMIF($A3:$A119,$B139,AS3:AS134)</f>
        <v>15</v>
      </c>
      <c r="AT139" s="21"/>
      <c r="AU139" s="21">
        <f>SUMIF($A3:$A119,$B139,AU3:AU134)</f>
        <v>9.5</v>
      </c>
      <c r="AV139" s="21"/>
      <c r="AW139" s="21">
        <f>SUMIF($A3:$A119,$B139,AW3:AW134)</f>
        <v>29.5</v>
      </c>
      <c r="AX139" s="21"/>
      <c r="AY139" s="21">
        <f>SUMIF($A3:$A119,$B139,AY3:AY134)</f>
        <v>30.5</v>
      </c>
      <c r="AZ139" s="21"/>
      <c r="BA139" s="21">
        <f>SUMIF($A3:$A119,$B139,BA3:BA134)</f>
        <v>22.5</v>
      </c>
      <c r="BB139" s="21"/>
      <c r="BC139" s="21">
        <f>SUMIF($A3:$A119,$B139,BC3:BC134)</f>
        <v>26</v>
      </c>
      <c r="BD139" s="21"/>
      <c r="BE139" s="21">
        <f>SUMIF($A3:$A119,$B139,BE3:BE134)</f>
        <v>37</v>
      </c>
      <c r="BF139" s="21"/>
      <c r="BG139" s="21">
        <f>SUMIF($A3:$A119,$B139,BG3:BG134)</f>
        <v>27.5</v>
      </c>
      <c r="BH139" s="21"/>
      <c r="BI139" s="21">
        <f>SUMIF($A3:$A119,$B139,BI3:BI134)</f>
        <v>30.5</v>
      </c>
      <c r="BJ139" s="21"/>
      <c r="BK139" s="21">
        <f>SUMIF($A3:$A119,$B139,BK3:BK134)</f>
        <v>23.5</v>
      </c>
      <c r="BM139" s="21">
        <f>SUMIF($A3:$A119,$B139,BM3:BM134)</f>
        <v>0</v>
      </c>
      <c r="BN139" s="22">
        <f>SUM(E139:BM139)</f>
        <v>846</v>
      </c>
      <c r="BO139" s="22">
        <f>BN139/4</f>
        <v>211.5</v>
      </c>
      <c r="BP139" s="11">
        <f>BO139/30</f>
        <v>7.05</v>
      </c>
    </row>
    <row r="141" spans="1:68" ht="15" customHeight="1" x14ac:dyDescent="0.2">
      <c r="B141" s="11" t="s">
        <v>144</v>
      </c>
      <c r="E141" s="21"/>
      <c r="F141" s="23"/>
      <c r="G141" s="21"/>
      <c r="H141" s="23"/>
      <c r="I141" s="21"/>
      <c r="J141" s="21"/>
      <c r="K141" s="21"/>
      <c r="L141" s="21"/>
      <c r="M141" s="21"/>
      <c r="O141" s="21"/>
      <c r="P141" s="21"/>
      <c r="Q141" s="21"/>
      <c r="S141" s="21"/>
      <c r="T141" s="21"/>
      <c r="U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M141" s="21"/>
      <c r="BN141" s="24"/>
      <c r="BP141" s="11">
        <v>30</v>
      </c>
    </row>
    <row r="142" spans="1:68" ht="15" customHeight="1" x14ac:dyDescent="0.2">
      <c r="B142" s="14" t="s">
        <v>5</v>
      </c>
      <c r="E142" s="21">
        <f>E138/4</f>
        <v>51.25</v>
      </c>
      <c r="G142" s="21">
        <f>G138/4</f>
        <v>53</v>
      </c>
      <c r="I142" s="21">
        <f>I138/4</f>
        <v>59.125</v>
      </c>
      <c r="J142" s="21"/>
      <c r="K142" s="21">
        <f>K138/4</f>
        <v>36</v>
      </c>
      <c r="L142" s="21"/>
      <c r="M142" s="21">
        <f>M138/4</f>
        <v>31.375</v>
      </c>
      <c r="O142" s="21">
        <f>O138/4</f>
        <v>38.875</v>
      </c>
      <c r="P142" s="21"/>
      <c r="Q142" s="21">
        <f>Q138/4</f>
        <v>23.125</v>
      </c>
      <c r="S142" s="21">
        <f>S138/4</f>
        <v>55.125</v>
      </c>
      <c r="T142" s="21"/>
      <c r="U142" s="21">
        <f>U138/4</f>
        <v>41.625</v>
      </c>
      <c r="W142" s="21">
        <f>W138/4</f>
        <v>59.375</v>
      </c>
      <c r="X142" s="21"/>
      <c r="Y142" s="21">
        <f>Y138/4</f>
        <v>51.875</v>
      </c>
      <c r="Z142" s="21"/>
      <c r="AA142" s="21">
        <f>AA138/4</f>
        <v>29.875</v>
      </c>
      <c r="AB142" s="21"/>
      <c r="AC142" s="21">
        <f>AC138/4</f>
        <v>20.75</v>
      </c>
      <c r="AD142" s="21"/>
      <c r="AE142" s="21">
        <f>AE138/4</f>
        <v>21.125</v>
      </c>
      <c r="AF142" s="21"/>
      <c r="AG142" s="21">
        <f>AG138/4</f>
        <v>54.375</v>
      </c>
      <c r="AH142" s="21"/>
      <c r="AI142" s="21">
        <f>AI138/4</f>
        <v>40.5</v>
      </c>
      <c r="AJ142" s="21"/>
      <c r="AK142" s="21">
        <f>AK138/4</f>
        <v>61</v>
      </c>
      <c r="AL142" s="21"/>
      <c r="AM142" s="21">
        <f>AM138/4</f>
        <v>36.375</v>
      </c>
      <c r="AN142" s="21"/>
      <c r="AO142" s="21">
        <f>AO138/4</f>
        <v>22.75</v>
      </c>
      <c r="AP142" s="21"/>
      <c r="AQ142" s="21">
        <f>AQ138/4</f>
        <v>21.625</v>
      </c>
      <c r="AR142" s="21"/>
      <c r="AS142" s="21">
        <f>AS138/4</f>
        <v>31.875</v>
      </c>
      <c r="AT142" s="21"/>
      <c r="AU142" s="21">
        <f>AU138/4</f>
        <v>45.375</v>
      </c>
      <c r="AV142" s="21"/>
      <c r="AW142" s="21">
        <f>AW138/4</f>
        <v>44.5</v>
      </c>
      <c r="AX142" s="21"/>
      <c r="AY142" s="21">
        <f>AY138/4</f>
        <v>61.125</v>
      </c>
      <c r="AZ142" s="21"/>
      <c r="BA142" s="21">
        <f>BA138/4</f>
        <v>28.125</v>
      </c>
      <c r="BB142" s="21"/>
      <c r="BC142" s="21">
        <f>BC138/4</f>
        <v>41</v>
      </c>
      <c r="BD142" s="21"/>
      <c r="BE142" s="21">
        <f>BE138/4</f>
        <v>37.125</v>
      </c>
      <c r="BF142" s="21"/>
      <c r="BG142" s="21">
        <f>BG138/4</f>
        <v>17.5</v>
      </c>
      <c r="BH142" s="21"/>
      <c r="BI142" s="21">
        <f>BI138/4</f>
        <v>57.958332499999997</v>
      </c>
      <c r="BJ142" s="21"/>
      <c r="BK142" s="21">
        <f>BK138/4</f>
        <v>60.25</v>
      </c>
      <c r="BM142" s="21">
        <f>BM138/4</f>
        <v>0</v>
      </c>
      <c r="BN142" s="24"/>
      <c r="BO142" s="21">
        <f>SUM(E142:BM142)</f>
        <v>1233.9583325000001</v>
      </c>
      <c r="BP142" s="77">
        <f>BO142/BP141</f>
        <v>41.13194441666667</v>
      </c>
    </row>
    <row r="143" spans="1:68" ht="15" customHeight="1" x14ac:dyDescent="0.2">
      <c r="B143" s="18" t="s">
        <v>15</v>
      </c>
      <c r="E143" s="21">
        <f>E139/4</f>
        <v>10.125</v>
      </c>
      <c r="G143" s="21">
        <f>G139/4</f>
        <v>9</v>
      </c>
      <c r="I143" s="21">
        <f>I139/4</f>
        <v>11.125</v>
      </c>
      <c r="J143" s="21"/>
      <c r="K143" s="21">
        <f>K139/4</f>
        <v>7.25</v>
      </c>
      <c r="L143" s="21"/>
      <c r="M143" s="21">
        <f>M139/4</f>
        <v>8.75</v>
      </c>
      <c r="N143" s="21"/>
      <c r="O143" s="21">
        <f>O139/4</f>
        <v>5.125</v>
      </c>
      <c r="Q143" s="21">
        <f>Q139/4</f>
        <v>3.25</v>
      </c>
      <c r="S143" s="21">
        <f>S139/4</f>
        <v>5.125</v>
      </c>
      <c r="U143" s="21">
        <f>U139/4</f>
        <v>11</v>
      </c>
      <c r="W143" s="21">
        <f>W139/4</f>
        <v>10.125</v>
      </c>
      <c r="Y143" s="21">
        <f>Y139/4</f>
        <v>8.5</v>
      </c>
      <c r="AA143" s="21">
        <f>AA139/4</f>
        <v>3.75</v>
      </c>
      <c r="AB143" s="21"/>
      <c r="AC143" s="21">
        <f>AC139/4</f>
        <v>5.375</v>
      </c>
      <c r="AE143" s="21">
        <f>AE139/4</f>
        <v>6.25</v>
      </c>
      <c r="AG143" s="21">
        <f>AG139/4</f>
        <v>7.375</v>
      </c>
      <c r="AI143" s="21">
        <f>AI139/4</f>
        <v>5.875</v>
      </c>
      <c r="AK143" s="21">
        <f>AK139/4</f>
        <v>10</v>
      </c>
      <c r="AM143" s="21">
        <f>AM139/4</f>
        <v>8.375</v>
      </c>
      <c r="AO143" s="21">
        <f>AO139/4</f>
        <v>4.5</v>
      </c>
      <c r="AQ143" s="21">
        <f>AQ139/4</f>
        <v>7.75</v>
      </c>
      <c r="AS143" s="21">
        <f>AS139/4</f>
        <v>3.75</v>
      </c>
      <c r="AU143" s="21">
        <f>AU139/4</f>
        <v>2.375</v>
      </c>
      <c r="AW143" s="21">
        <f>AW139/4</f>
        <v>7.375</v>
      </c>
      <c r="AY143" s="21">
        <f>AY139/4</f>
        <v>7.625</v>
      </c>
      <c r="BA143" s="21">
        <f>BA139/4</f>
        <v>5.625</v>
      </c>
      <c r="BC143" s="21">
        <f>BC139/4</f>
        <v>6.5</v>
      </c>
      <c r="BE143" s="21">
        <f>BE139/4</f>
        <v>9.25</v>
      </c>
      <c r="BG143" s="21">
        <f>BG139/4</f>
        <v>6.875</v>
      </c>
      <c r="BI143" s="21">
        <f>BI139/4</f>
        <v>7.625</v>
      </c>
      <c r="BK143" s="21">
        <f>BK139/4</f>
        <v>5.875</v>
      </c>
      <c r="BM143" s="21">
        <f>BM139/4</f>
        <v>0</v>
      </c>
      <c r="BO143" s="21">
        <f>SUM(E143:BM143)</f>
        <v>211.5</v>
      </c>
      <c r="BP143" s="77">
        <f>BO143/BP141</f>
        <v>7.05</v>
      </c>
    </row>
    <row r="144" spans="1:68" ht="15" customHeight="1" x14ac:dyDescent="0.2">
      <c r="E144" s="21"/>
      <c r="G144" s="21"/>
      <c r="I144" s="21"/>
      <c r="J144" s="21"/>
      <c r="K144" s="21"/>
      <c r="L144" s="21"/>
      <c r="M144" s="21"/>
      <c r="N144" s="21"/>
      <c r="O144" s="21"/>
      <c r="Q144" s="21"/>
      <c r="AB144" s="21"/>
      <c r="AJ144" s="21"/>
      <c r="AL144" s="21"/>
      <c r="AN144" s="21"/>
      <c r="AP144" s="21"/>
      <c r="AR144" s="21"/>
      <c r="BO144" s="21"/>
      <c r="BP144" s="83"/>
    </row>
    <row r="145" spans="1:68" ht="15" customHeight="1" x14ac:dyDescent="0.2">
      <c r="B145" s="14" t="s">
        <v>5</v>
      </c>
      <c r="E145" s="21">
        <f>2.5-(21.25+28-E142)</f>
        <v>4.5</v>
      </c>
      <c r="G145" s="21">
        <f>10.5-(2.5+59-G142)</f>
        <v>2</v>
      </c>
      <c r="I145" s="21">
        <f>6-(10.5+49-I142)</f>
        <v>5.625</v>
      </c>
      <c r="K145" s="21">
        <f>15.75-(6+42-K142)</f>
        <v>3.75</v>
      </c>
      <c r="M145" s="21">
        <f>26-(15.75+38-M142)</f>
        <v>3.625</v>
      </c>
      <c r="O145" s="21">
        <f>16.25-(26+25-O142)</f>
        <v>4.125</v>
      </c>
      <c r="Q145" s="21">
        <f>20-(16.25+31-Q142)</f>
        <v>-4.125</v>
      </c>
      <c r="S145" s="21">
        <f>0.5-(20+30-S142)</f>
        <v>5.625</v>
      </c>
      <c r="T145" s="21"/>
      <c r="U145" s="21">
        <f>22.25-(0.5+60-U142)</f>
        <v>3.375</v>
      </c>
      <c r="W145" s="21">
        <f>10-(22.5+45-W142)</f>
        <v>1.875</v>
      </c>
      <c r="Y145" s="21">
        <f>0.5-(10+49-Y142)</f>
        <v>-6.625</v>
      </c>
      <c r="Z145" s="78"/>
      <c r="AA145" s="21">
        <f>26.75-(0.5+48-AA142)</f>
        <v>8.125</v>
      </c>
      <c r="AB145" s="78"/>
      <c r="AC145" s="21">
        <f>31.25-(26.75+25-AC142)</f>
        <v>0.25</v>
      </c>
      <c r="AD145" s="78"/>
      <c r="AE145" s="21">
        <f>60.5-(31.25+50-AE142)</f>
        <v>0.375</v>
      </c>
      <c r="AF145" s="78"/>
      <c r="AG145" s="21">
        <f>9-(60.5+0-AG142)</f>
        <v>2.875</v>
      </c>
      <c r="AH145" s="78"/>
      <c r="AI145" s="21">
        <f>19.75-(9+50-AI142)</f>
        <v>1.25</v>
      </c>
      <c r="AK145" s="21">
        <f>5.25-(19.75+45-AK142)</f>
        <v>1.5</v>
      </c>
      <c r="AM145" s="21">
        <f>12-(5.25+45-AM142)</f>
        <v>-1.875</v>
      </c>
      <c r="AO145" s="21">
        <f>24-(12+36-AO142)</f>
        <v>-1.25</v>
      </c>
      <c r="AQ145" s="21">
        <f>57.75-(24+57-AQ142)</f>
        <v>-1.625</v>
      </c>
      <c r="AS145" s="21">
        <f>28.25-(57.75+0-AS142)</f>
        <v>2.375</v>
      </c>
      <c r="AU145" s="21">
        <f>7-(28.25+25-AU142)</f>
        <v>-0.875</v>
      </c>
      <c r="AW145" s="21">
        <f>16.75-(7+58-AW142)</f>
        <v>-3.75</v>
      </c>
      <c r="AY145" s="21">
        <f>7.5-(16.75+50-AY142)</f>
        <v>1.875</v>
      </c>
      <c r="BA145" s="21">
        <f>22.25-(7.5+40-BA142)</f>
        <v>2.875</v>
      </c>
      <c r="BC145" s="21">
        <f>34.75-(22.25+51-BC142)</f>
        <v>2.5</v>
      </c>
      <c r="BE145" s="21">
        <f>0-(34.75+0-BE142)</f>
        <v>2.375</v>
      </c>
      <c r="BG145" s="21">
        <f>28.25-(0+46-BG142)</f>
        <v>-0.25</v>
      </c>
      <c r="BI145" s="21">
        <f>0.25-(28.25+26-BI142)</f>
        <v>3.9583324999999974</v>
      </c>
      <c r="BK145" s="21">
        <f>4.25-(0.25+61-BK142)</f>
        <v>3.25</v>
      </c>
      <c r="BM145" s="21"/>
      <c r="BO145" s="21">
        <f>SUM(E145:BL145)</f>
        <v>47.708332499999997</v>
      </c>
      <c r="BP145" s="77">
        <f>BO145/BP141</f>
        <v>1.5902777499999998</v>
      </c>
    </row>
    <row r="146" spans="1:68" ht="15" customHeight="1" x14ac:dyDescent="0.2">
      <c r="B146" s="18" t="s">
        <v>15</v>
      </c>
      <c r="E146" s="21">
        <f>0-(1+10-E143)</f>
        <v>-0.875</v>
      </c>
      <c r="G146" s="21">
        <f>0.5-(0+10-G143)</f>
        <v>-0.5</v>
      </c>
      <c r="I146" s="21">
        <f>1-(0.5+10-I143)</f>
        <v>1.625</v>
      </c>
      <c r="K146" s="21">
        <f>0-(1+10-K143)</f>
        <v>-3.75</v>
      </c>
      <c r="M146" s="21">
        <f>3-(0+10-M143)</f>
        <v>1.75</v>
      </c>
      <c r="O146" s="21">
        <f>7.25-(3+10-O143)</f>
        <v>-0.625</v>
      </c>
      <c r="Q146" s="21">
        <f>6.75-(7.25+5-Q143)</f>
        <v>-2.25</v>
      </c>
      <c r="S146" s="21">
        <f>6.5-(6.75+5-S143)</f>
        <v>-0.125</v>
      </c>
      <c r="T146" s="21"/>
      <c r="U146" s="21">
        <f>0-(6.5+5-U143)</f>
        <v>-0.5</v>
      </c>
      <c r="W146" s="21">
        <f>0.25-(0+10-W143)</f>
        <v>0.375</v>
      </c>
      <c r="Y146" s="21">
        <f>0.25-(0.25+10-Y143)</f>
        <v>-1.5</v>
      </c>
      <c r="Z146" s="78"/>
      <c r="AA146" s="21">
        <f>6.5-(0.25+10-AA143)</f>
        <v>0</v>
      </c>
      <c r="AB146" s="78"/>
      <c r="AC146" s="21">
        <f>6.5-(6.5+5-AC143)</f>
        <v>0.375</v>
      </c>
      <c r="AD146" s="78"/>
      <c r="AE146" s="21">
        <f>4.75-(6.5+5-AE143)</f>
        <v>-0.5</v>
      </c>
      <c r="AF146" s="78"/>
      <c r="AG146" s="21">
        <f>2-(4.75+5-AG143)</f>
        <v>-0.375</v>
      </c>
      <c r="AH146" s="78"/>
      <c r="AI146" s="21">
        <f>6.5-(2+10-AI143)</f>
        <v>0.375</v>
      </c>
      <c r="AK146" s="21">
        <f>0-(6.5+5-AK143)</f>
        <v>-1.5</v>
      </c>
      <c r="AM146" s="21">
        <f>0-(0+10-AM143)</f>
        <v>-1.625</v>
      </c>
      <c r="AO146" s="21">
        <f>3.5-(0+10-AO143)</f>
        <v>-2</v>
      </c>
      <c r="AQ146" s="21">
        <f>0.5-(3.5+5-AQ143)</f>
        <v>-0.25</v>
      </c>
      <c r="AS146" s="21">
        <f>5.75-(0.5+10-AS143)</f>
        <v>-1</v>
      </c>
      <c r="AU146" s="21">
        <f>8-(5.75+5-AU143)</f>
        <v>-0.375</v>
      </c>
      <c r="AW146" s="21">
        <f>2.75-(8+5-AW143)</f>
        <v>-2.875</v>
      </c>
      <c r="AY146" s="21">
        <f>3.25-(2.75+10-AY143)</f>
        <v>-1.875</v>
      </c>
      <c r="BA146" s="21">
        <f>2.25-(3.25+5-BA143)</f>
        <v>-0.375</v>
      </c>
      <c r="BC146" s="21">
        <f>0-(2.25+5-BC143)</f>
        <v>-0.75</v>
      </c>
      <c r="BE146" s="21">
        <f>1-(0+10-BE143)</f>
        <v>0.25</v>
      </c>
      <c r="BG146" s="21">
        <f>2.5-(1+10-BG143)</f>
        <v>-1.625</v>
      </c>
      <c r="BI146" s="21">
        <f>4.25-(2.5+10-BI143)</f>
        <v>-0.625</v>
      </c>
      <c r="BK146" s="21">
        <f>7.25-(4.25+10-BK143)</f>
        <v>-1.125</v>
      </c>
      <c r="BM146" s="21"/>
      <c r="BO146" s="21">
        <f>SUM(E146:BL146)</f>
        <v>-22.25</v>
      </c>
      <c r="BP146" s="77">
        <f>BO146/BP141</f>
        <v>-0.7416666666666667</v>
      </c>
    </row>
    <row r="147" spans="1:68" ht="15" customHeight="1" x14ac:dyDescent="0.25">
      <c r="I147" s="79"/>
      <c r="O147" s="21"/>
      <c r="AI147" s="21"/>
      <c r="AK147" s="21"/>
      <c r="AO147" s="78"/>
      <c r="AU147" s="77"/>
      <c r="AW147" s="78"/>
      <c r="AY147" s="78"/>
      <c r="BC147" s="21"/>
      <c r="BI147" s="78"/>
    </row>
    <row r="148" spans="1:68" ht="15" customHeight="1" x14ac:dyDescent="0.2">
      <c r="A148" s="14"/>
      <c r="G148" s="21"/>
      <c r="I148" s="80"/>
      <c r="U148" s="81"/>
      <c r="W148" s="21"/>
      <c r="AH148" s="77"/>
      <c r="AU148" s="77"/>
      <c r="BA148" s="21"/>
      <c r="BE148" s="21"/>
      <c r="BN148" s="11"/>
    </row>
    <row r="149" spans="1:68" ht="15" customHeight="1" x14ac:dyDescent="0.2">
      <c r="A149" s="14"/>
      <c r="I149" s="80"/>
      <c r="AG149" s="21"/>
    </row>
    <row r="150" spans="1:68" ht="15" customHeight="1" x14ac:dyDescent="0.2">
      <c r="A150" s="14"/>
      <c r="B150" s="105">
        <f>53000000/20</f>
        <v>2650000</v>
      </c>
    </row>
    <row r="151" spans="1:68" ht="15" customHeight="1" x14ac:dyDescent="0.2">
      <c r="A151" s="14"/>
      <c r="B151" s="80">
        <f>7900000-4700000</f>
        <v>3200000</v>
      </c>
    </row>
    <row r="152" spans="1:68" ht="15" customHeight="1" x14ac:dyDescent="0.2">
      <c r="A152" s="14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  <row r="260" spans="2:2" ht="15" customHeight="1" x14ac:dyDescent="0.25">
      <c r="B260" s="7"/>
    </row>
  </sheetData>
  <autoFilter ref="A1:BM146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BL1:BM1"/>
    <mergeCell ref="BN1:BO1"/>
    <mergeCell ref="AZ1:BA1"/>
    <mergeCell ref="BB1:BC1"/>
    <mergeCell ref="BD1:BE1"/>
    <mergeCell ref="BF1:BG1"/>
    <mergeCell ref="BH1:BI1"/>
    <mergeCell ref="BJ1:BK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2024-12-15T16:39:55Z</cp:lastPrinted>
  <dcterms:created xsi:type="dcterms:W3CDTF">2018-04-01T05:25:15Z</dcterms:created>
  <dcterms:modified xsi:type="dcterms:W3CDTF">2025-12-17T17:42:01Z</dcterms:modified>
</cp:coreProperties>
</file>